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angelrebollar/Data_AnalisTesis/Survey_neopest/19_20/"/>
    </mc:Choice>
  </mc:AlternateContent>
  <xr:revisionPtr revIDLastSave="0" documentId="13_ncr:1_{21C7FD6C-8219-D944-B86B-75E7030C5E4C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CONCENTR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1" l="1"/>
  <c r="W40" i="1"/>
  <c r="V40" i="1"/>
  <c r="U40" i="1"/>
  <c r="N40" i="1" l="1"/>
  <c r="Q40" i="1"/>
  <c r="P40" i="1"/>
  <c r="O40" i="1"/>
</calcChain>
</file>

<file path=xl/sharedStrings.xml><?xml version="1.0" encoding="utf-8"?>
<sst xmlns="http://schemas.openxmlformats.org/spreadsheetml/2006/main" count="368" uniqueCount="180">
  <si>
    <t xml:space="preserve">ETIQUETA </t>
  </si>
  <si>
    <t>PARCELA</t>
  </si>
  <si>
    <t>COORDENADAS</t>
  </si>
  <si>
    <t>AISLAMIENTOS</t>
  </si>
  <si>
    <t>Fusarium</t>
  </si>
  <si>
    <t>Neopestalotiopsis</t>
  </si>
  <si>
    <t>Oomicetes</t>
  </si>
  <si>
    <t>Cylindrocarpon</t>
  </si>
  <si>
    <t>Alternaria</t>
  </si>
  <si>
    <t>Macrophomina</t>
  </si>
  <si>
    <t>A1</t>
  </si>
  <si>
    <t>20°05'01.27'' N</t>
  </si>
  <si>
    <t>101°34'14.21'' W</t>
  </si>
  <si>
    <t>F</t>
  </si>
  <si>
    <t>N</t>
  </si>
  <si>
    <t>A2</t>
  </si>
  <si>
    <t>20°10'21'' N</t>
  </si>
  <si>
    <t>101°41'36'' W</t>
  </si>
  <si>
    <t>O</t>
  </si>
  <si>
    <t>A3</t>
  </si>
  <si>
    <t>20°10'48'' N</t>
  </si>
  <si>
    <t>101°41'39'' W</t>
  </si>
  <si>
    <t>A4</t>
  </si>
  <si>
    <t>20°9'4'' N</t>
  </si>
  <si>
    <t>101°41'17'' W</t>
  </si>
  <si>
    <t>A</t>
  </si>
  <si>
    <t>A5</t>
  </si>
  <si>
    <t>20°08'5'' N</t>
  </si>
  <si>
    <t>101°42'4'' W</t>
  </si>
  <si>
    <t>A6</t>
  </si>
  <si>
    <t>C</t>
  </si>
  <si>
    <t>A7</t>
  </si>
  <si>
    <t>19°58'29.95'' N</t>
  </si>
  <si>
    <t>101°40'38.3'' W</t>
  </si>
  <si>
    <t>A8</t>
  </si>
  <si>
    <t>M</t>
  </si>
  <si>
    <t>A9</t>
  </si>
  <si>
    <t>A10</t>
  </si>
  <si>
    <t>19°59'31'' N</t>
  </si>
  <si>
    <t>101°43'43'' W</t>
  </si>
  <si>
    <t>A12</t>
  </si>
  <si>
    <t>19°59'22.14'' N</t>
  </si>
  <si>
    <t>101°43'21.28'' W</t>
  </si>
  <si>
    <t>A13</t>
  </si>
  <si>
    <t>20°1'23.8'' N</t>
  </si>
  <si>
    <t>101°36'26.2'' W</t>
  </si>
  <si>
    <t>I14</t>
  </si>
  <si>
    <t>20°12'19'' N</t>
  </si>
  <si>
    <t>102°28'24'' W</t>
  </si>
  <si>
    <t>I15</t>
  </si>
  <si>
    <t>20°9'47'' N</t>
  </si>
  <si>
    <t>102°28'2'' W</t>
  </si>
  <si>
    <t>I16</t>
  </si>
  <si>
    <t>20°11'1.8'' N</t>
  </si>
  <si>
    <t>102°26'54'' W</t>
  </si>
  <si>
    <t>I17</t>
  </si>
  <si>
    <t>20.18755 N</t>
  </si>
  <si>
    <t>I19</t>
  </si>
  <si>
    <t xml:space="preserve"> 20°10' 55.16''N</t>
  </si>
  <si>
    <t xml:space="preserve"> 102°27'18.54''W</t>
  </si>
  <si>
    <t>I20</t>
  </si>
  <si>
    <t>20.2059 N</t>
  </si>
  <si>
    <t>I21</t>
  </si>
  <si>
    <t>I23</t>
  </si>
  <si>
    <t>20°09'45.88''</t>
  </si>
  <si>
    <t>102°28'1.79''</t>
  </si>
  <si>
    <t>I24</t>
  </si>
  <si>
    <t>20°11'10.84''</t>
  </si>
  <si>
    <t>102° 28' 18.11''</t>
  </si>
  <si>
    <t>I25</t>
  </si>
  <si>
    <t>20.19398N</t>
  </si>
  <si>
    <t>102.47296W</t>
  </si>
  <si>
    <t>I26</t>
  </si>
  <si>
    <t>20.1956N</t>
  </si>
  <si>
    <t>102.47089W</t>
  </si>
  <si>
    <t>T27</t>
  </si>
  <si>
    <t>19°56'50.98''</t>
  </si>
  <si>
    <t>102°09'25.82''</t>
  </si>
  <si>
    <t>T28</t>
  </si>
  <si>
    <t>20°00'38'</t>
  </si>
  <si>
    <t>102°13'25''</t>
  </si>
  <si>
    <t>Z29</t>
  </si>
  <si>
    <t>Z30</t>
  </si>
  <si>
    <t>w102.30913057</t>
  </si>
  <si>
    <t>Z31</t>
  </si>
  <si>
    <t>20°2'19''</t>
  </si>
  <si>
    <t>102° 16' 13'' W</t>
  </si>
  <si>
    <t>Z32</t>
  </si>
  <si>
    <t>20°4'15''N</t>
  </si>
  <si>
    <t>102°15'40''W</t>
  </si>
  <si>
    <t>Z33</t>
  </si>
  <si>
    <t>20°00'38''N</t>
  </si>
  <si>
    <t>Z34</t>
  </si>
  <si>
    <t>20°00'59.54''</t>
  </si>
  <si>
    <t>102°13'34.71''</t>
  </si>
  <si>
    <t>Z35</t>
  </si>
  <si>
    <t>20°3'15''</t>
  </si>
  <si>
    <t>102°17'15''</t>
  </si>
  <si>
    <t>Z36</t>
  </si>
  <si>
    <t>VT</t>
  </si>
  <si>
    <t>19°51'54.26''</t>
  </si>
  <si>
    <t>102°10'06.82''</t>
  </si>
  <si>
    <t>VIVEROS</t>
  </si>
  <si>
    <t>Crown nursery</t>
  </si>
  <si>
    <t>RAIZ DESNUDA</t>
  </si>
  <si>
    <t>DESCONOCIDO</t>
  </si>
  <si>
    <t>Lassen Canyon/ Desconocido</t>
  </si>
  <si>
    <t>Planasa/Plant Scienses</t>
  </si>
  <si>
    <t>Planasa/Valle Dorado</t>
  </si>
  <si>
    <t>RAIZ DESNUDA/CEP</t>
  </si>
  <si>
    <t>AMERICANO</t>
  </si>
  <si>
    <t>CEPELLON</t>
  </si>
  <si>
    <t>PRE-TRASPLANTE</t>
  </si>
  <si>
    <t>20°09'10''</t>
  </si>
  <si>
    <t xml:space="preserve">101°42'46'' </t>
  </si>
  <si>
    <t>20°05'28''</t>
  </si>
  <si>
    <t>101°34'20''</t>
  </si>
  <si>
    <t>20°11'32''</t>
  </si>
  <si>
    <t>101°42'57''</t>
  </si>
  <si>
    <t>20°08'56''</t>
  </si>
  <si>
    <t>101°42'41''</t>
  </si>
  <si>
    <t>20°08'08''</t>
  </si>
  <si>
    <t>101°39'31''</t>
  </si>
  <si>
    <t>19°08'15''</t>
  </si>
  <si>
    <t>101°43'13''</t>
  </si>
  <si>
    <t>20°08'15''</t>
  </si>
  <si>
    <t>101°39'18''</t>
  </si>
  <si>
    <t>20°11'33.09''</t>
  </si>
  <si>
    <t>102°29'23.62''</t>
  </si>
  <si>
    <t>20°11'57.92''</t>
  </si>
  <si>
    <t>102°27''37.65''</t>
  </si>
  <si>
    <t>20°10'54.24''</t>
  </si>
  <si>
    <t>102°27'31.21''</t>
  </si>
  <si>
    <t>20°11´'11.25''</t>
  </si>
  <si>
    <t>102°29'04.35''</t>
  </si>
  <si>
    <t>19°57'03.69''</t>
  </si>
  <si>
    <t>102°08'44.46''</t>
  </si>
  <si>
    <t>20°04'15.17''</t>
  </si>
  <si>
    <t>102°15'39.11''</t>
  </si>
  <si>
    <t>20°01'04.14''</t>
  </si>
  <si>
    <t>102°13'45.04''</t>
  </si>
  <si>
    <t>20°02'17.83''</t>
  </si>
  <si>
    <t>102°16'05.59''</t>
  </si>
  <si>
    <t>20°02'57.17''</t>
  </si>
  <si>
    <t>102°17'04.09''</t>
  </si>
  <si>
    <t>19°58'09.55''N</t>
  </si>
  <si>
    <t>102°18'56.1''W</t>
  </si>
  <si>
    <t>AISLAMINETOS</t>
  </si>
  <si>
    <t>20°04'09.94''</t>
  </si>
  <si>
    <t>102°15'45.23''</t>
  </si>
  <si>
    <t xml:space="preserve">20°04'57.59'' </t>
  </si>
  <si>
    <t>101°34'21.58''</t>
  </si>
  <si>
    <t>20°11'41''</t>
  </si>
  <si>
    <t>102°27'18''</t>
  </si>
  <si>
    <t>20°09'08''</t>
  </si>
  <si>
    <t>101°42'46''</t>
  </si>
  <si>
    <t>20°08'28''</t>
  </si>
  <si>
    <t>101°39'36''</t>
  </si>
  <si>
    <t>19°58'13.96''</t>
  </si>
  <si>
    <t xml:space="preserve"> 101°40'36.21''</t>
  </si>
  <si>
    <t>19°59'03.19''</t>
  </si>
  <si>
    <t>101°39'11.77''</t>
  </si>
  <si>
    <t xml:space="preserve">102°27'18'' </t>
  </si>
  <si>
    <t>20°11'46''</t>
  </si>
  <si>
    <t>102°29'19''</t>
  </si>
  <si>
    <t>20°12'49''</t>
  </si>
  <si>
    <t xml:space="preserve">102°27'45'' </t>
  </si>
  <si>
    <t>19°56'58.26''</t>
  </si>
  <si>
    <t>102°08'39.52''</t>
  </si>
  <si>
    <t>20°01'07.05''</t>
  </si>
  <si>
    <t xml:space="preserve">102°13'49.62'' </t>
  </si>
  <si>
    <t>20°02'17.89''</t>
  </si>
  <si>
    <t xml:space="preserve">102°16'04.79 </t>
  </si>
  <si>
    <t>20°03'01.78''</t>
  </si>
  <si>
    <t>102°16'59.32''</t>
  </si>
  <si>
    <t>20°08''29''</t>
  </si>
  <si>
    <t>101°41'40''</t>
  </si>
  <si>
    <t>PARCELAS COMERCIALES ESTABLECIDAS</t>
  </si>
  <si>
    <t>ORIGEN DE PLANTA PARA VIVERO</t>
  </si>
  <si>
    <t>Ocurrencia de Géneros  de hongos y Oomycetos en tres situaciones diferentes: En planta de viviero;  Antes de transplantar las plántulas de dichos vivero, y En parcelas comercial donde crecieron las plantas establecidas- Frecuencia por etapa. En una misma muestra pueden salir diferentes géneros (Mezclados)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</si>
</sst>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4" borderId="0" xfId="0" applyFill="1"/>
    <xf numFmtId="0" fontId="0" fillId="4" borderId="3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5" borderId="0" xfId="0" applyFill="1"/>
    <xf numFmtId="0" fontId="0" fillId="5" borderId="3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top"/>
    </xf>
    <xf numFmtId="0" fontId="0" fillId="6" borderId="0" xfId="0" applyFill="1" applyAlignment="1">
      <alignment horizontal="center" vertical="center"/>
    </xf>
    <xf numFmtId="14" fontId="0" fillId="3" borderId="1" xfId="0" applyNumberFormat="1" applyFill="1" applyBorder="1" applyAlignment="1">
      <alignment vertical="top"/>
    </xf>
    <xf numFmtId="14" fontId="0" fillId="3" borderId="0" xfId="0" applyNumberFormat="1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center" vertical="top"/>
    </xf>
    <xf numFmtId="0" fontId="0" fillId="3" borderId="2" xfId="0" applyFill="1" applyBorder="1" applyAlignment="1">
      <alignment vertical="top"/>
    </xf>
    <xf numFmtId="14" fontId="0" fillId="3" borderId="2" xfId="0" applyNumberFormat="1" applyFill="1" applyBorder="1" applyAlignment="1">
      <alignment vertical="top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66FF66"/>
      <color rgb="FFFF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55"/>
  <sheetViews>
    <sheetView tabSelected="1" topLeftCell="A15" workbookViewId="0">
      <pane xSplit="1" topLeftCell="B1" activePane="topRight" state="frozen"/>
      <selection pane="topRight" activeCell="A35" sqref="A35:XFD35"/>
    </sheetView>
  </sheetViews>
  <sheetFormatPr baseColWidth="10" defaultRowHeight="15" x14ac:dyDescent="0.2"/>
  <cols>
    <col min="1" max="1" width="10.83203125" style="2"/>
    <col min="2" max="2" width="15.5" customWidth="1"/>
    <col min="3" max="5" width="15.5" style="2" customWidth="1"/>
    <col min="6" max="6" width="9" style="3" customWidth="1"/>
    <col min="7" max="7" width="15.6640625" style="3" customWidth="1"/>
    <col min="8" max="8" width="11.6640625" style="3" customWidth="1"/>
    <col min="9" max="9" width="14.1640625" style="3" customWidth="1"/>
    <col min="10" max="10" width="10.6640625" style="3" customWidth="1"/>
    <col min="11" max="11" width="14" style="3" customWidth="1"/>
    <col min="12" max="12" width="11.6640625" customWidth="1"/>
    <col min="13" max="13" width="10.1640625" customWidth="1"/>
    <col min="14" max="14" width="9.1640625" customWidth="1"/>
    <col min="15" max="15" width="15.6640625" customWidth="1"/>
    <col min="16" max="16" width="9.83203125" customWidth="1"/>
    <col min="17" max="17" width="13.83203125" customWidth="1"/>
    <col min="18" max="18" width="11.33203125" customWidth="1"/>
    <col min="19" max="19" width="13.33203125" customWidth="1"/>
    <col min="20" max="20" width="12.83203125" customWidth="1"/>
    <col min="22" max="22" width="16.1640625" customWidth="1"/>
    <col min="23" max="23" width="14.33203125" customWidth="1"/>
  </cols>
  <sheetData>
    <row r="2" spans="1:23" x14ac:dyDescent="0.2">
      <c r="A2" s="19" t="s">
        <v>0</v>
      </c>
      <c r="B2" s="26" t="s">
        <v>178</v>
      </c>
      <c r="C2" s="26"/>
      <c r="D2" s="25" t="s">
        <v>102</v>
      </c>
      <c r="E2" s="25"/>
      <c r="F2" s="25"/>
      <c r="G2" s="25"/>
      <c r="H2" s="25"/>
      <c r="I2" s="25"/>
      <c r="J2" s="25"/>
      <c r="K2" s="25"/>
      <c r="L2" s="27" t="s">
        <v>112</v>
      </c>
      <c r="M2" s="27"/>
      <c r="N2" s="27"/>
      <c r="O2" s="27"/>
      <c r="P2" s="27"/>
      <c r="Q2" s="27"/>
      <c r="R2" s="27"/>
      <c r="S2" s="23" t="s">
        <v>177</v>
      </c>
      <c r="T2" s="23"/>
      <c r="U2" s="23"/>
      <c r="V2" s="23"/>
      <c r="W2" s="23"/>
    </row>
    <row r="3" spans="1:23" x14ac:dyDescent="0.2">
      <c r="A3" s="19" t="s">
        <v>1</v>
      </c>
      <c r="B3" s="26"/>
      <c r="C3" s="26"/>
      <c r="D3" s="14"/>
      <c r="E3" s="14"/>
      <c r="F3" s="25" t="s">
        <v>3</v>
      </c>
      <c r="G3" s="25"/>
      <c r="H3" s="25"/>
      <c r="I3" s="25"/>
      <c r="J3" s="25"/>
      <c r="K3" s="25"/>
      <c r="L3" s="9"/>
      <c r="M3" s="9"/>
      <c r="N3" s="27" t="s">
        <v>147</v>
      </c>
      <c r="O3" s="27"/>
      <c r="P3" s="27"/>
      <c r="Q3" s="27"/>
      <c r="R3" s="27"/>
      <c r="S3" s="6"/>
      <c r="T3" s="6"/>
      <c r="U3" s="6"/>
      <c r="V3" s="6"/>
      <c r="W3" s="6"/>
    </row>
    <row r="4" spans="1:23" x14ac:dyDescent="0.2">
      <c r="A4" s="19"/>
      <c r="B4" s="26"/>
      <c r="C4" s="26"/>
      <c r="D4" s="24" t="s">
        <v>2</v>
      </c>
      <c r="E4" s="24"/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15" t="s">
        <v>9</v>
      </c>
      <c r="L4" s="9" t="s">
        <v>2</v>
      </c>
      <c r="M4" s="9"/>
      <c r="N4" s="9" t="s">
        <v>4</v>
      </c>
      <c r="O4" s="9" t="s">
        <v>5</v>
      </c>
      <c r="P4" s="9" t="s">
        <v>6</v>
      </c>
      <c r="Q4" s="9" t="s">
        <v>7</v>
      </c>
      <c r="R4" s="9" t="s">
        <v>8</v>
      </c>
      <c r="S4" s="6" t="s">
        <v>2</v>
      </c>
      <c r="T4" s="6"/>
      <c r="U4" s="6" t="s">
        <v>4</v>
      </c>
      <c r="V4" s="6" t="s">
        <v>5</v>
      </c>
      <c r="W4" s="6" t="s">
        <v>7</v>
      </c>
    </row>
    <row r="5" spans="1:23" x14ac:dyDescent="0.2">
      <c r="A5" s="19" t="s">
        <v>10</v>
      </c>
      <c r="B5" s="16" t="s">
        <v>103</v>
      </c>
      <c r="C5" s="17" t="s">
        <v>104</v>
      </c>
      <c r="D5" s="13" t="s">
        <v>11</v>
      </c>
      <c r="E5" s="13" t="s">
        <v>12</v>
      </c>
      <c r="F5" s="15" t="s">
        <v>13</v>
      </c>
      <c r="G5" s="15"/>
      <c r="H5" s="15"/>
      <c r="I5" s="15"/>
      <c r="J5" s="15"/>
      <c r="K5" s="15"/>
      <c r="L5" s="9" t="s">
        <v>115</v>
      </c>
      <c r="M5" s="9" t="s">
        <v>116</v>
      </c>
      <c r="N5" s="12" t="s">
        <v>13</v>
      </c>
      <c r="O5" s="12" t="s">
        <v>14</v>
      </c>
      <c r="P5" s="12"/>
      <c r="Q5" s="12" t="s">
        <v>30</v>
      </c>
      <c r="R5" s="12" t="s">
        <v>25</v>
      </c>
      <c r="S5" s="6" t="s">
        <v>150</v>
      </c>
      <c r="T5" s="6" t="s">
        <v>151</v>
      </c>
      <c r="U5" s="6" t="s">
        <v>13</v>
      </c>
      <c r="V5" s="6" t="s">
        <v>14</v>
      </c>
      <c r="W5" s="6" t="s">
        <v>30</v>
      </c>
    </row>
    <row r="6" spans="1:23" ht="16" x14ac:dyDescent="0.2">
      <c r="A6" s="19" t="s">
        <v>15</v>
      </c>
      <c r="B6" s="16" t="s">
        <v>103</v>
      </c>
      <c r="C6" s="17" t="s">
        <v>104</v>
      </c>
      <c r="D6" s="13" t="s">
        <v>16</v>
      </c>
      <c r="E6" s="13" t="s">
        <v>17</v>
      </c>
      <c r="F6" s="15" t="s">
        <v>13</v>
      </c>
      <c r="G6" s="15" t="s">
        <v>14</v>
      </c>
      <c r="H6" s="15" t="s">
        <v>18</v>
      </c>
      <c r="I6" s="15"/>
      <c r="J6" s="15"/>
      <c r="K6" s="15"/>
      <c r="L6" s="10" t="s">
        <v>113</v>
      </c>
      <c r="M6" s="11" t="s">
        <v>114</v>
      </c>
      <c r="N6" s="12"/>
      <c r="O6" s="12"/>
      <c r="P6" s="12"/>
      <c r="Q6" s="12"/>
      <c r="R6" s="12"/>
      <c r="S6" s="6" t="s">
        <v>113</v>
      </c>
      <c r="T6" s="6" t="s">
        <v>114</v>
      </c>
      <c r="U6" s="6"/>
      <c r="V6" s="6" t="s">
        <v>14</v>
      </c>
      <c r="W6" s="6"/>
    </row>
    <row r="7" spans="1:23" x14ac:dyDescent="0.2">
      <c r="A7" s="19" t="s">
        <v>19</v>
      </c>
      <c r="B7" s="18" t="s">
        <v>103</v>
      </c>
      <c r="C7" s="19" t="s">
        <v>104</v>
      </c>
      <c r="D7" s="13" t="s">
        <v>20</v>
      </c>
      <c r="E7" s="13" t="s">
        <v>21</v>
      </c>
      <c r="F7" s="15" t="s">
        <v>13</v>
      </c>
      <c r="G7" s="15"/>
      <c r="H7" s="15"/>
      <c r="I7" s="15"/>
      <c r="J7" s="15"/>
      <c r="K7" s="15"/>
      <c r="L7" s="9" t="s">
        <v>117</v>
      </c>
      <c r="M7" s="9" t="s">
        <v>118</v>
      </c>
      <c r="N7" s="12" t="s">
        <v>13</v>
      </c>
      <c r="O7" s="12"/>
      <c r="P7" s="12"/>
      <c r="Q7" s="12" t="s">
        <v>30</v>
      </c>
      <c r="R7" s="12"/>
      <c r="S7" s="6" t="s">
        <v>152</v>
      </c>
      <c r="T7" s="6" t="s">
        <v>153</v>
      </c>
      <c r="U7" s="6" t="s">
        <v>13</v>
      </c>
      <c r="V7" s="6" t="s">
        <v>14</v>
      </c>
      <c r="W7" s="6"/>
    </row>
    <row r="8" spans="1:23" x14ac:dyDescent="0.2">
      <c r="A8" s="19" t="s">
        <v>22</v>
      </c>
      <c r="B8" s="18"/>
      <c r="C8" s="19"/>
      <c r="D8" s="13" t="s">
        <v>23</v>
      </c>
      <c r="E8" s="13" t="s">
        <v>24</v>
      </c>
      <c r="F8" s="15" t="s">
        <v>13</v>
      </c>
      <c r="G8" s="15"/>
      <c r="H8" s="15" t="s">
        <v>18</v>
      </c>
      <c r="I8" s="15"/>
      <c r="J8" s="15" t="s">
        <v>25</v>
      </c>
      <c r="K8" s="15"/>
      <c r="L8" s="9"/>
      <c r="M8" s="9"/>
      <c r="N8" s="12"/>
      <c r="O8" s="12"/>
      <c r="P8" s="12"/>
      <c r="Q8" s="12"/>
      <c r="R8" s="12"/>
      <c r="S8" s="6"/>
      <c r="T8" s="6"/>
      <c r="U8" s="6"/>
      <c r="V8" s="6"/>
      <c r="W8" s="6"/>
    </row>
    <row r="9" spans="1:23" x14ac:dyDescent="0.2">
      <c r="A9" s="19" t="s">
        <v>26</v>
      </c>
      <c r="B9" s="18" t="s">
        <v>103</v>
      </c>
      <c r="C9" s="19" t="s">
        <v>104</v>
      </c>
      <c r="D9" s="13" t="s">
        <v>27</v>
      </c>
      <c r="E9" s="13" t="s">
        <v>28</v>
      </c>
      <c r="F9" s="15" t="s">
        <v>13</v>
      </c>
      <c r="G9" s="15"/>
      <c r="H9" s="15" t="s">
        <v>18</v>
      </c>
      <c r="I9" s="15"/>
      <c r="J9" s="15"/>
      <c r="K9" s="15"/>
      <c r="L9" s="9" t="s">
        <v>119</v>
      </c>
      <c r="M9" s="9" t="s">
        <v>120</v>
      </c>
      <c r="N9" s="12" t="s">
        <v>13</v>
      </c>
      <c r="O9" s="12"/>
      <c r="P9" s="12"/>
      <c r="Q9" s="12"/>
      <c r="R9" s="12"/>
      <c r="S9" s="6" t="s">
        <v>154</v>
      </c>
      <c r="T9" s="6" t="s">
        <v>155</v>
      </c>
      <c r="U9" s="6"/>
      <c r="V9" s="6" t="s">
        <v>14</v>
      </c>
      <c r="W9" s="6"/>
    </row>
    <row r="10" spans="1:23" x14ac:dyDescent="0.2">
      <c r="A10" s="19" t="s">
        <v>29</v>
      </c>
      <c r="B10" s="18" t="s">
        <v>105</v>
      </c>
      <c r="C10" s="19" t="s">
        <v>104</v>
      </c>
      <c r="D10" s="13" t="s">
        <v>11</v>
      </c>
      <c r="E10" s="13" t="s">
        <v>12</v>
      </c>
      <c r="F10" s="15" t="s">
        <v>13</v>
      </c>
      <c r="G10" s="15" t="s">
        <v>14</v>
      </c>
      <c r="H10" s="15"/>
      <c r="I10" s="15" t="s">
        <v>30</v>
      </c>
      <c r="J10" s="15"/>
      <c r="K10" s="15"/>
      <c r="L10" s="9" t="s">
        <v>121</v>
      </c>
      <c r="M10" s="9" t="s">
        <v>122</v>
      </c>
      <c r="N10" s="12" t="s">
        <v>13</v>
      </c>
      <c r="O10" s="12" t="s">
        <v>14</v>
      </c>
      <c r="P10" s="12"/>
      <c r="Q10" s="12" t="s">
        <v>30</v>
      </c>
      <c r="R10" s="12"/>
      <c r="S10" s="6" t="s">
        <v>156</v>
      </c>
      <c r="T10" s="6" t="s">
        <v>157</v>
      </c>
      <c r="U10" s="6" t="s">
        <v>13</v>
      </c>
      <c r="V10" s="6" t="s">
        <v>14</v>
      </c>
      <c r="W10" s="6"/>
    </row>
    <row r="11" spans="1:23" x14ac:dyDescent="0.2">
      <c r="A11" s="19" t="s">
        <v>31</v>
      </c>
      <c r="B11" s="18" t="s">
        <v>103</v>
      </c>
      <c r="C11" s="19" t="s">
        <v>104</v>
      </c>
      <c r="D11" s="13" t="s">
        <v>32</v>
      </c>
      <c r="E11" s="13" t="s">
        <v>33</v>
      </c>
      <c r="F11" s="15" t="s">
        <v>13</v>
      </c>
      <c r="G11" s="15"/>
      <c r="H11" s="15" t="s">
        <v>18</v>
      </c>
      <c r="I11" s="15"/>
      <c r="J11" s="15"/>
      <c r="K11" s="15"/>
      <c r="L11" s="9" t="s">
        <v>123</v>
      </c>
      <c r="M11" s="9" t="s">
        <v>124</v>
      </c>
      <c r="N11" s="12" t="s">
        <v>13</v>
      </c>
      <c r="O11" s="12"/>
      <c r="P11" s="12" t="s">
        <v>18</v>
      </c>
      <c r="Q11" s="12" t="s">
        <v>30</v>
      </c>
      <c r="R11" s="12" t="s">
        <v>25</v>
      </c>
      <c r="S11" s="6" t="s">
        <v>158</v>
      </c>
      <c r="T11" s="6" t="s">
        <v>159</v>
      </c>
      <c r="U11" s="6" t="s">
        <v>13</v>
      </c>
      <c r="V11" s="6" t="s">
        <v>14</v>
      </c>
      <c r="W11" s="6" t="s">
        <v>30</v>
      </c>
    </row>
    <row r="12" spans="1:23" x14ac:dyDescent="0.2">
      <c r="A12" s="19" t="s">
        <v>34</v>
      </c>
      <c r="B12" s="18"/>
      <c r="C12" s="19"/>
      <c r="D12" s="13" t="s">
        <v>32</v>
      </c>
      <c r="E12" s="13" t="s">
        <v>33</v>
      </c>
      <c r="F12" s="15" t="s">
        <v>13</v>
      </c>
      <c r="G12" s="15"/>
      <c r="H12" s="15"/>
      <c r="I12" s="15" t="s">
        <v>30</v>
      </c>
      <c r="J12" s="15"/>
      <c r="K12" s="15" t="s">
        <v>35</v>
      </c>
      <c r="L12" s="9"/>
      <c r="M12" s="9"/>
      <c r="N12" s="12"/>
      <c r="O12" s="12"/>
      <c r="P12" s="12"/>
      <c r="Q12" s="12"/>
      <c r="R12" s="12"/>
      <c r="S12" s="6"/>
      <c r="T12" s="6"/>
      <c r="U12" s="6"/>
      <c r="V12" s="6"/>
      <c r="W12" s="6"/>
    </row>
    <row r="13" spans="1:23" x14ac:dyDescent="0.2">
      <c r="A13" s="19" t="s">
        <v>36</v>
      </c>
      <c r="B13" s="18"/>
      <c r="C13" s="19"/>
      <c r="D13" s="13" t="s">
        <v>20</v>
      </c>
      <c r="E13" s="13" t="s">
        <v>21</v>
      </c>
      <c r="F13" s="15" t="s">
        <v>13</v>
      </c>
      <c r="G13" s="15"/>
      <c r="H13" s="15"/>
      <c r="I13" s="15"/>
      <c r="J13" s="15"/>
      <c r="K13" s="15"/>
      <c r="L13" s="9"/>
      <c r="M13" s="9"/>
      <c r="N13" s="12"/>
      <c r="O13" s="12"/>
      <c r="P13" s="12"/>
      <c r="Q13" s="12"/>
      <c r="R13" s="12"/>
      <c r="S13" s="6"/>
      <c r="T13" s="6"/>
      <c r="U13" s="6"/>
      <c r="V13" s="6"/>
      <c r="W13" s="6"/>
    </row>
    <row r="14" spans="1:23" x14ac:dyDescent="0.2">
      <c r="A14" s="19" t="s">
        <v>37</v>
      </c>
      <c r="B14" s="18" t="s">
        <v>103</v>
      </c>
      <c r="C14" s="19" t="s">
        <v>104</v>
      </c>
      <c r="D14" s="13" t="s">
        <v>38</v>
      </c>
      <c r="E14" s="13" t="s">
        <v>39</v>
      </c>
      <c r="F14" s="15" t="s">
        <v>13</v>
      </c>
      <c r="G14" s="15" t="s">
        <v>14</v>
      </c>
      <c r="H14" s="15"/>
      <c r="I14" s="15"/>
      <c r="J14" s="15"/>
      <c r="K14" s="15"/>
      <c r="L14" s="9" t="s">
        <v>125</v>
      </c>
      <c r="M14" s="9" t="s">
        <v>126</v>
      </c>
      <c r="N14" s="12" t="s">
        <v>13</v>
      </c>
      <c r="O14" s="12" t="s">
        <v>14</v>
      </c>
      <c r="P14" s="12"/>
      <c r="Q14" s="12" t="s">
        <v>30</v>
      </c>
      <c r="R14" s="12"/>
      <c r="S14" s="6" t="s">
        <v>160</v>
      </c>
      <c r="T14" s="6" t="s">
        <v>161</v>
      </c>
      <c r="U14" s="6" t="s">
        <v>13</v>
      </c>
      <c r="V14" s="6"/>
      <c r="W14" s="6"/>
    </row>
    <row r="15" spans="1:23" x14ac:dyDescent="0.2">
      <c r="A15" s="19" t="s">
        <v>40</v>
      </c>
      <c r="B15" s="18"/>
      <c r="C15" s="19"/>
      <c r="D15" s="13" t="s">
        <v>41</v>
      </c>
      <c r="E15" s="13" t="s">
        <v>42</v>
      </c>
      <c r="F15" s="15" t="s">
        <v>13</v>
      </c>
      <c r="G15" s="15"/>
      <c r="H15" s="15" t="s">
        <v>18</v>
      </c>
      <c r="I15" s="15"/>
      <c r="J15" s="15"/>
      <c r="K15" s="15"/>
      <c r="L15" s="9"/>
      <c r="M15" s="9"/>
      <c r="N15" s="12"/>
      <c r="O15" s="12"/>
      <c r="P15" s="12"/>
      <c r="Q15" s="12"/>
      <c r="R15" s="12"/>
      <c r="S15" s="6"/>
      <c r="T15" s="6"/>
      <c r="U15" s="6"/>
      <c r="V15" s="6"/>
      <c r="W15" s="6"/>
    </row>
    <row r="16" spans="1:23" x14ac:dyDescent="0.2">
      <c r="A16" s="19" t="s">
        <v>43</v>
      </c>
      <c r="B16" s="18"/>
      <c r="C16" s="19"/>
      <c r="D16" s="13" t="s">
        <v>44</v>
      </c>
      <c r="E16" s="13" t="s">
        <v>45</v>
      </c>
      <c r="F16" s="15" t="s">
        <v>13</v>
      </c>
      <c r="G16" s="15"/>
      <c r="H16" s="15"/>
      <c r="I16" s="15"/>
      <c r="J16" s="15" t="s">
        <v>25</v>
      </c>
      <c r="K16" s="15"/>
      <c r="L16" s="9"/>
      <c r="M16" s="9"/>
      <c r="N16" s="12"/>
      <c r="O16" s="12"/>
      <c r="P16" s="12"/>
      <c r="Q16" s="12"/>
      <c r="R16" s="12"/>
      <c r="S16" s="6"/>
      <c r="T16" s="6"/>
      <c r="U16" s="6"/>
      <c r="V16" s="6"/>
      <c r="W16" s="6"/>
    </row>
    <row r="17" spans="1:23" x14ac:dyDescent="0.2">
      <c r="A17" s="19" t="s">
        <v>46</v>
      </c>
      <c r="B17" s="18" t="s">
        <v>103</v>
      </c>
      <c r="C17" s="19" t="s">
        <v>104</v>
      </c>
      <c r="D17" s="13" t="s">
        <v>47</v>
      </c>
      <c r="E17" s="13" t="s">
        <v>48</v>
      </c>
      <c r="F17" s="15" t="s">
        <v>13</v>
      </c>
      <c r="G17" s="15" t="s">
        <v>14</v>
      </c>
      <c r="H17" s="15"/>
      <c r="I17" s="15"/>
      <c r="J17" s="15"/>
      <c r="K17" s="15" t="s">
        <v>35</v>
      </c>
      <c r="L17" s="9" t="s">
        <v>127</v>
      </c>
      <c r="M17" s="9" t="s">
        <v>128</v>
      </c>
      <c r="N17" s="12" t="s">
        <v>13</v>
      </c>
      <c r="O17" s="12" t="s">
        <v>14</v>
      </c>
      <c r="P17" s="12"/>
      <c r="Q17" s="12"/>
      <c r="R17" s="12"/>
      <c r="S17" s="6" t="s">
        <v>152</v>
      </c>
      <c r="T17" s="6" t="s">
        <v>162</v>
      </c>
      <c r="U17" s="6" t="s">
        <v>13</v>
      </c>
      <c r="V17" s="6" t="s">
        <v>14</v>
      </c>
      <c r="W17" s="6"/>
    </row>
    <row r="18" spans="1:23" x14ac:dyDescent="0.2">
      <c r="A18" s="19" t="s">
        <v>49</v>
      </c>
      <c r="B18" s="18"/>
      <c r="C18" s="19"/>
      <c r="D18" s="13" t="s">
        <v>50</v>
      </c>
      <c r="E18" s="13" t="s">
        <v>51</v>
      </c>
      <c r="F18" s="15" t="s">
        <v>13</v>
      </c>
      <c r="G18" s="15"/>
      <c r="H18" s="15" t="s">
        <v>18</v>
      </c>
      <c r="I18" s="15"/>
      <c r="J18" s="15"/>
      <c r="K18" s="15"/>
      <c r="L18" s="9"/>
      <c r="M18" s="9"/>
      <c r="N18" s="12"/>
      <c r="O18" s="12"/>
      <c r="P18" s="12"/>
      <c r="Q18" s="12"/>
      <c r="R18" s="12"/>
      <c r="S18" s="6"/>
      <c r="T18" s="6"/>
      <c r="U18" s="6"/>
      <c r="V18" s="6"/>
      <c r="W18" s="6"/>
    </row>
    <row r="19" spans="1:23" x14ac:dyDescent="0.2">
      <c r="A19" s="19" t="s">
        <v>52</v>
      </c>
      <c r="B19" s="18"/>
      <c r="C19" s="19"/>
      <c r="D19" s="13" t="s">
        <v>53</v>
      </c>
      <c r="E19" s="13" t="s">
        <v>54</v>
      </c>
      <c r="F19" s="15" t="s">
        <v>13</v>
      </c>
      <c r="G19" s="15"/>
      <c r="H19" s="15"/>
      <c r="I19" s="15"/>
      <c r="J19" s="15"/>
      <c r="K19" s="15" t="s">
        <v>35</v>
      </c>
      <c r="L19" s="9"/>
      <c r="M19" s="9"/>
      <c r="N19" s="12"/>
      <c r="O19" s="12"/>
      <c r="P19" s="12"/>
      <c r="Q19" s="12"/>
      <c r="R19" s="12"/>
      <c r="S19" s="6"/>
      <c r="T19" s="6"/>
      <c r="U19" s="6"/>
      <c r="V19" s="6"/>
      <c r="W19" s="6"/>
    </row>
    <row r="20" spans="1:23" x14ac:dyDescent="0.2">
      <c r="A20" s="19" t="s">
        <v>55</v>
      </c>
      <c r="B20" s="18"/>
      <c r="C20" s="19"/>
      <c r="D20" s="13" t="s">
        <v>56</v>
      </c>
      <c r="E20" s="13">
        <v>-102.45613</v>
      </c>
      <c r="F20" s="15" t="s">
        <v>13</v>
      </c>
      <c r="G20" s="15"/>
      <c r="H20" s="15"/>
      <c r="I20" s="15"/>
      <c r="J20" s="15"/>
      <c r="K20" s="15"/>
      <c r="L20" s="9"/>
      <c r="M20" s="9"/>
      <c r="N20" s="12"/>
      <c r="O20" s="12"/>
      <c r="P20" s="12"/>
      <c r="Q20" s="12"/>
      <c r="R20" s="12"/>
      <c r="S20" s="6"/>
      <c r="T20" s="6"/>
      <c r="U20" s="6"/>
      <c r="V20" s="6"/>
      <c r="W20" s="6"/>
    </row>
    <row r="21" spans="1:23" x14ac:dyDescent="0.2">
      <c r="A21" s="19" t="s">
        <v>57</v>
      </c>
      <c r="B21" s="18"/>
      <c r="C21" s="19"/>
      <c r="D21" s="13" t="s">
        <v>58</v>
      </c>
      <c r="E21" s="13" t="s">
        <v>59</v>
      </c>
      <c r="F21" s="15" t="s">
        <v>13</v>
      </c>
      <c r="G21" s="15"/>
      <c r="H21" s="15"/>
      <c r="I21" s="15" t="s">
        <v>30</v>
      </c>
      <c r="J21" s="15"/>
      <c r="K21" s="15"/>
      <c r="L21" s="9"/>
      <c r="M21" s="9"/>
      <c r="N21" s="12"/>
      <c r="O21" s="12"/>
      <c r="P21" s="12"/>
      <c r="Q21" s="12"/>
      <c r="R21" s="12"/>
      <c r="S21" s="6"/>
      <c r="T21" s="6"/>
      <c r="U21" s="6"/>
      <c r="V21" s="6"/>
      <c r="W21" s="6"/>
    </row>
    <row r="22" spans="1:23" x14ac:dyDescent="0.2">
      <c r="A22" s="19" t="s">
        <v>60</v>
      </c>
      <c r="B22" s="18" t="s">
        <v>103</v>
      </c>
      <c r="C22" s="19" t="s">
        <v>104</v>
      </c>
      <c r="D22" s="13" t="s">
        <v>61</v>
      </c>
      <c r="E22" s="13">
        <v>-102.4646</v>
      </c>
      <c r="F22" s="15" t="s">
        <v>13</v>
      </c>
      <c r="G22" s="15"/>
      <c r="H22" s="15" t="s">
        <v>18</v>
      </c>
      <c r="I22" s="15"/>
      <c r="J22" s="15"/>
      <c r="K22" s="15"/>
      <c r="L22" s="9" t="s">
        <v>129</v>
      </c>
      <c r="M22" s="9" t="s">
        <v>130</v>
      </c>
      <c r="N22" s="12" t="s">
        <v>13</v>
      </c>
      <c r="O22" s="12" t="s">
        <v>14</v>
      </c>
      <c r="P22" s="12"/>
      <c r="Q22" s="12" t="s">
        <v>30</v>
      </c>
      <c r="R22" s="12"/>
      <c r="S22" s="6" t="s">
        <v>163</v>
      </c>
      <c r="T22" s="6" t="s">
        <v>164</v>
      </c>
      <c r="U22" s="6" t="s">
        <v>13</v>
      </c>
      <c r="V22" s="6" t="s">
        <v>14</v>
      </c>
      <c r="W22" s="6"/>
    </row>
    <row r="23" spans="1:23" x14ac:dyDescent="0.2">
      <c r="A23" s="19" t="s">
        <v>62</v>
      </c>
      <c r="B23" s="18"/>
      <c r="C23" s="19"/>
      <c r="D23" s="13" t="s">
        <v>50</v>
      </c>
      <c r="E23" s="13" t="s">
        <v>51</v>
      </c>
      <c r="F23" s="15" t="s">
        <v>13</v>
      </c>
      <c r="G23" s="15"/>
      <c r="H23" s="15"/>
      <c r="I23" s="15"/>
      <c r="J23" s="15"/>
      <c r="K23" s="15"/>
      <c r="L23" s="9"/>
      <c r="M23" s="9"/>
      <c r="N23" s="12"/>
      <c r="O23" s="12"/>
      <c r="P23" s="12"/>
      <c r="Q23" s="12"/>
      <c r="R23" s="12"/>
      <c r="S23" s="6"/>
      <c r="T23" s="6"/>
      <c r="U23" s="6"/>
      <c r="V23" s="6"/>
      <c r="W23" s="6"/>
    </row>
    <row r="24" spans="1:23" x14ac:dyDescent="0.2">
      <c r="A24" s="19" t="s">
        <v>63</v>
      </c>
      <c r="B24" s="18"/>
      <c r="C24" s="19"/>
      <c r="D24" s="13" t="s">
        <v>64</v>
      </c>
      <c r="E24" s="13" t="s">
        <v>65</v>
      </c>
      <c r="F24" s="15" t="s">
        <v>13</v>
      </c>
      <c r="G24" s="15"/>
      <c r="H24" s="15"/>
      <c r="I24" s="15"/>
      <c r="J24" s="15"/>
      <c r="K24" s="15"/>
      <c r="L24" s="9"/>
      <c r="M24" s="9"/>
      <c r="N24" s="12"/>
      <c r="O24" s="12"/>
      <c r="P24" s="12"/>
      <c r="Q24" s="12"/>
      <c r="R24" s="12"/>
      <c r="S24" s="6"/>
      <c r="T24" s="6"/>
      <c r="U24" s="6"/>
      <c r="V24" s="6"/>
      <c r="W24" s="6"/>
    </row>
    <row r="25" spans="1:23" x14ac:dyDescent="0.2">
      <c r="A25" s="19" t="s">
        <v>66</v>
      </c>
      <c r="B25" s="20" t="s">
        <v>106</v>
      </c>
      <c r="C25" s="19" t="s">
        <v>104</v>
      </c>
      <c r="D25" s="13" t="s">
        <v>67</v>
      </c>
      <c r="E25" s="13" t="s">
        <v>68</v>
      </c>
      <c r="F25" s="15" t="s">
        <v>13</v>
      </c>
      <c r="G25" s="15" t="s">
        <v>14</v>
      </c>
      <c r="H25" s="15"/>
      <c r="I25" s="15" t="s">
        <v>30</v>
      </c>
      <c r="J25" s="15"/>
      <c r="K25" s="15"/>
      <c r="L25" s="9" t="s">
        <v>131</v>
      </c>
      <c r="M25" s="9" t="s">
        <v>132</v>
      </c>
      <c r="N25" s="12" t="s">
        <v>13</v>
      </c>
      <c r="O25" s="12" t="s">
        <v>14</v>
      </c>
      <c r="P25" s="12"/>
      <c r="Q25" s="12" t="s">
        <v>30</v>
      </c>
      <c r="R25" s="12"/>
      <c r="S25" s="6" t="s">
        <v>165</v>
      </c>
      <c r="T25" s="6" t="s">
        <v>166</v>
      </c>
      <c r="U25" s="6" t="s">
        <v>13</v>
      </c>
      <c r="V25" s="6" t="s">
        <v>14</v>
      </c>
      <c r="W25" s="6" t="s">
        <v>30</v>
      </c>
    </row>
    <row r="26" spans="1:23" x14ac:dyDescent="0.2">
      <c r="A26" s="19" t="s">
        <v>69</v>
      </c>
      <c r="B26" s="18"/>
      <c r="C26" s="19"/>
      <c r="D26" s="13" t="s">
        <v>70</v>
      </c>
      <c r="E26" s="13" t="s">
        <v>71</v>
      </c>
      <c r="F26" s="15" t="s">
        <v>13</v>
      </c>
      <c r="G26" s="15"/>
      <c r="H26" s="15"/>
      <c r="I26" s="15"/>
      <c r="J26" s="15"/>
      <c r="K26" s="15"/>
      <c r="L26" s="9"/>
      <c r="M26" s="9"/>
      <c r="N26" s="12"/>
      <c r="O26" s="12"/>
      <c r="P26" s="12"/>
      <c r="Q26" s="12"/>
      <c r="R26" s="12"/>
      <c r="S26" s="6"/>
      <c r="T26" s="6"/>
      <c r="U26" s="6"/>
      <c r="V26" s="6"/>
      <c r="W26" s="6"/>
    </row>
    <row r="27" spans="1:23" ht="16" x14ac:dyDescent="0.2">
      <c r="A27" s="19" t="s">
        <v>72</v>
      </c>
      <c r="B27" s="21" t="s">
        <v>108</v>
      </c>
      <c r="C27" s="19" t="s">
        <v>109</v>
      </c>
      <c r="D27" s="13" t="s">
        <v>73</v>
      </c>
      <c r="E27" s="13" t="s">
        <v>74</v>
      </c>
      <c r="F27" s="15" t="s">
        <v>13</v>
      </c>
      <c r="G27" s="15"/>
      <c r="H27" s="15"/>
      <c r="I27" s="15"/>
      <c r="J27" s="15"/>
      <c r="K27" s="15"/>
      <c r="L27" s="9" t="s">
        <v>133</v>
      </c>
      <c r="M27" s="9" t="s">
        <v>134</v>
      </c>
      <c r="N27" s="12" t="s">
        <v>13</v>
      </c>
      <c r="O27" s="12" t="s">
        <v>14</v>
      </c>
      <c r="P27" s="12"/>
      <c r="Q27" s="12" t="s">
        <v>30</v>
      </c>
      <c r="R27" s="12" t="s">
        <v>25</v>
      </c>
      <c r="S27" s="7" t="s">
        <v>175</v>
      </c>
      <c r="T27" s="8" t="s">
        <v>176</v>
      </c>
      <c r="U27" s="6" t="s">
        <v>13</v>
      </c>
      <c r="V27" s="6"/>
      <c r="W27" s="6"/>
    </row>
    <row r="28" spans="1:23" x14ac:dyDescent="0.2">
      <c r="A28" s="19" t="s">
        <v>75</v>
      </c>
      <c r="B28" s="21" t="s">
        <v>107</v>
      </c>
      <c r="C28" s="19" t="s">
        <v>104</v>
      </c>
      <c r="D28" s="13" t="s">
        <v>76</v>
      </c>
      <c r="E28" s="13" t="s">
        <v>77</v>
      </c>
      <c r="F28" s="15" t="s">
        <v>13</v>
      </c>
      <c r="G28" s="15"/>
      <c r="H28" s="15" t="s">
        <v>18</v>
      </c>
      <c r="I28" s="15" t="s">
        <v>30</v>
      </c>
      <c r="J28" s="15" t="s">
        <v>25</v>
      </c>
      <c r="K28" s="15"/>
      <c r="L28" s="9" t="s">
        <v>135</v>
      </c>
      <c r="M28" s="9" t="s">
        <v>136</v>
      </c>
      <c r="N28" s="12" t="s">
        <v>13</v>
      </c>
      <c r="O28" s="12" t="s">
        <v>14</v>
      </c>
      <c r="P28" s="12"/>
      <c r="Q28" s="12" t="s">
        <v>30</v>
      </c>
      <c r="R28" s="12"/>
      <c r="S28" s="6" t="s">
        <v>167</v>
      </c>
      <c r="T28" s="6" t="s">
        <v>168</v>
      </c>
      <c r="U28" s="6" t="s">
        <v>13</v>
      </c>
      <c r="V28" s="6" t="s">
        <v>14</v>
      </c>
      <c r="W28" s="6" t="s">
        <v>30</v>
      </c>
    </row>
    <row r="29" spans="1:23" x14ac:dyDescent="0.2">
      <c r="A29" s="19" t="s">
        <v>78</v>
      </c>
      <c r="B29" s="18"/>
      <c r="C29" s="19"/>
      <c r="D29" s="13" t="s">
        <v>79</v>
      </c>
      <c r="E29" s="13" t="s">
        <v>80</v>
      </c>
      <c r="F29" s="15" t="s">
        <v>13</v>
      </c>
      <c r="G29" s="15"/>
      <c r="H29" s="15"/>
      <c r="I29" s="15"/>
      <c r="J29" s="15"/>
      <c r="K29" s="15"/>
      <c r="L29" s="9"/>
      <c r="M29" s="9"/>
      <c r="N29" s="12"/>
      <c r="O29" s="12"/>
      <c r="P29" s="12"/>
      <c r="Q29" s="12"/>
      <c r="R29" s="12"/>
      <c r="S29" s="6"/>
      <c r="T29" s="6"/>
      <c r="U29" s="6"/>
      <c r="V29" s="6"/>
      <c r="W29" s="6"/>
    </row>
    <row r="30" spans="1:23" x14ac:dyDescent="0.2">
      <c r="A30" s="19" t="s">
        <v>81</v>
      </c>
      <c r="B30" s="18"/>
      <c r="C30" s="19"/>
      <c r="D30" s="13"/>
      <c r="E30" s="13"/>
      <c r="F30" s="15" t="s">
        <v>13</v>
      </c>
      <c r="G30" s="15"/>
      <c r="H30" s="15"/>
      <c r="I30" s="15"/>
      <c r="J30" s="15"/>
      <c r="K30" s="15"/>
      <c r="L30" s="9"/>
      <c r="M30" s="9"/>
      <c r="N30" s="12"/>
      <c r="O30" s="12"/>
      <c r="P30" s="12"/>
      <c r="Q30" s="12"/>
      <c r="R30" s="12"/>
      <c r="S30" s="6"/>
      <c r="T30" s="6"/>
      <c r="U30" s="6"/>
      <c r="V30" s="6"/>
      <c r="W30" s="6"/>
    </row>
    <row r="31" spans="1:23" x14ac:dyDescent="0.2">
      <c r="A31" s="19" t="s">
        <v>82</v>
      </c>
      <c r="B31" s="18"/>
      <c r="C31" s="19"/>
      <c r="D31" s="13">
        <v>20.141248000000001</v>
      </c>
      <c r="E31" s="13" t="s">
        <v>83</v>
      </c>
      <c r="F31" s="15" t="s">
        <v>13</v>
      </c>
      <c r="G31" s="15"/>
      <c r="H31" s="15"/>
      <c r="I31" s="15" t="s">
        <v>30</v>
      </c>
      <c r="J31" s="15"/>
      <c r="K31" s="15"/>
      <c r="L31" s="9"/>
      <c r="M31" s="9"/>
      <c r="N31" s="12"/>
      <c r="O31" s="12"/>
      <c r="P31" s="12"/>
      <c r="Q31" s="12"/>
      <c r="R31" s="12"/>
      <c r="S31" s="6"/>
      <c r="T31" s="6"/>
      <c r="U31" s="6"/>
      <c r="V31" s="6"/>
      <c r="W31" s="6"/>
    </row>
    <row r="32" spans="1:23" x14ac:dyDescent="0.2">
      <c r="A32" s="19" t="s">
        <v>84</v>
      </c>
      <c r="B32" s="18" t="s">
        <v>103</v>
      </c>
      <c r="C32" s="19" t="s">
        <v>104</v>
      </c>
      <c r="D32" s="13" t="s">
        <v>85</v>
      </c>
      <c r="E32" s="13" t="s">
        <v>86</v>
      </c>
      <c r="F32" s="15" t="s">
        <v>13</v>
      </c>
      <c r="G32" s="15" t="s">
        <v>14</v>
      </c>
      <c r="H32" s="15"/>
      <c r="I32" s="15"/>
      <c r="J32" s="15"/>
      <c r="K32" s="15"/>
      <c r="L32" s="9" t="s">
        <v>137</v>
      </c>
      <c r="M32" s="9" t="s">
        <v>138</v>
      </c>
      <c r="N32" s="12" t="s">
        <v>13</v>
      </c>
      <c r="O32" s="12" t="s">
        <v>14</v>
      </c>
      <c r="P32" s="12"/>
      <c r="Q32" s="12" t="s">
        <v>30</v>
      </c>
      <c r="R32" s="12"/>
      <c r="S32" s="6" t="s">
        <v>148</v>
      </c>
      <c r="T32" s="6" t="s">
        <v>149</v>
      </c>
      <c r="U32" s="6" t="s">
        <v>13</v>
      </c>
      <c r="V32" s="6" t="s">
        <v>14</v>
      </c>
      <c r="W32" s="6"/>
    </row>
    <row r="33" spans="1:23" x14ac:dyDescent="0.2">
      <c r="A33" s="19" t="s">
        <v>87</v>
      </c>
      <c r="B33" s="18"/>
      <c r="C33" s="19"/>
      <c r="D33" s="13" t="s">
        <v>88</v>
      </c>
      <c r="E33" s="13" t="s">
        <v>89</v>
      </c>
      <c r="F33" s="15" t="s">
        <v>13</v>
      </c>
      <c r="G33" s="15" t="s">
        <v>14</v>
      </c>
      <c r="H33" s="15"/>
      <c r="I33" s="15"/>
      <c r="J33" s="15"/>
      <c r="K33" s="15"/>
      <c r="L33" s="9"/>
      <c r="M33" s="9"/>
      <c r="N33" s="12"/>
      <c r="O33" s="12"/>
      <c r="P33" s="12"/>
      <c r="Q33" s="12"/>
      <c r="R33" s="12"/>
      <c r="S33" s="6"/>
      <c r="T33" s="6"/>
      <c r="U33" s="6"/>
      <c r="V33" s="6"/>
      <c r="W33" s="6"/>
    </row>
    <row r="34" spans="1:23" x14ac:dyDescent="0.2">
      <c r="A34" s="19" t="s">
        <v>90</v>
      </c>
      <c r="B34" s="18"/>
      <c r="C34" s="19"/>
      <c r="D34" s="13" t="s">
        <v>91</v>
      </c>
      <c r="E34" s="13"/>
      <c r="F34" s="15" t="s">
        <v>13</v>
      </c>
      <c r="G34" s="15"/>
      <c r="H34" s="15"/>
      <c r="I34" s="15"/>
      <c r="J34" s="15"/>
      <c r="K34" s="15"/>
      <c r="L34" s="9"/>
      <c r="M34" s="9"/>
      <c r="N34" s="12"/>
      <c r="O34" s="12"/>
      <c r="P34" s="12"/>
      <c r="Q34" s="12"/>
      <c r="R34" s="12"/>
      <c r="S34" s="6"/>
      <c r="T34" s="6"/>
      <c r="U34" s="6"/>
      <c r="V34" s="6"/>
      <c r="W34" s="6"/>
    </row>
    <row r="35" spans="1:23" x14ac:dyDescent="0.2">
      <c r="A35" s="19" t="s">
        <v>92</v>
      </c>
      <c r="B35" s="18" t="s">
        <v>103</v>
      </c>
      <c r="C35" s="19" t="s">
        <v>104</v>
      </c>
      <c r="D35" s="13" t="s">
        <v>93</v>
      </c>
      <c r="E35" s="13" t="s">
        <v>94</v>
      </c>
      <c r="F35" s="15" t="s">
        <v>13</v>
      </c>
      <c r="G35" s="15" t="s">
        <v>14</v>
      </c>
      <c r="H35" s="15" t="s">
        <v>18</v>
      </c>
      <c r="I35" s="15"/>
      <c r="J35" s="15" t="s">
        <v>25</v>
      </c>
      <c r="K35" s="15"/>
      <c r="L35" s="9" t="s">
        <v>139</v>
      </c>
      <c r="M35" s="9" t="s">
        <v>140</v>
      </c>
      <c r="N35" s="12"/>
      <c r="O35" s="12" t="s">
        <v>14</v>
      </c>
      <c r="P35" s="12" t="s">
        <v>14</v>
      </c>
      <c r="Q35" s="12"/>
      <c r="R35" s="12"/>
      <c r="S35" s="6" t="s">
        <v>169</v>
      </c>
      <c r="T35" s="6" t="s">
        <v>170</v>
      </c>
      <c r="U35" s="6" t="s">
        <v>13</v>
      </c>
      <c r="V35" s="6" t="s">
        <v>14</v>
      </c>
      <c r="W35" s="6"/>
    </row>
    <row r="36" spans="1:23" x14ac:dyDescent="0.2">
      <c r="A36" s="19" t="s">
        <v>95</v>
      </c>
      <c r="B36" s="18" t="s">
        <v>110</v>
      </c>
      <c r="C36" s="19" t="s">
        <v>104</v>
      </c>
      <c r="D36" s="13" t="s">
        <v>96</v>
      </c>
      <c r="E36" s="13" t="s">
        <v>97</v>
      </c>
      <c r="F36" s="15" t="s">
        <v>13</v>
      </c>
      <c r="G36" s="15" t="s">
        <v>14</v>
      </c>
      <c r="H36" s="15"/>
      <c r="I36" s="15"/>
      <c r="J36" s="15"/>
      <c r="K36" s="15"/>
      <c r="L36" s="9" t="s">
        <v>141</v>
      </c>
      <c r="M36" s="9" t="s">
        <v>142</v>
      </c>
      <c r="N36" s="12" t="s">
        <v>13</v>
      </c>
      <c r="O36" s="12" t="s">
        <v>14</v>
      </c>
      <c r="P36" s="12"/>
      <c r="Q36" s="12" t="s">
        <v>30</v>
      </c>
      <c r="R36" s="12"/>
      <c r="S36" s="6" t="s">
        <v>171</v>
      </c>
      <c r="T36" s="6" t="s">
        <v>172</v>
      </c>
      <c r="U36" s="6" t="s">
        <v>13</v>
      </c>
      <c r="V36" s="6" t="s">
        <v>14</v>
      </c>
      <c r="W36" s="6"/>
    </row>
    <row r="37" spans="1:23" x14ac:dyDescent="0.2">
      <c r="A37" s="19" t="s">
        <v>98</v>
      </c>
      <c r="B37" s="18" t="s">
        <v>110</v>
      </c>
      <c r="C37" s="19" t="s">
        <v>111</v>
      </c>
      <c r="D37" s="13" t="s">
        <v>96</v>
      </c>
      <c r="E37" s="13" t="s">
        <v>97</v>
      </c>
      <c r="F37" s="15" t="s">
        <v>13</v>
      </c>
      <c r="G37" s="15" t="s">
        <v>14</v>
      </c>
      <c r="H37" s="15"/>
      <c r="I37" s="15"/>
      <c r="J37" s="15"/>
      <c r="K37" s="15"/>
      <c r="L37" s="9" t="s">
        <v>143</v>
      </c>
      <c r="M37" s="9" t="s">
        <v>144</v>
      </c>
      <c r="N37" s="12" t="s">
        <v>13</v>
      </c>
      <c r="O37" s="12" t="s">
        <v>14</v>
      </c>
      <c r="P37" s="12"/>
      <c r="Q37" s="12"/>
      <c r="R37" s="12" t="s">
        <v>25</v>
      </c>
      <c r="S37" s="6" t="s">
        <v>173</v>
      </c>
      <c r="T37" s="6" t="s">
        <v>174</v>
      </c>
      <c r="U37" s="6" t="s">
        <v>13</v>
      </c>
      <c r="V37" s="6" t="s">
        <v>14</v>
      </c>
      <c r="W37" s="6"/>
    </row>
    <row r="38" spans="1:23" x14ac:dyDescent="0.2">
      <c r="A38" s="19" t="s">
        <v>99</v>
      </c>
      <c r="B38" s="18"/>
      <c r="C38" s="19"/>
      <c r="D38" s="13" t="s">
        <v>100</v>
      </c>
      <c r="E38" s="13" t="s">
        <v>101</v>
      </c>
      <c r="F38" s="15" t="s">
        <v>13</v>
      </c>
      <c r="G38" s="15" t="s">
        <v>14</v>
      </c>
      <c r="H38" s="15"/>
      <c r="I38" s="15"/>
      <c r="J38" s="15"/>
      <c r="K38" s="15"/>
      <c r="L38" s="9" t="s">
        <v>100</v>
      </c>
      <c r="M38" s="9" t="s">
        <v>101</v>
      </c>
      <c r="N38" s="12" t="s">
        <v>13</v>
      </c>
      <c r="O38" s="12" t="s">
        <v>14</v>
      </c>
      <c r="P38" s="12"/>
      <c r="Q38" s="12"/>
      <c r="R38" s="12"/>
      <c r="S38" s="6" t="s">
        <v>145</v>
      </c>
      <c r="T38" s="6" t="s">
        <v>146</v>
      </c>
      <c r="U38" s="6" t="s">
        <v>13</v>
      </c>
      <c r="V38" s="6" t="s">
        <v>14</v>
      </c>
      <c r="W38" s="6"/>
    </row>
    <row r="39" spans="1:23" x14ac:dyDescent="0.2">
      <c r="F39" s="5">
        <v>34</v>
      </c>
      <c r="G39" s="5">
        <v>10</v>
      </c>
      <c r="H39" s="5">
        <v>9</v>
      </c>
      <c r="I39" s="5">
        <v>6</v>
      </c>
      <c r="J39" s="5">
        <v>4</v>
      </c>
      <c r="K39" s="5">
        <v>3</v>
      </c>
      <c r="L39" s="1"/>
      <c r="N39" s="4">
        <v>17</v>
      </c>
      <c r="O39" s="4">
        <v>15</v>
      </c>
      <c r="P39" s="4">
        <v>1</v>
      </c>
      <c r="Q39" s="4">
        <v>11</v>
      </c>
      <c r="R39" s="4">
        <v>5</v>
      </c>
      <c r="T39" s="4">
        <v>17</v>
      </c>
      <c r="U39" s="4">
        <v>15</v>
      </c>
      <c r="V39" s="4">
        <v>15</v>
      </c>
      <c r="W39" s="4">
        <v>4</v>
      </c>
    </row>
    <row r="40" spans="1:23" x14ac:dyDescent="0.2">
      <c r="F40" s="5">
        <v>100</v>
      </c>
      <c r="G40" s="5">
        <v>30</v>
      </c>
      <c r="H40" s="5">
        <v>26.470588235294116</v>
      </c>
      <c r="I40" s="5">
        <v>17.647058823529413</v>
      </c>
      <c r="J40" s="5">
        <v>11.764705882352942</v>
      </c>
      <c r="K40" s="5">
        <v>8.8235294117647065</v>
      </c>
      <c r="L40" s="1"/>
      <c r="N40" s="4">
        <f>N39*100/17</f>
        <v>100</v>
      </c>
      <c r="O40" s="4">
        <f>O39*100/17</f>
        <v>88.235294117647058</v>
      </c>
      <c r="P40" s="4">
        <f>P39*100/17</f>
        <v>5.882352941176471</v>
      </c>
      <c r="Q40" s="4">
        <f>Q39*100/17</f>
        <v>64.705882352941174</v>
      </c>
      <c r="R40" s="4">
        <f>R39*100/17</f>
        <v>29.411764705882351</v>
      </c>
      <c r="U40">
        <f>U39*100/T39</f>
        <v>88.235294117647058</v>
      </c>
      <c r="V40">
        <f>V39*100/T39</f>
        <v>88.235294117647058</v>
      </c>
      <c r="W40">
        <f>W39*100/T39</f>
        <v>23.529411764705884</v>
      </c>
    </row>
    <row r="43" spans="1:23" x14ac:dyDescent="0.2">
      <c r="B43" s="28" t="s">
        <v>179</v>
      </c>
      <c r="C43" s="22"/>
      <c r="D43" s="22"/>
      <c r="E43" s="22"/>
      <c r="F43" s="22"/>
      <c r="G43" s="22"/>
      <c r="H43" s="22"/>
      <c r="I43" s="22"/>
      <c r="J43" s="22"/>
    </row>
    <row r="44" spans="1:23" x14ac:dyDescent="0.2">
      <c r="B44" s="22"/>
      <c r="C44" s="22"/>
      <c r="D44" s="22"/>
      <c r="E44" s="22"/>
      <c r="F44" s="22"/>
      <c r="G44" s="22"/>
      <c r="H44" s="22"/>
      <c r="I44" s="22"/>
      <c r="J44" s="22"/>
    </row>
    <row r="45" spans="1:23" x14ac:dyDescent="0.2">
      <c r="B45" s="22"/>
      <c r="C45" s="22"/>
      <c r="D45" s="22"/>
      <c r="E45" s="22"/>
      <c r="F45" s="22"/>
      <c r="G45" s="22"/>
      <c r="H45" s="22"/>
      <c r="I45" s="22"/>
      <c r="J45" s="22"/>
    </row>
    <row r="46" spans="1:23" x14ac:dyDescent="0.2">
      <c r="B46" s="22"/>
      <c r="C46" s="22"/>
      <c r="D46" s="22"/>
      <c r="E46" s="22"/>
      <c r="F46" s="22"/>
      <c r="G46" s="22"/>
      <c r="H46" s="22"/>
      <c r="I46" s="22"/>
      <c r="J46" s="22"/>
    </row>
    <row r="47" spans="1:23" x14ac:dyDescent="0.2">
      <c r="B47" s="22"/>
      <c r="C47" s="22"/>
      <c r="D47" s="22"/>
      <c r="E47" s="22"/>
      <c r="F47" s="22"/>
      <c r="G47" s="22"/>
      <c r="H47" s="22"/>
      <c r="I47" s="22"/>
      <c r="J47" s="22"/>
    </row>
    <row r="48" spans="1:23" x14ac:dyDescent="0.2">
      <c r="B48" s="22"/>
      <c r="C48" s="22"/>
      <c r="D48" s="22"/>
      <c r="E48" s="22"/>
      <c r="F48" s="22"/>
      <c r="G48" s="22"/>
      <c r="H48" s="22"/>
      <c r="I48" s="22"/>
      <c r="J48" s="22"/>
    </row>
    <row r="49" spans="2:10" x14ac:dyDescent="0.2">
      <c r="B49" s="22"/>
      <c r="C49" s="22"/>
      <c r="D49" s="22"/>
      <c r="E49" s="22"/>
      <c r="F49" s="22"/>
      <c r="G49" s="22"/>
      <c r="H49" s="22"/>
      <c r="I49" s="22"/>
      <c r="J49" s="22"/>
    </row>
    <row r="50" spans="2:10" x14ac:dyDescent="0.2">
      <c r="B50" s="22"/>
      <c r="C50" s="22"/>
      <c r="D50" s="22"/>
      <c r="E50" s="22"/>
      <c r="F50" s="22"/>
      <c r="G50" s="22"/>
      <c r="H50" s="22"/>
      <c r="I50" s="22"/>
      <c r="J50" s="22"/>
    </row>
    <row r="51" spans="2:10" x14ac:dyDescent="0.2">
      <c r="B51" s="22"/>
      <c r="C51" s="22"/>
      <c r="D51" s="22"/>
      <c r="E51" s="22"/>
      <c r="F51" s="22"/>
      <c r="G51" s="22"/>
      <c r="H51" s="22"/>
      <c r="I51" s="22"/>
      <c r="J51" s="22"/>
    </row>
    <row r="52" spans="2:10" x14ac:dyDescent="0.2">
      <c r="B52" s="22"/>
      <c r="C52" s="22"/>
      <c r="D52" s="22"/>
      <c r="E52" s="22"/>
      <c r="F52" s="22"/>
      <c r="G52" s="22"/>
      <c r="H52" s="22"/>
      <c r="I52" s="22"/>
      <c r="J52" s="22"/>
    </row>
    <row r="53" spans="2:10" x14ac:dyDescent="0.2">
      <c r="B53" s="22"/>
      <c r="C53" s="22"/>
      <c r="D53" s="22"/>
      <c r="E53" s="22"/>
      <c r="F53" s="22"/>
      <c r="G53" s="22"/>
      <c r="H53" s="22"/>
      <c r="I53" s="22"/>
      <c r="J53" s="22"/>
    </row>
    <row r="54" spans="2:10" x14ac:dyDescent="0.2">
      <c r="B54" s="22"/>
      <c r="C54" s="22"/>
      <c r="D54" s="22"/>
      <c r="E54" s="22"/>
      <c r="F54" s="22"/>
      <c r="G54" s="22"/>
      <c r="H54" s="22"/>
      <c r="I54" s="22"/>
      <c r="J54" s="22"/>
    </row>
    <row r="55" spans="2:10" x14ac:dyDescent="0.2">
      <c r="B55" s="22"/>
      <c r="C55" s="22"/>
      <c r="D55" s="22"/>
      <c r="E55" s="22"/>
      <c r="F55" s="22"/>
      <c r="G55" s="22"/>
      <c r="H55" s="22"/>
      <c r="I55" s="22"/>
      <c r="J55" s="22"/>
    </row>
  </sheetData>
  <mergeCells count="8">
    <mergeCell ref="B43:J55"/>
    <mergeCell ref="S2:W2"/>
    <mergeCell ref="D4:E4"/>
    <mergeCell ref="D2:K2"/>
    <mergeCell ref="B2:C4"/>
    <mergeCell ref="F3:K3"/>
    <mergeCell ref="L2:R2"/>
    <mergeCell ref="N3:R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CONCENTRADO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MERARI</dc:creator>
  <cp:lastModifiedBy>DR</cp:lastModifiedBy>
  <dcterms:created xsi:type="dcterms:W3CDTF">2020-01-30T02:43:03Z</dcterms:created>
  <dcterms:modified xsi:type="dcterms:W3CDTF">2025-06-06T22:03:40Z</dcterms:modified>
</cp:coreProperties>
</file>