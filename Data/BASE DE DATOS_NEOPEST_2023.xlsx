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Fresa_Neopestalotiopsis/Data/"/>
    </mc:Choice>
  </mc:AlternateContent>
  <xr:revisionPtr revIDLastSave="0" documentId="13_ncr:1_{D8CBEB64-ECD2-914B-8E80-B80EF0897050}" xr6:coauthVersionLast="47" xr6:coauthVersionMax="47" xr10:uidLastSave="{00000000-0000-0000-0000-000000000000}"/>
  <bookViews>
    <workbookView xWindow="0" yWindow="660" windowWidth="29400" windowHeight="18460" activeTab="5" xr2:uid="{19BB3946-1430-4D03-9B13-CDC58D0C0803}"/>
  </bookViews>
  <sheets>
    <sheet name="ENTREVISTAS" sheetId="8" r:id="rId1"/>
    <sheet name="VARIABLES_EPI" sheetId="2" r:id="rId2"/>
    <sheet name="EVALUACIONES_campo" sheetId="5" r:id="rId3"/>
    <sheet name="AISLAMIENTOS" sheetId="4" r:id="rId4"/>
    <sheet name="resumen_aislamientos" sheetId="9" r:id="rId5"/>
    <sheet name="desgloce_aislamientos" sheetId="10" r:id="rId6"/>
  </sheets>
  <definedNames>
    <definedName name="_xlchart.v1.0" hidden="1">VARIABLES_EPI!$L$3:$L$143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2" i="2" l="1"/>
  <c r="X60" i="2"/>
  <c r="X61" i="2"/>
  <c r="X59" i="2"/>
  <c r="U61" i="2"/>
  <c r="U60" i="2"/>
  <c r="U59" i="2"/>
  <c r="T61" i="2"/>
  <c r="T60" i="2"/>
  <c r="T59" i="2"/>
  <c r="W61" i="2"/>
  <c r="W60" i="2"/>
  <c r="W59" i="2"/>
  <c r="Q61" i="2"/>
  <c r="Q60" i="2"/>
  <c r="R61" i="2"/>
  <c r="R60" i="2"/>
  <c r="R59" i="2"/>
  <c r="Q59" i="2"/>
  <c r="V61" i="2"/>
  <c r="V60" i="2"/>
  <c r="V59" i="2"/>
  <c r="S61" i="2"/>
  <c r="S60" i="2"/>
  <c r="S59" i="2"/>
  <c r="P61" i="2"/>
  <c r="P60" i="2"/>
  <c r="P59" i="2"/>
  <c r="L151" i="2"/>
  <c r="M146" i="2"/>
  <c r="M147" i="2"/>
  <c r="M145" i="2"/>
  <c r="L146" i="2"/>
  <c r="L147" i="2"/>
  <c r="L145" i="2"/>
  <c r="K146" i="2"/>
  <c r="K147" i="2"/>
  <c r="K145" i="2"/>
  <c r="E132" i="2"/>
  <c r="E121" i="2"/>
  <c r="E87" i="2"/>
  <c r="E130" i="2"/>
  <c r="E105" i="2"/>
  <c r="E72" i="2"/>
  <c r="E106" i="2"/>
  <c r="E117" i="2"/>
  <c r="E89" i="2"/>
  <c r="E126" i="2"/>
  <c r="E118" i="2"/>
  <c r="E112" i="2"/>
  <c r="E115" i="2"/>
  <c r="E133" i="2"/>
  <c r="E113" i="2"/>
  <c r="E110" i="2"/>
  <c r="E125" i="2"/>
  <c r="E32" i="2"/>
  <c r="E35" i="2"/>
  <c r="E53" i="2"/>
  <c r="E123" i="2"/>
  <c r="E64" i="2"/>
  <c r="E44" i="2"/>
  <c r="E58" i="2"/>
  <c r="E25" i="2"/>
  <c r="E71" i="2"/>
  <c r="E54" i="2"/>
  <c r="E57" i="2"/>
  <c r="E59" i="2"/>
  <c r="E52" i="2"/>
  <c r="E37" i="2"/>
  <c r="E56" i="2"/>
  <c r="E33" i="2"/>
  <c r="E34" i="2"/>
  <c r="E38" i="2"/>
  <c r="E78" i="2"/>
  <c r="E69" i="2"/>
  <c r="E76" i="2"/>
  <c r="E70" i="2"/>
  <c r="E116" i="2"/>
  <c r="E81" i="2"/>
  <c r="E26" i="2"/>
  <c r="E19" i="2"/>
  <c r="E61" i="2"/>
  <c r="E40" i="2"/>
  <c r="E93" i="2"/>
  <c r="E50" i="2"/>
  <c r="E4" i="2"/>
  <c r="E11" i="2"/>
  <c r="E6" i="2"/>
  <c r="E24" i="2"/>
  <c r="E46" i="2"/>
  <c r="E27" i="2"/>
  <c r="E30" i="2"/>
  <c r="E15" i="2"/>
  <c r="E84" i="2"/>
  <c r="E97" i="2"/>
  <c r="E22" i="2"/>
  <c r="E9" i="2"/>
  <c r="E107" i="2"/>
  <c r="E5" i="2"/>
  <c r="E16" i="2"/>
  <c r="E17" i="2"/>
  <c r="E138" i="2"/>
  <c r="E23" i="2"/>
  <c r="E68" i="2"/>
  <c r="E41" i="2"/>
  <c r="E42" i="2"/>
  <c r="E20" i="2"/>
  <c r="E60" i="2"/>
  <c r="E55" i="2"/>
  <c r="E108" i="2"/>
  <c r="E7" i="2"/>
  <c r="E29" i="2"/>
  <c r="E80" i="2"/>
  <c r="E36" i="2"/>
  <c r="E48" i="2"/>
  <c r="E62" i="2"/>
  <c r="E10" i="2"/>
  <c r="E67" i="2"/>
  <c r="E12" i="2"/>
  <c r="E31" i="2"/>
  <c r="E13" i="2"/>
  <c r="E8" i="2"/>
  <c r="E43" i="2"/>
  <c r="E3" i="2"/>
  <c r="E88" i="2"/>
  <c r="E66" i="2"/>
  <c r="E103" i="2"/>
  <c r="E73" i="2"/>
  <c r="E74" i="2"/>
  <c r="E14" i="2"/>
  <c r="E111" i="2"/>
  <c r="E139" i="2"/>
  <c r="E79" i="2"/>
  <c r="E140" i="2"/>
  <c r="E141" i="2"/>
  <c r="E135" i="2"/>
  <c r="E102" i="2"/>
  <c r="E142" i="2"/>
  <c r="E122" i="2"/>
  <c r="E143" i="2"/>
  <c r="E127" i="2"/>
  <c r="E134" i="2"/>
  <c r="E119" i="2"/>
  <c r="E86" i="2"/>
  <c r="E83" i="2"/>
  <c r="E92" i="2"/>
  <c r="E77" i="2"/>
  <c r="E28" i="2"/>
  <c r="E109" i="2"/>
  <c r="E94" i="2"/>
  <c r="E99" i="2"/>
  <c r="E47" i="2"/>
  <c r="E120" i="2"/>
  <c r="E114" i="2"/>
  <c r="E18" i="2"/>
  <c r="E100" i="2"/>
  <c r="E51" i="2"/>
  <c r="E85" i="2"/>
  <c r="E21" i="2"/>
  <c r="E45" i="2"/>
  <c r="E63" i="2"/>
  <c r="E95" i="2"/>
  <c r="E101" i="2"/>
  <c r="E75" i="2"/>
  <c r="E65" i="2"/>
  <c r="E39" i="2"/>
  <c r="E96" i="2"/>
  <c r="E49" i="2"/>
  <c r="BD12" i="4"/>
  <c r="W34" i="2"/>
  <c r="AC34" i="2" s="1"/>
  <c r="C147" i="8"/>
  <c r="L289" i="4"/>
  <c r="O145" i="8"/>
  <c r="N145" i="8"/>
  <c r="F176" i="9"/>
  <c r="F175" i="9"/>
  <c r="F179" i="9"/>
  <c r="F181" i="9"/>
  <c r="F180" i="9"/>
  <c r="F178" i="9"/>
  <c r="F177" i="9"/>
  <c r="F174" i="9"/>
  <c r="F155" i="9"/>
  <c r="F156" i="9"/>
  <c r="F157" i="9"/>
  <c r="F158" i="9"/>
  <c r="F159" i="9"/>
  <c r="F160" i="9"/>
  <c r="F161" i="9"/>
  <c r="F162" i="9"/>
  <c r="F163" i="9"/>
  <c r="F164" i="9"/>
  <c r="F165" i="9"/>
  <c r="F173" i="9"/>
  <c r="F172" i="9"/>
  <c r="AE62" i="2"/>
  <c r="AE61" i="2"/>
  <c r="AE60" i="2"/>
  <c r="AD62" i="2"/>
  <c r="AD61" i="2"/>
  <c r="AD60" i="2"/>
  <c r="AE59" i="2"/>
  <c r="AD59" i="2"/>
  <c r="AC59" i="2"/>
  <c r="AC60" i="2"/>
  <c r="AC61" i="2"/>
  <c r="AC62" i="2"/>
  <c r="AC42" i="2"/>
  <c r="AD42" i="2"/>
  <c r="AE42" i="2"/>
  <c r="W44" i="2"/>
  <c r="AC44" i="2" s="1"/>
  <c r="W45" i="2"/>
  <c r="AC45" i="2" s="1"/>
  <c r="W46" i="2"/>
  <c r="AC46" i="2" s="1"/>
  <c r="W47" i="2"/>
  <c r="AC47" i="2" s="1"/>
  <c r="W48" i="2"/>
  <c r="AC48" i="2" s="1"/>
  <c r="W49" i="2"/>
  <c r="AC49" i="2" s="1"/>
  <c r="W50" i="2"/>
  <c r="AC50" i="2" s="1"/>
  <c r="W51" i="2"/>
  <c r="AC51" i="2" s="1"/>
  <c r="W52" i="2"/>
  <c r="AC52" i="2" s="1"/>
  <c r="X44" i="2"/>
  <c r="AD44" i="2" s="1"/>
  <c r="X45" i="2"/>
  <c r="AD45" i="2" s="1"/>
  <c r="X46" i="2"/>
  <c r="AD46" i="2" s="1"/>
  <c r="X47" i="2"/>
  <c r="AD47" i="2" s="1"/>
  <c r="X48" i="2"/>
  <c r="AD48" i="2" s="1"/>
  <c r="X49" i="2"/>
  <c r="AD49" i="2" s="1"/>
  <c r="X50" i="2"/>
  <c r="AD50" i="2" s="1"/>
  <c r="X51" i="2"/>
  <c r="AD51" i="2" s="1"/>
  <c r="X52" i="2"/>
  <c r="AD52" i="2" s="1"/>
  <c r="Y44" i="2"/>
  <c r="AE44" i="2" s="1"/>
  <c r="Y45" i="2"/>
  <c r="AE45" i="2" s="1"/>
  <c r="Y46" i="2"/>
  <c r="AE46" i="2" s="1"/>
  <c r="Y47" i="2"/>
  <c r="AE47" i="2" s="1"/>
  <c r="Y48" i="2"/>
  <c r="AE48" i="2" s="1"/>
  <c r="Y49" i="2"/>
  <c r="AE49" i="2" s="1"/>
  <c r="Y50" i="2"/>
  <c r="AE50" i="2" s="1"/>
  <c r="Y51" i="2"/>
  <c r="AE51" i="2" s="1"/>
  <c r="Y52" i="2"/>
  <c r="AE52" i="2" s="1"/>
  <c r="Y43" i="2"/>
  <c r="X43" i="2"/>
  <c r="AD43" i="2" s="1"/>
  <c r="W43" i="2"/>
  <c r="AC43" i="2" s="1"/>
  <c r="Y32" i="2"/>
  <c r="AE32" i="2" s="1"/>
  <c r="Y33" i="2"/>
  <c r="AE33" i="2" s="1"/>
  <c r="Y34" i="2"/>
  <c r="AE34" i="2" s="1"/>
  <c r="Y35" i="2"/>
  <c r="AE35" i="2" s="1"/>
  <c r="Y36" i="2"/>
  <c r="AE36" i="2" s="1"/>
  <c r="Y37" i="2"/>
  <c r="AE37" i="2" s="1"/>
  <c r="Y38" i="2"/>
  <c r="AE38" i="2" s="1"/>
  <c r="Y39" i="2"/>
  <c r="AE39" i="2" s="1"/>
  <c r="Y40" i="2"/>
  <c r="AE40" i="2" s="1"/>
  <c r="Y41" i="2"/>
  <c r="AE41" i="2" s="1"/>
  <c r="Y31" i="2"/>
  <c r="AE31" i="2" s="1"/>
  <c r="X32" i="2"/>
  <c r="AD32" i="2" s="1"/>
  <c r="X33" i="2"/>
  <c r="AD33" i="2" s="1"/>
  <c r="X34" i="2"/>
  <c r="AD34" i="2" s="1"/>
  <c r="X35" i="2"/>
  <c r="AD35" i="2" s="1"/>
  <c r="X36" i="2"/>
  <c r="AD36" i="2" s="1"/>
  <c r="X37" i="2"/>
  <c r="AD37" i="2" s="1"/>
  <c r="X38" i="2"/>
  <c r="AD38" i="2" s="1"/>
  <c r="X39" i="2"/>
  <c r="AD39" i="2" s="1"/>
  <c r="X40" i="2"/>
  <c r="AD40" i="2" s="1"/>
  <c r="X41" i="2"/>
  <c r="AD41" i="2" s="1"/>
  <c r="X31" i="2"/>
  <c r="AD31" i="2" s="1"/>
  <c r="W32" i="2"/>
  <c r="AC32" i="2" s="1"/>
  <c r="W33" i="2"/>
  <c r="AC33" i="2" s="1"/>
  <c r="W35" i="2"/>
  <c r="AC35" i="2" s="1"/>
  <c r="W36" i="2"/>
  <c r="AC36" i="2" s="1"/>
  <c r="W37" i="2"/>
  <c r="AC37" i="2" s="1"/>
  <c r="W38" i="2"/>
  <c r="AC38" i="2" s="1"/>
  <c r="W39" i="2"/>
  <c r="AC39" i="2" s="1"/>
  <c r="W40" i="2"/>
  <c r="AC40" i="2" s="1"/>
  <c r="W41" i="2"/>
  <c r="AC41" i="2" s="1"/>
  <c r="W31" i="2"/>
  <c r="AC31" i="2" s="1"/>
  <c r="Y5" i="2"/>
  <c r="Y6" i="2"/>
  <c r="Y7" i="2"/>
  <c r="Y8" i="2"/>
  <c r="Y9" i="2"/>
  <c r="Y10" i="2"/>
  <c r="Y11" i="2"/>
  <c r="Y12" i="2"/>
  <c r="Y13" i="2"/>
  <c r="Y14" i="2"/>
  <c r="X5" i="2"/>
  <c r="X6" i="2"/>
  <c r="X7" i="2"/>
  <c r="X8" i="2"/>
  <c r="X9" i="2"/>
  <c r="X10" i="2"/>
  <c r="X11" i="2"/>
  <c r="X12" i="2"/>
  <c r="X13" i="2"/>
  <c r="X14" i="2"/>
  <c r="Y4" i="2"/>
  <c r="X4" i="2"/>
  <c r="W5" i="2"/>
  <c r="W6" i="2"/>
  <c r="W7" i="2"/>
  <c r="W8" i="2"/>
  <c r="W9" i="2"/>
  <c r="W10" i="2"/>
  <c r="W11" i="2"/>
  <c r="W12" i="2"/>
  <c r="W13" i="2"/>
  <c r="W14" i="2"/>
  <c r="W4" i="2"/>
  <c r="V5" i="2"/>
  <c r="V6" i="2"/>
  <c r="V7" i="2"/>
  <c r="V8" i="2"/>
  <c r="V9" i="2"/>
  <c r="V10" i="2"/>
  <c r="V11" i="2"/>
  <c r="V12" i="2"/>
  <c r="V13" i="2"/>
  <c r="V14" i="2"/>
  <c r="V4" i="2"/>
  <c r="O5" i="10"/>
  <c r="AG8" i="4"/>
  <c r="AG10" i="4"/>
  <c r="AG12" i="4"/>
  <c r="AG14" i="4"/>
  <c r="AG16" i="4"/>
  <c r="AG18" i="4"/>
  <c r="AG20" i="4"/>
  <c r="AG22" i="4"/>
  <c r="AG24" i="4"/>
  <c r="AG26" i="4"/>
  <c r="AG28" i="4"/>
  <c r="AG30" i="4"/>
  <c r="AG32" i="4"/>
  <c r="AG34" i="4"/>
  <c r="AG36" i="4"/>
  <c r="AG38" i="4"/>
  <c r="AG40" i="4"/>
  <c r="AG42" i="4"/>
  <c r="AG44" i="4"/>
  <c r="AG46" i="4"/>
  <c r="AG48" i="4"/>
  <c r="AG50" i="4"/>
  <c r="AG52" i="4"/>
  <c r="AG54" i="4"/>
  <c r="AG56" i="4"/>
  <c r="AG58" i="4"/>
  <c r="AG60" i="4"/>
  <c r="AG62" i="4"/>
  <c r="AG64" i="4"/>
  <c r="AG66" i="4"/>
  <c r="AG68" i="4"/>
  <c r="AG70" i="4"/>
  <c r="AG72" i="4"/>
  <c r="AG74" i="4"/>
  <c r="AG76" i="4"/>
  <c r="AG78" i="4"/>
  <c r="AG80" i="4"/>
  <c r="AG82" i="4"/>
  <c r="AG84" i="4"/>
  <c r="AG86" i="4"/>
  <c r="AG88" i="4"/>
  <c r="AG90" i="4"/>
  <c r="AG92" i="4"/>
  <c r="AG94" i="4"/>
  <c r="AG96" i="4"/>
  <c r="AG98" i="4"/>
  <c r="AG100" i="4"/>
  <c r="AG102" i="4"/>
  <c r="AG104" i="4"/>
  <c r="AG106" i="4"/>
  <c r="AG108" i="4"/>
  <c r="AG110" i="4"/>
  <c r="AG112" i="4"/>
  <c r="AG114" i="4"/>
  <c r="AG116" i="4"/>
  <c r="AG118" i="4"/>
  <c r="AG120" i="4"/>
  <c r="AG122" i="4"/>
  <c r="AG124" i="4"/>
  <c r="AG126" i="4"/>
  <c r="AG128" i="4"/>
  <c r="AG130" i="4"/>
  <c r="AG132" i="4"/>
  <c r="AG134" i="4"/>
  <c r="AG136" i="4"/>
  <c r="AG138" i="4"/>
  <c r="AG140" i="4"/>
  <c r="AG142" i="4"/>
  <c r="AG144" i="4"/>
  <c r="AG146" i="4"/>
  <c r="AG148" i="4"/>
  <c r="AG150" i="4"/>
  <c r="AG152" i="4"/>
  <c r="AG154" i="4"/>
  <c r="AG156" i="4"/>
  <c r="AG158" i="4"/>
  <c r="AG160" i="4"/>
  <c r="AG162" i="4"/>
  <c r="AG164" i="4"/>
  <c r="AG166" i="4"/>
  <c r="AG168" i="4"/>
  <c r="AG170" i="4"/>
  <c r="AG172" i="4"/>
  <c r="AG174" i="4"/>
  <c r="AG176" i="4"/>
  <c r="AG178" i="4"/>
  <c r="AG180" i="4"/>
  <c r="AG182" i="4"/>
  <c r="AG184" i="4"/>
  <c r="AG186" i="4"/>
  <c r="AG188" i="4"/>
  <c r="AG190" i="4"/>
  <c r="AG192" i="4"/>
  <c r="AG194" i="4"/>
  <c r="AG196" i="4"/>
  <c r="AG198" i="4"/>
  <c r="AG200" i="4"/>
  <c r="AG202" i="4"/>
  <c r="AG204" i="4"/>
  <c r="AG206" i="4"/>
  <c r="AG208" i="4"/>
  <c r="AG210" i="4"/>
  <c r="AG212" i="4"/>
  <c r="AG214" i="4"/>
  <c r="AG216" i="4"/>
  <c r="AG218" i="4"/>
  <c r="AG220" i="4"/>
  <c r="AG222" i="4"/>
  <c r="AG224" i="4"/>
  <c r="AG226" i="4"/>
  <c r="AG228" i="4"/>
  <c r="AG230" i="4"/>
  <c r="AG232" i="4"/>
  <c r="AG234" i="4"/>
  <c r="AG236" i="4"/>
  <c r="AG238" i="4"/>
  <c r="AG240" i="4"/>
  <c r="AG242" i="4"/>
  <c r="AG244" i="4"/>
  <c r="AG246" i="4"/>
  <c r="AG248" i="4"/>
  <c r="AG250" i="4"/>
  <c r="AG252" i="4"/>
  <c r="AG254" i="4"/>
  <c r="AG256" i="4"/>
  <c r="AG258" i="4"/>
  <c r="AG260" i="4"/>
  <c r="AG262" i="4"/>
  <c r="AG264" i="4"/>
  <c r="AG266" i="4"/>
  <c r="AG268" i="4"/>
  <c r="AG270" i="4"/>
  <c r="AG272" i="4"/>
  <c r="AG274" i="4"/>
  <c r="AG276" i="4"/>
  <c r="AG278" i="4"/>
  <c r="AG280" i="4"/>
  <c r="AG282" i="4"/>
  <c r="AG284" i="4"/>
  <c r="AG286" i="4"/>
  <c r="AG6" i="4"/>
  <c r="Q14" i="4"/>
  <c r="AA24" i="4"/>
  <c r="AA25" i="4"/>
  <c r="AA26" i="4"/>
  <c r="AA27" i="4"/>
  <c r="Q34" i="4"/>
  <c r="Q35" i="4"/>
  <c r="Q36" i="4"/>
  <c r="Q37" i="4"/>
  <c r="Q38" i="4"/>
  <c r="Q39" i="4"/>
  <c r="Q40" i="4"/>
  <c r="Q41" i="4"/>
  <c r="Q42" i="4"/>
  <c r="Q43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5" i="4"/>
  <c r="Q6" i="4"/>
  <c r="Q7" i="4"/>
  <c r="Q8" i="4"/>
  <c r="Q9" i="4"/>
  <c r="Q10" i="4"/>
  <c r="Q11" i="4"/>
  <c r="Q12" i="4"/>
  <c r="Q13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5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D152" i="9"/>
  <c r="E152" i="9"/>
  <c r="F152" i="9"/>
  <c r="G152" i="9"/>
  <c r="H152" i="9"/>
  <c r="I152" i="9"/>
  <c r="J152" i="9"/>
  <c r="K152" i="9"/>
  <c r="L152" i="9"/>
  <c r="M152" i="9"/>
  <c r="N152" i="9"/>
  <c r="O152" i="9"/>
  <c r="P152" i="9"/>
  <c r="C152" i="9"/>
  <c r="D146" i="9"/>
  <c r="E146" i="9"/>
  <c r="F146" i="9"/>
  <c r="G146" i="9"/>
  <c r="H146" i="9"/>
  <c r="I146" i="9"/>
  <c r="J146" i="9"/>
  <c r="K146" i="9"/>
  <c r="L146" i="9"/>
  <c r="M146" i="9"/>
  <c r="N146" i="9"/>
  <c r="O146" i="9"/>
  <c r="P146" i="9"/>
  <c r="C146" i="9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R23" i="2"/>
  <c r="R22" i="2"/>
  <c r="R20" i="2"/>
  <c r="R13" i="2"/>
  <c r="Y54" i="2" l="1" a="1"/>
  <c r="Y54" i="2" s="1"/>
  <c r="L150" i="2"/>
  <c r="X54" i="2" a="1"/>
  <c r="X54" i="2" s="1"/>
  <c r="AE43" i="2"/>
  <c r="W54" i="2" a="1"/>
  <c r="W54" i="2" s="1"/>
  <c r="AG289" i="4"/>
  <c r="AF272" i="4"/>
  <c r="AF256" i="4"/>
  <c r="AF192" i="4"/>
  <c r="AF176" i="4"/>
  <c r="AF160" i="4"/>
  <c r="AF144" i="4"/>
  <c r="AF128" i="4"/>
  <c r="AF88" i="4"/>
  <c r="AF80" i="4"/>
  <c r="AF72" i="4"/>
  <c r="AF64" i="4"/>
  <c r="AF40" i="4"/>
  <c r="AF20" i="4"/>
  <c r="AD287" i="4"/>
  <c r="AF264" i="4"/>
  <c r="AF244" i="4"/>
  <c r="AF180" i="4"/>
  <c r="AF156" i="4"/>
  <c r="AF116" i="4"/>
  <c r="AF92" i="4"/>
  <c r="AF52" i="4"/>
  <c r="AF28" i="4"/>
  <c r="AC287" i="4"/>
  <c r="AF286" i="4"/>
  <c r="AF282" i="4"/>
  <c r="AF278" i="4"/>
  <c r="AF274" i="4"/>
  <c r="AF268" i="4"/>
  <c r="AF260" i="4"/>
  <c r="AF250" i="4"/>
  <c r="AF248" i="4"/>
  <c r="AF240" i="4"/>
  <c r="AF238" i="4"/>
  <c r="AF236" i="4"/>
  <c r="AF234" i="4"/>
  <c r="AF230" i="4"/>
  <c r="AF226" i="4"/>
  <c r="AF222" i="4"/>
  <c r="AF216" i="4"/>
  <c r="AF210" i="4"/>
  <c r="AF206" i="4"/>
  <c r="AF284" i="4"/>
  <c r="AF280" i="4"/>
  <c r="AF276" i="4"/>
  <c r="AF270" i="4"/>
  <c r="AF266" i="4"/>
  <c r="AF262" i="4"/>
  <c r="AF258" i="4"/>
  <c r="AF254" i="4"/>
  <c r="AF252" i="4"/>
  <c r="AF246" i="4"/>
  <c r="AF242" i="4"/>
  <c r="AF232" i="4"/>
  <c r="AF228" i="4"/>
  <c r="AF220" i="4"/>
  <c r="AF218" i="4"/>
  <c r="AF214" i="4"/>
  <c r="AF212" i="4"/>
  <c r="AF208" i="4"/>
  <c r="AF204" i="4"/>
  <c r="AF202" i="4"/>
  <c r="AF200" i="4"/>
  <c r="AF198" i="4"/>
  <c r="AF196" i="4"/>
  <c r="AF194" i="4"/>
  <c r="AF190" i="4"/>
  <c r="AF188" i="4"/>
  <c r="AF186" i="4"/>
  <c r="AF184" i="4"/>
  <c r="AF182" i="4"/>
  <c r="AF178" i="4"/>
  <c r="AF174" i="4"/>
  <c r="AF172" i="4"/>
  <c r="AF170" i="4"/>
  <c r="AF168" i="4"/>
  <c r="AF166" i="4"/>
  <c r="AF164" i="4"/>
  <c r="AF162" i="4"/>
  <c r="AF158" i="4"/>
  <c r="AF154" i="4"/>
  <c r="AF152" i="4"/>
  <c r="AF150" i="4"/>
  <c r="AF148" i="4"/>
  <c r="AF146" i="4"/>
  <c r="AF142" i="4"/>
  <c r="AF140" i="4"/>
  <c r="AF138" i="4"/>
  <c r="AF136" i="4"/>
  <c r="AF134" i="4"/>
  <c r="AF132" i="4"/>
  <c r="AF130" i="4"/>
  <c r="AF126" i="4"/>
  <c r="AF124" i="4"/>
  <c r="AF122" i="4"/>
  <c r="AF120" i="4"/>
  <c r="AF118" i="4"/>
  <c r="AF114" i="4"/>
  <c r="AF112" i="4"/>
  <c r="AF110" i="4"/>
  <c r="AF108" i="4"/>
  <c r="AF106" i="4"/>
  <c r="AF104" i="4"/>
  <c r="AF102" i="4"/>
  <c r="AF100" i="4"/>
  <c r="AF98" i="4"/>
  <c r="AF96" i="4"/>
  <c r="AF94" i="4"/>
  <c r="AF90" i="4"/>
  <c r="AF86" i="4"/>
  <c r="AF84" i="4"/>
  <c r="AF82" i="4"/>
  <c r="AF78" i="4"/>
  <c r="AF76" i="4"/>
  <c r="AF74" i="4"/>
  <c r="AF70" i="4"/>
  <c r="AF68" i="4"/>
  <c r="AF66" i="4"/>
  <c r="AF62" i="4"/>
  <c r="AF60" i="4"/>
  <c r="AF58" i="4"/>
  <c r="AF56" i="4"/>
  <c r="AF54" i="4"/>
  <c r="AF50" i="4"/>
  <c r="AF48" i="4"/>
  <c r="AF46" i="4"/>
  <c r="AF44" i="4"/>
  <c r="AF42" i="4"/>
  <c r="AF38" i="4"/>
  <c r="AF36" i="4"/>
  <c r="AF34" i="4"/>
  <c r="AF32" i="4"/>
  <c r="AF30" i="4"/>
  <c r="AF26" i="4"/>
  <c r="AF24" i="4"/>
  <c r="AF22" i="4"/>
  <c r="AF18" i="4"/>
  <c r="AF16" i="4"/>
  <c r="AF14" i="4"/>
  <c r="AF12" i="4"/>
  <c r="AF10" i="4"/>
  <c r="E995" i="4"/>
  <c r="C995" i="4"/>
  <c r="E988" i="4"/>
  <c r="C988" i="4"/>
  <c r="E1002" i="4"/>
  <c r="C1002" i="4"/>
  <c r="E996" i="4"/>
  <c r="C996" i="4"/>
  <c r="E989" i="4"/>
  <c r="C989" i="4"/>
  <c r="E986" i="4"/>
  <c r="C986" i="4"/>
  <c r="E985" i="4"/>
  <c r="C985" i="4"/>
  <c r="E984" i="4"/>
  <c r="C984" i="4"/>
  <c r="C978" i="4"/>
  <c r="C977" i="4"/>
  <c r="C1057" i="4"/>
  <c r="C1056" i="4"/>
  <c r="C1055" i="4"/>
  <c r="E1046" i="4"/>
  <c r="C1046" i="4"/>
  <c r="E1045" i="4"/>
  <c r="C1045" i="4"/>
  <c r="E1082" i="4"/>
  <c r="C1082" i="4"/>
  <c r="E1081" i="4"/>
  <c r="C1081" i="4"/>
  <c r="C1078" i="4"/>
  <c r="C1077" i="4"/>
  <c r="C1076" i="4"/>
  <c r="C1064" i="4"/>
  <c r="C1063" i="4"/>
  <c r="E983" i="4"/>
  <c r="C983" i="4"/>
  <c r="C1062" i="4"/>
  <c r="E1044" i="4"/>
  <c r="C1044" i="4"/>
  <c r="E1043" i="4"/>
  <c r="C1043" i="4"/>
  <c r="C1113" i="4"/>
  <c r="C1112" i="4"/>
  <c r="E1020" i="4"/>
  <c r="C1020" i="4"/>
  <c r="E1019" i="4"/>
  <c r="C1019" i="4"/>
  <c r="C976" i="4"/>
  <c r="C975" i="4"/>
  <c r="C974" i="4"/>
  <c r="E982" i="4"/>
  <c r="C982" i="4"/>
  <c r="E981" i="4"/>
  <c r="C981" i="4"/>
  <c r="C973" i="4"/>
  <c r="C1111" i="4"/>
  <c r="C1156" i="4"/>
  <c r="C1155" i="4"/>
  <c r="C1150" i="4"/>
  <c r="C1149" i="4"/>
  <c r="C1148" i="4"/>
  <c r="C1142" i="4"/>
  <c r="C1141" i="4"/>
  <c r="C1140" i="4"/>
  <c r="C1131" i="4"/>
  <c r="C1130" i="4"/>
  <c r="C1201" i="4"/>
  <c r="C1194" i="4"/>
  <c r="C1193" i="4"/>
  <c r="C1192" i="4"/>
  <c r="C1191" i="4"/>
  <c r="C1186" i="4"/>
  <c r="C1185" i="4"/>
  <c r="C1169" i="4"/>
  <c r="C1168" i="4"/>
  <c r="C1190" i="4"/>
  <c r="C1189" i="4"/>
  <c r="C1188" i="4"/>
  <c r="E1001" i="4"/>
  <c r="C1001" i="4"/>
  <c r="C1200" i="4"/>
  <c r="E1178" i="4"/>
  <c r="C1178" i="4"/>
  <c r="E1177" i="4"/>
  <c r="C1177" i="4"/>
  <c r="C1166" i="4"/>
  <c r="C1165" i="4"/>
  <c r="E1080" i="4"/>
  <c r="C1080" i="4"/>
  <c r="E1079" i="4"/>
  <c r="C1079" i="4"/>
  <c r="C1110" i="4"/>
  <c r="C1109" i="4"/>
  <c r="C1123" i="4"/>
  <c r="C1090" i="4"/>
  <c r="C1089" i="4"/>
  <c r="C1087" i="4"/>
  <c r="C1035" i="4"/>
  <c r="E1029" i="4"/>
  <c r="C1029" i="4"/>
  <c r="E1028" i="4"/>
  <c r="C1028" i="4"/>
  <c r="E1017" i="4"/>
  <c r="C1017" i="4"/>
  <c r="E1016" i="4"/>
  <c r="C1016" i="4"/>
  <c r="E1015" i="4"/>
  <c r="C1015" i="4"/>
  <c r="E1009" i="4"/>
  <c r="C1009" i="4"/>
  <c r="E1008" i="4"/>
  <c r="C1008" i="4"/>
  <c r="E1007" i="4"/>
  <c r="C1007" i="4"/>
  <c r="C1147" i="4"/>
  <c r="C1146" i="4"/>
  <c r="C1108" i="4"/>
  <c r="C1139" i="4"/>
  <c r="C1138" i="4"/>
  <c r="C1129" i="4"/>
  <c r="C1128" i="4"/>
  <c r="C1137" i="4"/>
  <c r="C1154" i="4"/>
  <c r="C1034" i="4"/>
  <c r="E1014" i="4"/>
  <c r="C1014" i="4"/>
  <c r="C1127" i="4"/>
  <c r="C1126" i="4"/>
  <c r="C103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E980" i="4"/>
  <c r="C980" i="4"/>
  <c r="E979" i="4"/>
  <c r="C979" i="4"/>
  <c r="E994" i="4"/>
  <c r="C994" i="4"/>
  <c r="E993" i="4"/>
  <c r="C993" i="4"/>
  <c r="E992" i="4"/>
  <c r="C992" i="4"/>
  <c r="E991" i="4"/>
  <c r="C991" i="4"/>
  <c r="E990" i="4"/>
  <c r="C990" i="4"/>
  <c r="E1000" i="4"/>
  <c r="C1000" i="4"/>
  <c r="E999" i="4"/>
  <c r="C999" i="4"/>
  <c r="E998" i="4"/>
  <c r="C998" i="4"/>
  <c r="E997" i="4"/>
  <c r="C997" i="4"/>
  <c r="E1006" i="4"/>
  <c r="C1006" i="4"/>
  <c r="C1032" i="4"/>
  <c r="C1088" i="4"/>
  <c r="C1199" i="4"/>
  <c r="C1122" i="4"/>
  <c r="C1121" i="4"/>
  <c r="C1120" i="4"/>
  <c r="C1119" i="4"/>
  <c r="C1118" i="4"/>
  <c r="C1125" i="4"/>
  <c r="C1124" i="4"/>
  <c r="C1136" i="4"/>
  <c r="C1135" i="4"/>
  <c r="C1153" i="4"/>
  <c r="C1152" i="4"/>
  <c r="C1151" i="4"/>
  <c r="C1164" i="4"/>
  <c r="C1163" i="4"/>
  <c r="C1167" i="4"/>
  <c r="C1187" i="4"/>
  <c r="C1198" i="4"/>
  <c r="C1197" i="4"/>
  <c r="C1196" i="4"/>
  <c r="C1195" i="4"/>
  <c r="E1176" i="4"/>
  <c r="C1176" i="4"/>
  <c r="E1175" i="4"/>
  <c r="C1175" i="4"/>
  <c r="E1174" i="4"/>
  <c r="C1174" i="4"/>
  <c r="E1173" i="4"/>
  <c r="C1173" i="4"/>
  <c r="E1172" i="4"/>
  <c r="C1172" i="4"/>
  <c r="E1171" i="4"/>
  <c r="C1171" i="4"/>
  <c r="E1170" i="4"/>
  <c r="C1170" i="4"/>
  <c r="C1181" i="4"/>
  <c r="C1180" i="4"/>
  <c r="C1179" i="4"/>
  <c r="C1184" i="4"/>
  <c r="C1183" i="4"/>
  <c r="C1182" i="4"/>
  <c r="E1005" i="4"/>
  <c r="C1005" i="4"/>
  <c r="E1004" i="4"/>
  <c r="C1004" i="4"/>
  <c r="E1003" i="4"/>
  <c r="C1003" i="4"/>
  <c r="E1013" i="4"/>
  <c r="C1013" i="4"/>
  <c r="E1012" i="4"/>
  <c r="C1012" i="4"/>
  <c r="E1011" i="4"/>
  <c r="C1011" i="4"/>
  <c r="E1010" i="4"/>
  <c r="C1010" i="4"/>
  <c r="E1018" i="4"/>
  <c r="C1018" i="4"/>
  <c r="E1027" i="4"/>
  <c r="C1027" i="4"/>
  <c r="E1026" i="4"/>
  <c r="C1026" i="4"/>
  <c r="E1025" i="4"/>
  <c r="C1025" i="4"/>
  <c r="E1024" i="4"/>
  <c r="C1024" i="4"/>
  <c r="E1023" i="4"/>
  <c r="C1023" i="4"/>
  <c r="E1022" i="4"/>
  <c r="C1022" i="4"/>
  <c r="E1021" i="4"/>
  <c r="C1021" i="4"/>
  <c r="C1031" i="4"/>
  <c r="C1030" i="4"/>
  <c r="E1042" i="4"/>
  <c r="C1042" i="4"/>
  <c r="E1041" i="4"/>
  <c r="C1041" i="4"/>
  <c r="E1040" i="4"/>
  <c r="C1040" i="4"/>
  <c r="E1039" i="4"/>
  <c r="C1039" i="4"/>
  <c r="E1038" i="4"/>
  <c r="C1038" i="4"/>
  <c r="E1037" i="4"/>
  <c r="C1037" i="4"/>
  <c r="E1036" i="4"/>
  <c r="C1036" i="4"/>
  <c r="C1054" i="4"/>
  <c r="C1053" i="4"/>
  <c r="C1052" i="4"/>
  <c r="C1051" i="4"/>
  <c r="C1050" i="4"/>
  <c r="C1049" i="4"/>
  <c r="C1048" i="4"/>
  <c r="C1047" i="4"/>
  <c r="C1061" i="4"/>
  <c r="C1060" i="4"/>
  <c r="C1059" i="4"/>
  <c r="C1058" i="4"/>
  <c r="C1075" i="4"/>
  <c r="C1074" i="4"/>
  <c r="C1073" i="4"/>
  <c r="C1072" i="4"/>
  <c r="C1071" i="4"/>
  <c r="C1070" i="4"/>
  <c r="C1069" i="4"/>
  <c r="C1068" i="4"/>
  <c r="C1067" i="4"/>
  <c r="C1066" i="4"/>
  <c r="C1065" i="4"/>
  <c r="C1086" i="4"/>
  <c r="C1085" i="4"/>
  <c r="C1084" i="4"/>
  <c r="C1083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117" i="4"/>
  <c r="C1116" i="4"/>
  <c r="C1115" i="4"/>
  <c r="C1114" i="4"/>
  <c r="C1134" i="4"/>
  <c r="C1133" i="4"/>
  <c r="C1132" i="4"/>
  <c r="C1145" i="4"/>
  <c r="C1144" i="4"/>
  <c r="C1143" i="4"/>
  <c r="C1162" i="4"/>
  <c r="C1161" i="4"/>
  <c r="C1160" i="4"/>
  <c r="C1159" i="4"/>
  <c r="C1158" i="4"/>
  <c r="C1157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C857" i="4"/>
  <c r="E856" i="4"/>
  <c r="C856" i="4"/>
  <c r="E855" i="4"/>
  <c r="C855" i="4"/>
  <c r="E854" i="4"/>
  <c r="C854" i="4"/>
  <c r="E853" i="4"/>
  <c r="C853" i="4"/>
  <c r="E852" i="4"/>
  <c r="C852" i="4"/>
  <c r="E851" i="4"/>
  <c r="C851" i="4"/>
  <c r="E850" i="4"/>
  <c r="C850" i="4"/>
  <c r="E849" i="4"/>
  <c r="C849" i="4"/>
  <c r="E848" i="4"/>
  <c r="C848" i="4"/>
  <c r="E847" i="4"/>
  <c r="C847" i="4"/>
  <c r="E846" i="4"/>
  <c r="C846" i="4"/>
  <c r="E845" i="4"/>
  <c r="C845" i="4"/>
  <c r="E844" i="4"/>
  <c r="C844" i="4"/>
  <c r="E843" i="4"/>
  <c r="C843" i="4"/>
  <c r="E842" i="4"/>
  <c r="C842" i="4"/>
  <c r="E841" i="4"/>
  <c r="C841" i="4"/>
  <c r="E840" i="4"/>
  <c r="C840" i="4"/>
  <c r="E839" i="4"/>
  <c r="C839" i="4"/>
  <c r="E838" i="4"/>
  <c r="C838" i="4"/>
  <c r="E837" i="4"/>
  <c r="C837" i="4"/>
  <c r="E836" i="4"/>
  <c r="C836" i="4"/>
  <c r="E835" i="4"/>
  <c r="C835" i="4"/>
  <c r="E834" i="4"/>
  <c r="C834" i="4"/>
  <c r="E833" i="4"/>
  <c r="C833" i="4"/>
  <c r="C832" i="4"/>
  <c r="C831" i="4"/>
  <c r="E830" i="4"/>
  <c r="C830" i="4"/>
  <c r="E829" i="4"/>
  <c r="C829" i="4"/>
  <c r="E828" i="4"/>
  <c r="C828" i="4"/>
  <c r="E827" i="4"/>
  <c r="C827" i="4"/>
  <c r="E826" i="4"/>
  <c r="C826" i="4"/>
  <c r="E825" i="4"/>
  <c r="C825" i="4"/>
  <c r="E824" i="4"/>
  <c r="C824" i="4"/>
  <c r="E823" i="4"/>
  <c r="C823" i="4"/>
  <c r="E822" i="4"/>
  <c r="C822" i="4"/>
  <c r="E821" i="4"/>
  <c r="C821" i="4"/>
  <c r="E820" i="4"/>
  <c r="C820" i="4"/>
  <c r="E819" i="4"/>
  <c r="C819" i="4"/>
  <c r="E818" i="4"/>
  <c r="C818" i="4"/>
  <c r="E817" i="4"/>
  <c r="C817" i="4"/>
  <c r="E816" i="4"/>
  <c r="C816" i="4"/>
  <c r="E815" i="4"/>
  <c r="C815" i="4"/>
  <c r="E814" i="4"/>
  <c r="C814" i="4"/>
  <c r="E813" i="4"/>
  <c r="C813" i="4"/>
  <c r="E812" i="4"/>
  <c r="C812" i="4"/>
  <c r="E811" i="4"/>
  <c r="C811" i="4"/>
  <c r="E810" i="4"/>
  <c r="C810" i="4"/>
  <c r="E809" i="4"/>
  <c r="C809" i="4"/>
  <c r="E808" i="4"/>
  <c r="C808" i="4"/>
  <c r="E807" i="4"/>
  <c r="C807" i="4"/>
  <c r="E806" i="4"/>
  <c r="C806" i="4"/>
  <c r="E805" i="4"/>
  <c r="C805" i="4"/>
  <c r="E804" i="4"/>
  <c r="C804" i="4"/>
  <c r="E803" i="4"/>
  <c r="C803" i="4"/>
  <c r="E802" i="4"/>
  <c r="C802" i="4"/>
  <c r="E801" i="4"/>
  <c r="C801" i="4"/>
  <c r="E800" i="4"/>
  <c r="C800" i="4"/>
  <c r="E799" i="4"/>
  <c r="C799" i="4"/>
  <c r="E798" i="4"/>
  <c r="C798" i="4"/>
  <c r="E797" i="4"/>
  <c r="C797" i="4"/>
  <c r="E796" i="4"/>
  <c r="C796" i="4"/>
  <c r="E795" i="4"/>
  <c r="C795" i="4"/>
  <c r="E794" i="4"/>
  <c r="C794" i="4"/>
  <c r="E793" i="4"/>
  <c r="C793" i="4"/>
  <c r="E792" i="4"/>
  <c r="C792" i="4"/>
  <c r="E791" i="4"/>
  <c r="C791" i="4"/>
  <c r="E790" i="4"/>
  <c r="C790" i="4"/>
  <c r="E789" i="4"/>
  <c r="C789" i="4"/>
  <c r="E788" i="4"/>
  <c r="C788" i="4"/>
  <c r="E787" i="4"/>
  <c r="C787" i="4"/>
  <c r="E786" i="4"/>
  <c r="C786" i="4"/>
  <c r="E785" i="4"/>
  <c r="C785" i="4"/>
  <c r="E784" i="4"/>
  <c r="C784" i="4"/>
  <c r="E783" i="4"/>
  <c r="C783" i="4"/>
  <c r="E782" i="4"/>
  <c r="C782" i="4"/>
  <c r="E781" i="4"/>
  <c r="C781" i="4"/>
  <c r="E780" i="4"/>
  <c r="C780" i="4"/>
  <c r="E779" i="4"/>
  <c r="C779" i="4"/>
  <c r="E778" i="4"/>
  <c r="C778" i="4"/>
  <c r="E777" i="4"/>
  <c r="C777" i="4"/>
  <c r="E776" i="4"/>
  <c r="C776" i="4"/>
  <c r="E775" i="4"/>
  <c r="C775" i="4"/>
  <c r="E774" i="4"/>
  <c r="C774" i="4"/>
  <c r="E773" i="4"/>
  <c r="C773" i="4"/>
  <c r="E772" i="4"/>
  <c r="C772" i="4"/>
  <c r="E771" i="4"/>
  <c r="C771" i="4"/>
  <c r="E770" i="4"/>
  <c r="C770" i="4"/>
  <c r="E769" i="4"/>
  <c r="C769" i="4"/>
  <c r="E768" i="4"/>
  <c r="C768" i="4"/>
  <c r="E767" i="4"/>
  <c r="C767" i="4"/>
  <c r="E766" i="4"/>
  <c r="C766" i="4"/>
  <c r="E765" i="4"/>
  <c r="C765" i="4"/>
  <c r="E764" i="4"/>
  <c r="C764" i="4"/>
  <c r="E763" i="4"/>
  <c r="C763" i="4"/>
  <c r="E762" i="4"/>
  <c r="C762" i="4"/>
  <c r="E761" i="4"/>
  <c r="C761" i="4"/>
  <c r="E760" i="4"/>
  <c r="C760" i="4"/>
  <c r="E759" i="4"/>
  <c r="C759" i="4"/>
  <c r="E758" i="4"/>
  <c r="C758" i="4"/>
  <c r="C753" i="4"/>
  <c r="C752" i="4"/>
  <c r="C751" i="4"/>
  <c r="E748" i="4"/>
  <c r="C748" i="4"/>
  <c r="E747" i="4"/>
  <c r="C747" i="4"/>
  <c r="E746" i="4"/>
  <c r="C746" i="4"/>
  <c r="E745" i="4"/>
  <c r="C745" i="4"/>
  <c r="E737" i="4"/>
  <c r="C737" i="4"/>
  <c r="E736" i="4"/>
  <c r="C736" i="4"/>
  <c r="E731" i="4"/>
  <c r="C731" i="4"/>
  <c r="E730" i="4"/>
  <c r="C730" i="4"/>
  <c r="E719" i="4"/>
  <c r="C719" i="4"/>
  <c r="E718" i="4"/>
  <c r="C718" i="4"/>
  <c r="E717" i="4"/>
  <c r="C717" i="4"/>
  <c r="C707" i="4"/>
  <c r="C706" i="4"/>
  <c r="C705" i="4"/>
  <c r="E692" i="4"/>
  <c r="C692" i="4"/>
  <c r="C689" i="4"/>
  <c r="C688" i="4"/>
  <c r="C687" i="4"/>
  <c r="C686" i="4"/>
  <c r="C675" i="4"/>
  <c r="C674" i="4"/>
  <c r="C648" i="4"/>
  <c r="C647" i="4"/>
  <c r="E665" i="4"/>
  <c r="C665" i="4"/>
  <c r="E664" i="4"/>
  <c r="C664" i="4"/>
  <c r="E652" i="4"/>
  <c r="C652" i="4"/>
  <c r="C646" i="4"/>
  <c r="C636" i="4"/>
  <c r="C635" i="4"/>
  <c r="E757" i="4"/>
  <c r="C757" i="4"/>
  <c r="E756" i="4"/>
  <c r="C756" i="4"/>
  <c r="E755" i="4"/>
  <c r="C755" i="4"/>
  <c r="E754" i="4"/>
  <c r="C754" i="4"/>
  <c r="C750" i="4"/>
  <c r="C749" i="4"/>
  <c r="E744" i="4"/>
  <c r="C744" i="4"/>
  <c r="E743" i="4"/>
  <c r="C743" i="4"/>
  <c r="E742" i="4"/>
  <c r="C742" i="4"/>
  <c r="E741" i="4"/>
  <c r="C741" i="4"/>
  <c r="E740" i="4"/>
  <c r="C740" i="4"/>
  <c r="E739" i="4"/>
  <c r="C739" i="4"/>
  <c r="E738" i="4"/>
  <c r="C738" i="4"/>
  <c r="E735" i="4"/>
  <c r="C735" i="4"/>
  <c r="E734" i="4"/>
  <c r="C734" i="4"/>
  <c r="E733" i="4"/>
  <c r="C733" i="4"/>
  <c r="E732" i="4"/>
  <c r="C732" i="4"/>
  <c r="E729" i="4"/>
  <c r="C729" i="4"/>
  <c r="E728" i="4"/>
  <c r="C728" i="4"/>
  <c r="E727" i="4"/>
  <c r="C727" i="4"/>
  <c r="E726" i="4"/>
  <c r="C726" i="4"/>
  <c r="E725" i="4"/>
  <c r="C725" i="4"/>
  <c r="E724" i="4"/>
  <c r="C724" i="4"/>
  <c r="E723" i="4"/>
  <c r="C723" i="4"/>
  <c r="E722" i="4"/>
  <c r="C722" i="4"/>
  <c r="E721" i="4"/>
  <c r="C721" i="4"/>
  <c r="E720" i="4"/>
  <c r="C720" i="4"/>
  <c r="E716" i="4"/>
  <c r="C716" i="4"/>
  <c r="E715" i="4"/>
  <c r="C715" i="4"/>
  <c r="E714" i="4"/>
  <c r="C714" i="4"/>
  <c r="E713" i="4"/>
  <c r="C713" i="4"/>
  <c r="E712" i="4"/>
  <c r="C712" i="4"/>
  <c r="E711" i="4"/>
  <c r="C711" i="4"/>
  <c r="E710" i="4"/>
  <c r="C710" i="4"/>
  <c r="E709" i="4"/>
  <c r="C709" i="4"/>
  <c r="E708" i="4"/>
  <c r="C708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E691" i="4"/>
  <c r="C691" i="4"/>
  <c r="E690" i="4"/>
  <c r="C690" i="4"/>
  <c r="C685" i="4"/>
  <c r="C684" i="4"/>
  <c r="C683" i="4"/>
  <c r="C682" i="4"/>
  <c r="C681" i="4"/>
  <c r="C680" i="4"/>
  <c r="C679" i="4"/>
  <c r="C678" i="4"/>
  <c r="C677" i="4"/>
  <c r="C676" i="4"/>
  <c r="C673" i="4"/>
  <c r="C672" i="4"/>
  <c r="C671" i="4"/>
  <c r="C670" i="4"/>
  <c r="C669" i="4"/>
  <c r="C668" i="4"/>
  <c r="C667" i="4"/>
  <c r="C666" i="4"/>
  <c r="E663" i="4"/>
  <c r="C663" i="4"/>
  <c r="E662" i="4"/>
  <c r="C662" i="4"/>
  <c r="E661" i="4"/>
  <c r="C661" i="4"/>
  <c r="E660" i="4"/>
  <c r="C660" i="4"/>
  <c r="E659" i="4"/>
  <c r="C659" i="4"/>
  <c r="E658" i="4"/>
  <c r="C658" i="4"/>
  <c r="E657" i="4"/>
  <c r="C657" i="4"/>
  <c r="E656" i="4"/>
  <c r="C656" i="4"/>
  <c r="E655" i="4"/>
  <c r="C655" i="4"/>
  <c r="E654" i="4"/>
  <c r="C654" i="4"/>
  <c r="E653" i="4"/>
  <c r="C653" i="4"/>
  <c r="E651" i="4"/>
  <c r="C651" i="4"/>
  <c r="E650" i="4"/>
  <c r="C650" i="4"/>
  <c r="E649" i="4"/>
  <c r="C649" i="4"/>
  <c r="C645" i="4"/>
  <c r="C644" i="4"/>
  <c r="C643" i="4"/>
  <c r="C642" i="4"/>
  <c r="C641" i="4"/>
  <c r="C640" i="4"/>
  <c r="C639" i="4"/>
  <c r="C638" i="4"/>
  <c r="C637" i="4"/>
  <c r="C634" i="4"/>
  <c r="C633" i="4"/>
  <c r="C632" i="4"/>
  <c r="C631" i="4"/>
  <c r="C630" i="4"/>
  <c r="C629" i="4"/>
  <c r="E628" i="4"/>
  <c r="C628" i="4"/>
  <c r="E627" i="4"/>
  <c r="C627" i="4"/>
  <c r="E626" i="4"/>
  <c r="C626" i="4"/>
  <c r="E625" i="4"/>
  <c r="C625" i="4"/>
  <c r="E624" i="4"/>
  <c r="C624" i="4"/>
  <c r="E623" i="4"/>
  <c r="C623" i="4"/>
  <c r="E622" i="4"/>
  <c r="C622" i="4"/>
  <c r="E621" i="4"/>
  <c r="C621" i="4"/>
  <c r="E620" i="4"/>
  <c r="C620" i="4"/>
  <c r="E619" i="4"/>
  <c r="C619" i="4"/>
  <c r="E618" i="4"/>
  <c r="C618" i="4"/>
  <c r="E617" i="4"/>
  <c r="C617" i="4"/>
  <c r="E616" i="4"/>
  <c r="C616" i="4"/>
  <c r="E615" i="4"/>
  <c r="C615" i="4"/>
  <c r="E614" i="4"/>
  <c r="C614" i="4"/>
  <c r="E613" i="4"/>
  <c r="C613" i="4"/>
  <c r="E612" i="4"/>
  <c r="C612" i="4"/>
  <c r="E611" i="4"/>
  <c r="C611" i="4"/>
  <c r="E610" i="4"/>
  <c r="C610" i="4"/>
  <c r="E609" i="4"/>
  <c r="C609" i="4"/>
  <c r="E608" i="4"/>
  <c r="C608" i="4"/>
  <c r="E607" i="4"/>
  <c r="C607" i="4"/>
  <c r="E606" i="4"/>
  <c r="C606" i="4"/>
  <c r="E605" i="4"/>
  <c r="C605" i="4"/>
  <c r="E604" i="4"/>
  <c r="C604" i="4"/>
  <c r="E603" i="4"/>
  <c r="C603" i="4"/>
  <c r="E602" i="4"/>
  <c r="C602" i="4"/>
  <c r="E601" i="4"/>
  <c r="C601" i="4"/>
  <c r="E600" i="4"/>
  <c r="C600" i="4"/>
  <c r="E599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E517" i="4"/>
  <c r="C517" i="4"/>
  <c r="C506" i="4"/>
  <c r="E498" i="4"/>
  <c r="C498" i="4"/>
  <c r="C485" i="4"/>
  <c r="E479" i="4"/>
  <c r="C479" i="4"/>
  <c r="E478" i="4"/>
  <c r="C478" i="4"/>
  <c r="E477" i="4"/>
  <c r="C477" i="4"/>
  <c r="E476" i="4"/>
  <c r="C476" i="4"/>
  <c r="E475" i="4"/>
  <c r="C475" i="4"/>
  <c r="E474" i="4"/>
  <c r="C474" i="4"/>
  <c r="E473" i="4"/>
  <c r="C473" i="4"/>
  <c r="E472" i="4"/>
  <c r="C472" i="4"/>
  <c r="E471" i="4"/>
  <c r="C471" i="4"/>
  <c r="E470" i="4"/>
  <c r="C470" i="4"/>
  <c r="E469" i="4"/>
  <c r="C469" i="4"/>
  <c r="E468" i="4"/>
  <c r="C468" i="4"/>
  <c r="E467" i="4"/>
  <c r="C467" i="4"/>
  <c r="E466" i="4"/>
  <c r="C466" i="4"/>
  <c r="E465" i="4"/>
  <c r="C465" i="4"/>
  <c r="E464" i="4"/>
  <c r="C464" i="4"/>
  <c r="E463" i="4"/>
  <c r="C463" i="4"/>
  <c r="E462" i="4"/>
  <c r="C462" i="4"/>
  <c r="E461" i="4"/>
  <c r="C461" i="4"/>
  <c r="E460" i="4"/>
  <c r="C460" i="4"/>
  <c r="E459" i="4"/>
  <c r="C459" i="4"/>
  <c r="E458" i="4"/>
  <c r="C458" i="4"/>
  <c r="E457" i="4"/>
  <c r="C457" i="4"/>
  <c r="E456" i="4"/>
  <c r="C456" i="4"/>
  <c r="E455" i="4"/>
  <c r="C455" i="4"/>
  <c r="E454" i="4"/>
  <c r="C454" i="4"/>
  <c r="E453" i="4"/>
  <c r="C453" i="4"/>
  <c r="E452" i="4"/>
  <c r="C452" i="4"/>
  <c r="E451" i="4"/>
  <c r="C451" i="4"/>
  <c r="E450" i="4"/>
  <c r="C450" i="4"/>
  <c r="E449" i="4"/>
  <c r="C449" i="4"/>
  <c r="E448" i="4"/>
  <c r="C448" i="4"/>
  <c r="E447" i="4"/>
  <c r="C447" i="4"/>
  <c r="E446" i="4"/>
  <c r="C446" i="4"/>
  <c r="E445" i="4"/>
  <c r="C445" i="4"/>
  <c r="E444" i="4"/>
  <c r="C444" i="4"/>
  <c r="E443" i="4"/>
  <c r="C443" i="4"/>
  <c r="E442" i="4"/>
  <c r="C442" i="4"/>
  <c r="E441" i="4"/>
  <c r="C441" i="4"/>
  <c r="E440" i="4"/>
  <c r="C440" i="4"/>
  <c r="E439" i="4"/>
  <c r="C439" i="4"/>
  <c r="E438" i="4"/>
  <c r="C438" i="4"/>
  <c r="E437" i="4"/>
  <c r="C437" i="4"/>
  <c r="E436" i="4"/>
  <c r="C436" i="4"/>
  <c r="E435" i="4"/>
  <c r="C435" i="4"/>
  <c r="E434" i="4"/>
  <c r="C434" i="4"/>
  <c r="E433" i="4"/>
  <c r="C433" i="4"/>
  <c r="E432" i="4"/>
  <c r="C432" i="4"/>
  <c r="E431" i="4"/>
  <c r="C431" i="4"/>
  <c r="E430" i="4"/>
  <c r="C430" i="4"/>
  <c r="E429" i="4"/>
  <c r="C429" i="4"/>
  <c r="E428" i="4"/>
  <c r="C428" i="4"/>
  <c r="E427" i="4"/>
  <c r="C427" i="4"/>
  <c r="E426" i="4"/>
  <c r="C426" i="4"/>
  <c r="E425" i="4"/>
  <c r="C425" i="4"/>
  <c r="E424" i="4"/>
  <c r="C424" i="4"/>
  <c r="E423" i="4"/>
  <c r="C423" i="4"/>
  <c r="E422" i="4"/>
  <c r="C422" i="4"/>
  <c r="E421" i="4"/>
  <c r="C421" i="4"/>
  <c r="E420" i="4"/>
  <c r="C420" i="4"/>
  <c r="E419" i="4"/>
  <c r="C419" i="4"/>
  <c r="E418" i="4"/>
  <c r="C418" i="4"/>
  <c r="E417" i="4"/>
  <c r="C417" i="4"/>
  <c r="E416" i="4"/>
  <c r="C416" i="4"/>
  <c r="E415" i="4"/>
  <c r="C415" i="4"/>
  <c r="E414" i="4"/>
  <c r="C414" i="4"/>
  <c r="E413" i="4"/>
  <c r="C413" i="4"/>
  <c r="E412" i="4"/>
  <c r="C412" i="4"/>
  <c r="E411" i="4"/>
  <c r="C411" i="4"/>
  <c r="E410" i="4"/>
  <c r="C410" i="4"/>
  <c r="E409" i="4"/>
  <c r="C409" i="4"/>
  <c r="E408" i="4"/>
  <c r="C408" i="4"/>
  <c r="E407" i="4"/>
  <c r="C407" i="4"/>
  <c r="E406" i="4"/>
  <c r="C406" i="4"/>
  <c r="E405" i="4"/>
  <c r="C405" i="4"/>
  <c r="E404" i="4"/>
  <c r="C404" i="4"/>
  <c r="E403" i="4"/>
  <c r="C403" i="4"/>
  <c r="E402" i="4"/>
  <c r="C402" i="4"/>
  <c r="E401" i="4"/>
  <c r="C401" i="4"/>
  <c r="E400" i="4"/>
  <c r="C400" i="4"/>
  <c r="E399" i="4"/>
  <c r="C399" i="4"/>
  <c r="E398" i="4"/>
  <c r="C398" i="4"/>
  <c r="E397" i="4"/>
  <c r="C397" i="4"/>
  <c r="C587" i="4"/>
  <c r="C586" i="4"/>
  <c r="C585" i="4"/>
  <c r="C575" i="4"/>
  <c r="C574" i="4"/>
  <c r="E563" i="4"/>
  <c r="C563" i="4"/>
  <c r="E562" i="4"/>
  <c r="C562" i="4"/>
  <c r="C551" i="4"/>
  <c r="C550" i="4"/>
  <c r="C549" i="4"/>
  <c r="C548" i="4"/>
  <c r="C538" i="4"/>
  <c r="C537" i="4"/>
  <c r="C536" i="4"/>
  <c r="C535" i="4"/>
  <c r="E528" i="4"/>
  <c r="C528" i="4"/>
  <c r="E527" i="4"/>
  <c r="C527" i="4"/>
  <c r="E526" i="4"/>
  <c r="C526" i="4"/>
  <c r="E525" i="4"/>
  <c r="C525" i="4"/>
  <c r="E516" i="4"/>
  <c r="C516" i="4"/>
  <c r="E515" i="4"/>
  <c r="C515" i="4"/>
  <c r="E514" i="4"/>
  <c r="C514" i="4"/>
  <c r="E513" i="4"/>
  <c r="C513" i="4"/>
  <c r="C505" i="4"/>
  <c r="C504" i="4"/>
  <c r="E497" i="4"/>
  <c r="C497" i="4"/>
  <c r="E496" i="4"/>
  <c r="C496" i="4"/>
  <c r="E495" i="4"/>
  <c r="C495" i="4"/>
  <c r="C484" i="4"/>
  <c r="C483" i="4"/>
  <c r="E396" i="4"/>
  <c r="C396" i="4"/>
  <c r="E395" i="4"/>
  <c r="C395" i="4"/>
  <c r="E394" i="4"/>
  <c r="C394" i="4"/>
  <c r="E393" i="4"/>
  <c r="C393" i="4"/>
  <c r="E392" i="4"/>
  <c r="C392" i="4"/>
  <c r="C384" i="4"/>
  <c r="E380" i="4"/>
  <c r="C380" i="4"/>
  <c r="E379" i="4"/>
  <c r="C379" i="4"/>
  <c r="C584" i="4"/>
  <c r="C583" i="4"/>
  <c r="C582" i="4"/>
  <c r="C581" i="4"/>
  <c r="C580" i="4"/>
  <c r="C579" i="4"/>
  <c r="C578" i="4"/>
  <c r="C577" i="4"/>
  <c r="C576" i="4"/>
  <c r="C573" i="4"/>
  <c r="C572" i="4"/>
  <c r="C571" i="4"/>
  <c r="C570" i="4"/>
  <c r="C569" i="4"/>
  <c r="C568" i="4"/>
  <c r="C567" i="4"/>
  <c r="C566" i="4"/>
  <c r="C565" i="4"/>
  <c r="C564" i="4"/>
  <c r="E561" i="4"/>
  <c r="C561" i="4"/>
  <c r="E560" i="4"/>
  <c r="C560" i="4"/>
  <c r="E559" i="4"/>
  <c r="C559" i="4"/>
  <c r="E558" i="4"/>
  <c r="C558" i="4"/>
  <c r="E557" i="4"/>
  <c r="C557" i="4"/>
  <c r="E556" i="4"/>
  <c r="C556" i="4"/>
  <c r="E555" i="4"/>
  <c r="C555" i="4"/>
  <c r="E554" i="4"/>
  <c r="C554" i="4"/>
  <c r="E553" i="4"/>
  <c r="C553" i="4"/>
  <c r="E552" i="4"/>
  <c r="C552" i="4"/>
  <c r="C547" i="4"/>
  <c r="C546" i="4"/>
  <c r="C545" i="4"/>
  <c r="C544" i="4"/>
  <c r="C543" i="4"/>
  <c r="C542" i="4"/>
  <c r="C541" i="4"/>
  <c r="C540" i="4"/>
  <c r="C539" i="4"/>
  <c r="C534" i="4"/>
  <c r="C533" i="4"/>
  <c r="C532" i="4"/>
  <c r="C531" i="4"/>
  <c r="C530" i="4"/>
  <c r="C529" i="4"/>
  <c r="E524" i="4"/>
  <c r="C524" i="4"/>
  <c r="E523" i="4"/>
  <c r="C523" i="4"/>
  <c r="E522" i="4"/>
  <c r="C522" i="4"/>
  <c r="E521" i="4"/>
  <c r="C521" i="4"/>
  <c r="E520" i="4"/>
  <c r="C520" i="4"/>
  <c r="E519" i="4"/>
  <c r="C519" i="4"/>
  <c r="E518" i="4"/>
  <c r="C518" i="4"/>
  <c r="E512" i="4"/>
  <c r="C512" i="4"/>
  <c r="E511" i="4"/>
  <c r="C511" i="4"/>
  <c r="E510" i="4"/>
  <c r="C510" i="4"/>
  <c r="E509" i="4"/>
  <c r="C509" i="4"/>
  <c r="E508" i="4"/>
  <c r="C508" i="4"/>
  <c r="E507" i="4"/>
  <c r="C507" i="4"/>
  <c r="C503" i="4"/>
  <c r="C502" i="4"/>
  <c r="C501" i="4"/>
  <c r="C500" i="4"/>
  <c r="C499" i="4"/>
  <c r="E494" i="4"/>
  <c r="C494" i="4"/>
  <c r="E493" i="4"/>
  <c r="C493" i="4"/>
  <c r="E492" i="4"/>
  <c r="C492" i="4"/>
  <c r="E491" i="4"/>
  <c r="C491" i="4"/>
  <c r="E490" i="4"/>
  <c r="C490" i="4"/>
  <c r="E489" i="4"/>
  <c r="C489" i="4"/>
  <c r="E488" i="4"/>
  <c r="C488" i="4"/>
  <c r="E487" i="4"/>
  <c r="C487" i="4"/>
  <c r="E486" i="4"/>
  <c r="C486" i="4"/>
  <c r="C482" i="4"/>
  <c r="C481" i="4"/>
  <c r="C480" i="4"/>
  <c r="E391" i="4"/>
  <c r="C391" i="4"/>
  <c r="E390" i="4"/>
  <c r="C390" i="4"/>
  <c r="E389" i="4"/>
  <c r="C389" i="4"/>
  <c r="E388" i="4"/>
  <c r="C388" i="4"/>
  <c r="E387" i="4"/>
  <c r="C387" i="4"/>
  <c r="E386" i="4"/>
  <c r="C386" i="4"/>
  <c r="E385" i="4"/>
  <c r="C385" i="4"/>
  <c r="C383" i="4"/>
  <c r="C382" i="4"/>
  <c r="C381" i="4"/>
  <c r="E378" i="4"/>
  <c r="C378" i="4"/>
  <c r="E377" i="4"/>
  <c r="C377" i="4"/>
  <c r="E376" i="4"/>
  <c r="C376" i="4"/>
  <c r="E375" i="4"/>
  <c r="C375" i="4"/>
  <c r="E245" i="4"/>
  <c r="C245" i="4"/>
  <c r="E244" i="4"/>
  <c r="C244" i="4"/>
  <c r="E318" i="4"/>
  <c r="C318" i="4"/>
  <c r="E317" i="4"/>
  <c r="C317" i="4"/>
  <c r="E316" i="4"/>
  <c r="C316" i="4"/>
  <c r="E315" i="4"/>
  <c r="C315" i="4"/>
  <c r="E314" i="4"/>
  <c r="C314" i="4"/>
  <c r="E313" i="4"/>
  <c r="C313" i="4"/>
  <c r="E312" i="4"/>
  <c r="C312" i="4"/>
  <c r="E311" i="4"/>
  <c r="C311" i="4"/>
  <c r="E310" i="4"/>
  <c r="C310" i="4"/>
  <c r="E309" i="4"/>
  <c r="C309" i="4"/>
  <c r="E308" i="4"/>
  <c r="C308" i="4"/>
  <c r="E307" i="4"/>
  <c r="C307" i="4"/>
  <c r="E306" i="4"/>
  <c r="C306" i="4"/>
  <c r="E289" i="4"/>
  <c r="C289" i="4"/>
  <c r="E288" i="4"/>
  <c r="C288" i="4"/>
  <c r="E287" i="4"/>
  <c r="C287" i="4"/>
  <c r="E286" i="4"/>
  <c r="C286" i="4"/>
  <c r="E285" i="4"/>
  <c r="C285" i="4"/>
  <c r="E284" i="4"/>
  <c r="C284" i="4"/>
  <c r="E283" i="4"/>
  <c r="C283" i="4"/>
  <c r="E282" i="4"/>
  <c r="C282" i="4"/>
  <c r="E281" i="4"/>
  <c r="C281" i="4"/>
  <c r="E280" i="4"/>
  <c r="C280" i="4"/>
  <c r="E279" i="4"/>
  <c r="C279" i="4"/>
  <c r="E278" i="4"/>
  <c r="C278" i="4"/>
  <c r="E277" i="4"/>
  <c r="C277" i="4"/>
  <c r="E276" i="4"/>
  <c r="C276" i="4"/>
  <c r="E305" i="4"/>
  <c r="C305" i="4"/>
  <c r="E304" i="4"/>
  <c r="C304" i="4"/>
  <c r="E303" i="4"/>
  <c r="C303" i="4"/>
  <c r="E302" i="4"/>
  <c r="C302" i="4"/>
  <c r="E301" i="4"/>
  <c r="C301" i="4"/>
  <c r="E300" i="4"/>
  <c r="C300" i="4"/>
  <c r="E299" i="4"/>
  <c r="C299" i="4"/>
  <c r="E298" i="4"/>
  <c r="C298" i="4"/>
  <c r="E297" i="4"/>
  <c r="C297" i="4"/>
  <c r="E296" i="4"/>
  <c r="C296" i="4"/>
  <c r="E295" i="4"/>
  <c r="C295" i="4"/>
  <c r="E294" i="4"/>
  <c r="C294" i="4"/>
  <c r="E293" i="4"/>
  <c r="C293" i="4"/>
  <c r="E292" i="4"/>
  <c r="C292" i="4"/>
  <c r="E291" i="4"/>
  <c r="C291" i="4"/>
  <c r="E290" i="4"/>
  <c r="C290" i="4"/>
  <c r="E275" i="4"/>
  <c r="C275" i="4"/>
  <c r="E274" i="4"/>
  <c r="C274" i="4"/>
  <c r="E273" i="4"/>
  <c r="C273" i="4"/>
  <c r="E272" i="4"/>
  <c r="C272" i="4"/>
  <c r="E271" i="4"/>
  <c r="C271" i="4"/>
  <c r="E270" i="4"/>
  <c r="C270" i="4"/>
  <c r="E269" i="4"/>
  <c r="C269" i="4"/>
  <c r="E268" i="4"/>
  <c r="C268" i="4"/>
  <c r="E267" i="4"/>
  <c r="C267" i="4"/>
  <c r="E266" i="4"/>
  <c r="C266" i="4"/>
  <c r="E265" i="4"/>
  <c r="C265" i="4"/>
  <c r="E264" i="4"/>
  <c r="C264" i="4"/>
  <c r="E263" i="4"/>
  <c r="C263" i="4"/>
  <c r="E243" i="4"/>
  <c r="C243" i="4"/>
  <c r="E242" i="4"/>
  <c r="C242" i="4"/>
  <c r="E241" i="4"/>
  <c r="C241" i="4"/>
  <c r="E240" i="4"/>
  <c r="C240" i="4"/>
  <c r="E239" i="4"/>
  <c r="C239" i="4"/>
  <c r="E238" i="4"/>
  <c r="C238" i="4"/>
  <c r="E237" i="4"/>
  <c r="C237" i="4"/>
  <c r="E236" i="4"/>
  <c r="C236" i="4"/>
  <c r="E235" i="4"/>
  <c r="C235" i="4"/>
  <c r="E234" i="4"/>
  <c r="C234" i="4"/>
  <c r="E233" i="4"/>
  <c r="C233" i="4"/>
  <c r="E232" i="4"/>
  <c r="C232" i="4"/>
  <c r="E231" i="4"/>
  <c r="C231" i="4"/>
  <c r="E230" i="4"/>
  <c r="C230" i="4"/>
  <c r="E229" i="4"/>
  <c r="C229" i="4"/>
  <c r="E228" i="4"/>
  <c r="C228" i="4"/>
  <c r="E227" i="4"/>
  <c r="C227" i="4"/>
  <c r="E226" i="4"/>
  <c r="C226" i="4"/>
  <c r="C374" i="4"/>
  <c r="C373" i="4"/>
  <c r="C372" i="4"/>
  <c r="C371" i="4"/>
  <c r="C370" i="4"/>
  <c r="C369" i="4"/>
  <c r="C368" i="4"/>
  <c r="C367" i="4"/>
  <c r="C366" i="4"/>
  <c r="C365" i="4"/>
  <c r="E364" i="4"/>
  <c r="C364" i="4"/>
  <c r="E363" i="4"/>
  <c r="C363" i="4"/>
  <c r="E362" i="4"/>
  <c r="C362" i="4"/>
  <c r="E361" i="4"/>
  <c r="C361" i="4"/>
  <c r="E360" i="4"/>
  <c r="C360" i="4"/>
  <c r="E359" i="4"/>
  <c r="C359" i="4"/>
  <c r="E358" i="4"/>
  <c r="C358" i="4"/>
  <c r="E357" i="4"/>
  <c r="C357" i="4"/>
  <c r="E356" i="4"/>
  <c r="C356" i="4"/>
  <c r="E355" i="4"/>
  <c r="C355" i="4"/>
  <c r="E354" i="4"/>
  <c r="C354" i="4"/>
  <c r="E353" i="4"/>
  <c r="C353" i="4"/>
  <c r="E352" i="4"/>
  <c r="C352" i="4"/>
  <c r="E351" i="4"/>
  <c r="C351" i="4"/>
  <c r="E350" i="4"/>
  <c r="C350" i="4"/>
  <c r="E349" i="4"/>
  <c r="C349" i="4"/>
  <c r="E348" i="4"/>
  <c r="C348" i="4"/>
  <c r="E347" i="4"/>
  <c r="C347" i="4"/>
  <c r="E346" i="4"/>
  <c r="C346" i="4"/>
  <c r="E345" i="4"/>
  <c r="C345" i="4"/>
  <c r="E344" i="4"/>
  <c r="C344" i="4"/>
  <c r="E343" i="4"/>
  <c r="C343" i="4"/>
  <c r="E342" i="4"/>
  <c r="C342" i="4"/>
  <c r="E341" i="4"/>
  <c r="C341" i="4"/>
  <c r="E340" i="4"/>
  <c r="C340" i="4"/>
  <c r="E339" i="4"/>
  <c r="C339" i="4"/>
  <c r="E338" i="4"/>
  <c r="C338" i="4"/>
  <c r="E337" i="4"/>
  <c r="C337" i="4"/>
  <c r="E336" i="4"/>
  <c r="C336" i="4"/>
  <c r="E335" i="4"/>
  <c r="C335" i="4"/>
  <c r="E334" i="4"/>
  <c r="C334" i="4"/>
  <c r="E333" i="4"/>
  <c r="C333" i="4"/>
  <c r="E332" i="4"/>
  <c r="C332" i="4"/>
  <c r="E331" i="4"/>
  <c r="C331" i="4"/>
  <c r="E330" i="4"/>
  <c r="C330" i="4"/>
  <c r="E329" i="4"/>
  <c r="C329" i="4"/>
  <c r="E328" i="4"/>
  <c r="C328" i="4"/>
  <c r="E327" i="4"/>
  <c r="C327" i="4"/>
  <c r="E326" i="4"/>
  <c r="C326" i="4"/>
  <c r="E325" i="4"/>
  <c r="C325" i="4"/>
  <c r="E324" i="4"/>
  <c r="C324" i="4"/>
  <c r="E323" i="4"/>
  <c r="C323" i="4"/>
  <c r="E322" i="4"/>
  <c r="C322" i="4"/>
  <c r="E321" i="4"/>
  <c r="C321" i="4"/>
  <c r="E320" i="4"/>
  <c r="C320" i="4"/>
  <c r="E319" i="4"/>
  <c r="C319" i="4"/>
  <c r="E262" i="4"/>
  <c r="C262" i="4"/>
  <c r="E261" i="4"/>
  <c r="C261" i="4"/>
  <c r="E260" i="4"/>
  <c r="C260" i="4"/>
  <c r="E259" i="4"/>
  <c r="C259" i="4"/>
  <c r="E258" i="4"/>
  <c r="C258" i="4"/>
  <c r="E257" i="4"/>
  <c r="C257" i="4"/>
  <c r="E256" i="4"/>
  <c r="C256" i="4"/>
  <c r="E255" i="4"/>
  <c r="C255" i="4"/>
  <c r="E254" i="4"/>
  <c r="C254" i="4"/>
  <c r="E253" i="4"/>
  <c r="C253" i="4"/>
  <c r="E252" i="4"/>
  <c r="C252" i="4"/>
  <c r="E251" i="4"/>
  <c r="C251" i="4"/>
  <c r="E250" i="4"/>
  <c r="C250" i="4"/>
  <c r="E249" i="4"/>
  <c r="C249" i="4"/>
  <c r="E248" i="4"/>
  <c r="C248" i="4"/>
  <c r="E247" i="4"/>
  <c r="C247" i="4"/>
  <c r="E246" i="4"/>
  <c r="C246" i="4"/>
  <c r="E225" i="4"/>
  <c r="C225" i="4"/>
  <c r="E224" i="4"/>
  <c r="C224" i="4"/>
  <c r="E223" i="4"/>
  <c r="C223" i="4"/>
  <c r="E222" i="4"/>
  <c r="C222" i="4"/>
  <c r="E221" i="4"/>
  <c r="C221" i="4"/>
  <c r="E220" i="4"/>
  <c r="C220" i="4"/>
  <c r="E219" i="4"/>
  <c r="C219" i="4"/>
  <c r="E218" i="4"/>
  <c r="C218" i="4"/>
  <c r="E217" i="4"/>
  <c r="C217" i="4"/>
  <c r="E216" i="4"/>
  <c r="C216" i="4"/>
  <c r="E215" i="4"/>
  <c r="C215" i="4"/>
  <c r="E214" i="4"/>
  <c r="C214" i="4"/>
  <c r="E213" i="4"/>
  <c r="C213" i="4"/>
  <c r="E212" i="4"/>
  <c r="C212" i="4"/>
  <c r="E211" i="4"/>
  <c r="C211" i="4"/>
  <c r="E210" i="4"/>
  <c r="C210" i="4"/>
  <c r="E209" i="4"/>
  <c r="C209" i="4"/>
  <c r="E208" i="4"/>
  <c r="C208" i="4"/>
  <c r="E207" i="4"/>
  <c r="C207" i="4"/>
  <c r="E206" i="4"/>
  <c r="C206" i="4"/>
  <c r="E205" i="4"/>
  <c r="C205" i="4"/>
  <c r="E204" i="4"/>
  <c r="C204" i="4"/>
  <c r="E203" i="4"/>
  <c r="C203" i="4"/>
  <c r="E202" i="4"/>
  <c r="C202" i="4"/>
  <c r="E201" i="4"/>
  <c r="C201" i="4"/>
  <c r="E200" i="4"/>
  <c r="C200" i="4"/>
  <c r="E199" i="4"/>
  <c r="C199" i="4"/>
  <c r="E198" i="4"/>
  <c r="C198" i="4"/>
  <c r="E197" i="4"/>
  <c r="C197" i="4"/>
  <c r="E196" i="4"/>
  <c r="C196" i="4"/>
  <c r="E195" i="4"/>
  <c r="C195" i="4"/>
  <c r="E194" i="4"/>
  <c r="C194" i="4"/>
  <c r="E193" i="4"/>
  <c r="C193" i="4"/>
  <c r="E192" i="4"/>
  <c r="C192" i="4"/>
  <c r="E191" i="4"/>
  <c r="C191" i="4"/>
  <c r="E190" i="4"/>
  <c r="C190" i="4"/>
  <c r="E189" i="4"/>
  <c r="C189" i="4"/>
  <c r="E188" i="4"/>
  <c r="C188" i="4"/>
  <c r="E187" i="4"/>
  <c r="C187" i="4"/>
  <c r="E186" i="4"/>
  <c r="C186" i="4"/>
  <c r="E185" i="4"/>
  <c r="C185" i="4"/>
  <c r="E184" i="4"/>
  <c r="C184" i="4"/>
  <c r="E183" i="4"/>
  <c r="C183" i="4"/>
  <c r="E182" i="4"/>
  <c r="C182" i="4"/>
  <c r="E181" i="4"/>
  <c r="C181" i="4"/>
  <c r="E180" i="4"/>
  <c r="C180" i="4"/>
  <c r="E179" i="4"/>
  <c r="C179" i="4"/>
  <c r="E178" i="4"/>
  <c r="C178" i="4"/>
  <c r="E177" i="4"/>
  <c r="C177" i="4"/>
  <c r="E176" i="4"/>
  <c r="C176" i="4"/>
  <c r="E175" i="4"/>
  <c r="C175" i="4"/>
  <c r="E174" i="4"/>
  <c r="C174" i="4"/>
  <c r="E173" i="4"/>
  <c r="C173" i="4"/>
  <c r="E172" i="4"/>
  <c r="C172" i="4"/>
  <c r="E171" i="4"/>
  <c r="C171" i="4"/>
  <c r="E170" i="4"/>
  <c r="C170" i="4"/>
  <c r="E169" i="4"/>
  <c r="C169" i="4"/>
  <c r="E168" i="4"/>
  <c r="C168" i="4"/>
  <c r="E167" i="4"/>
  <c r="C167" i="4"/>
  <c r="E166" i="4"/>
  <c r="C166" i="4"/>
  <c r="E165" i="4"/>
  <c r="C165" i="4"/>
  <c r="E164" i="4"/>
  <c r="C164" i="4"/>
  <c r="E163" i="4"/>
  <c r="C163" i="4"/>
  <c r="E162" i="4"/>
  <c r="C162" i="4"/>
  <c r="E161" i="4"/>
  <c r="C161" i="4"/>
  <c r="E160" i="4"/>
  <c r="C160" i="4"/>
  <c r="E159" i="4"/>
  <c r="C159" i="4"/>
  <c r="E158" i="4"/>
  <c r="C158" i="4"/>
  <c r="E157" i="4"/>
  <c r="C157" i="4"/>
  <c r="E156" i="4"/>
  <c r="C156" i="4"/>
  <c r="E155" i="4"/>
  <c r="C155" i="4"/>
  <c r="E154" i="4"/>
  <c r="C154" i="4"/>
  <c r="E153" i="4"/>
  <c r="C153" i="4"/>
  <c r="E152" i="4"/>
  <c r="C152" i="4"/>
  <c r="E151" i="4"/>
  <c r="C151" i="4"/>
  <c r="E150" i="4"/>
  <c r="C150" i="4"/>
  <c r="E149" i="4"/>
  <c r="C149" i="4"/>
  <c r="E148" i="4"/>
  <c r="C148" i="4"/>
  <c r="E147" i="4"/>
  <c r="C147" i="4"/>
  <c r="E146" i="4"/>
  <c r="C146" i="4"/>
  <c r="E145" i="4"/>
  <c r="C145" i="4"/>
  <c r="E144" i="4"/>
  <c r="C144" i="4"/>
  <c r="E143" i="4"/>
  <c r="C143" i="4"/>
  <c r="E142" i="4"/>
  <c r="C142" i="4"/>
  <c r="E141" i="4"/>
  <c r="C141" i="4"/>
  <c r="E140" i="4"/>
  <c r="C140" i="4"/>
  <c r="E139" i="4"/>
  <c r="C139" i="4"/>
  <c r="E138" i="4"/>
  <c r="C138" i="4"/>
  <c r="E137" i="4"/>
  <c r="C137" i="4"/>
  <c r="E136" i="4"/>
  <c r="C136" i="4"/>
  <c r="E135" i="4"/>
  <c r="C135" i="4"/>
  <c r="E134" i="4"/>
  <c r="C134" i="4"/>
  <c r="E133" i="4"/>
  <c r="C133" i="4"/>
  <c r="E132" i="4"/>
  <c r="C132" i="4"/>
  <c r="E131" i="4"/>
  <c r="C131" i="4"/>
  <c r="E130" i="4"/>
  <c r="C130" i="4"/>
  <c r="E129" i="4"/>
  <c r="C129" i="4"/>
  <c r="E128" i="4"/>
  <c r="C128" i="4"/>
  <c r="E127" i="4"/>
  <c r="C127" i="4"/>
  <c r="E126" i="4"/>
  <c r="C126" i="4"/>
  <c r="E125" i="4"/>
  <c r="C125" i="4"/>
  <c r="E124" i="4"/>
  <c r="C124" i="4"/>
  <c r="E123" i="4"/>
  <c r="C123" i="4"/>
  <c r="E122" i="4"/>
  <c r="C122" i="4"/>
  <c r="E121" i="4"/>
  <c r="C121" i="4"/>
  <c r="E120" i="4"/>
  <c r="C120" i="4"/>
  <c r="E119" i="4"/>
  <c r="C119" i="4"/>
  <c r="E118" i="4"/>
  <c r="C118" i="4"/>
  <c r="E117" i="4"/>
  <c r="C117" i="4"/>
  <c r="E116" i="4"/>
  <c r="C116" i="4"/>
  <c r="E115" i="4"/>
  <c r="C115" i="4"/>
  <c r="E114" i="4"/>
  <c r="C114" i="4"/>
  <c r="E113" i="4"/>
  <c r="C113" i="4"/>
  <c r="E112" i="4"/>
  <c r="C112" i="4"/>
  <c r="E111" i="4"/>
  <c r="C111" i="4"/>
  <c r="E110" i="4"/>
  <c r="C110" i="4"/>
  <c r="E109" i="4"/>
  <c r="C109" i="4"/>
  <c r="E108" i="4"/>
  <c r="C108" i="4"/>
  <c r="E107" i="4"/>
  <c r="C107" i="4"/>
  <c r="E106" i="4"/>
  <c r="C106" i="4"/>
  <c r="E105" i="4"/>
  <c r="C105" i="4"/>
  <c r="E104" i="4"/>
  <c r="C104" i="4"/>
  <c r="E103" i="4"/>
  <c r="C103" i="4"/>
  <c r="E102" i="4"/>
  <c r="C102" i="4"/>
  <c r="E101" i="4"/>
  <c r="C101" i="4"/>
  <c r="E100" i="4"/>
  <c r="C100" i="4"/>
  <c r="E99" i="4"/>
  <c r="C99" i="4"/>
  <c r="E98" i="4"/>
  <c r="C98" i="4"/>
  <c r="E97" i="4"/>
  <c r="C97" i="4"/>
  <c r="E96" i="4"/>
  <c r="C96" i="4"/>
  <c r="E95" i="4"/>
  <c r="C95" i="4"/>
  <c r="E94" i="4"/>
  <c r="C94" i="4"/>
  <c r="E93" i="4"/>
  <c r="C93" i="4"/>
  <c r="E92" i="4"/>
  <c r="C92" i="4"/>
  <c r="E91" i="4"/>
  <c r="C91" i="4"/>
  <c r="E90" i="4"/>
  <c r="C90" i="4"/>
  <c r="E89" i="4"/>
  <c r="C89" i="4"/>
  <c r="E88" i="4"/>
  <c r="C88" i="4"/>
  <c r="E87" i="4"/>
  <c r="C87" i="4"/>
  <c r="E987" i="4"/>
  <c r="C987" i="4"/>
  <c r="E86" i="4"/>
  <c r="C86" i="4"/>
  <c r="E85" i="4"/>
  <c r="C85" i="4"/>
  <c r="E84" i="4"/>
  <c r="C84" i="4"/>
  <c r="E83" i="4"/>
  <c r="C83" i="4"/>
  <c r="E82" i="4"/>
  <c r="C82" i="4"/>
  <c r="E81" i="4"/>
  <c r="C81" i="4"/>
  <c r="E80" i="4"/>
  <c r="C80" i="4"/>
  <c r="E79" i="4"/>
  <c r="C79" i="4"/>
  <c r="E78" i="4"/>
  <c r="C78" i="4"/>
  <c r="E77" i="4"/>
  <c r="C77" i="4"/>
  <c r="E76" i="4"/>
  <c r="C76" i="4"/>
  <c r="E75" i="4"/>
  <c r="C75" i="4"/>
  <c r="E74" i="4"/>
  <c r="C74" i="4"/>
  <c r="E73" i="4"/>
  <c r="C73" i="4"/>
  <c r="E72" i="4"/>
  <c r="C72" i="4"/>
  <c r="E71" i="4"/>
  <c r="C71" i="4"/>
  <c r="E70" i="4"/>
  <c r="C70" i="4"/>
  <c r="E69" i="4"/>
  <c r="C69" i="4"/>
  <c r="E68" i="4"/>
  <c r="C68" i="4"/>
  <c r="E67" i="4"/>
  <c r="C67" i="4"/>
  <c r="E66" i="4"/>
  <c r="C66" i="4"/>
  <c r="E65" i="4"/>
  <c r="C65" i="4"/>
  <c r="E64" i="4"/>
  <c r="C64" i="4"/>
  <c r="E63" i="4"/>
  <c r="C63" i="4"/>
  <c r="E62" i="4"/>
  <c r="C62" i="4"/>
  <c r="E61" i="4"/>
  <c r="C61" i="4"/>
  <c r="E60" i="4"/>
  <c r="C60" i="4"/>
  <c r="E59" i="4"/>
  <c r="C59" i="4"/>
  <c r="E58" i="4"/>
  <c r="C58" i="4"/>
  <c r="E57" i="4"/>
  <c r="C57" i="4"/>
  <c r="E56" i="4"/>
  <c r="C56" i="4"/>
  <c r="E55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E48" i="4"/>
  <c r="C48" i="4"/>
  <c r="E47" i="4"/>
  <c r="C47" i="4"/>
  <c r="E46" i="4"/>
  <c r="C46" i="4"/>
  <c r="E45" i="4"/>
  <c r="C45" i="4"/>
  <c r="E44" i="4"/>
  <c r="C44" i="4"/>
  <c r="E43" i="4"/>
  <c r="C43" i="4"/>
  <c r="E42" i="4"/>
  <c r="C42" i="4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5" i="4"/>
  <c r="C5" i="4"/>
  <c r="Z287" i="4"/>
  <c r="Y287" i="4"/>
  <c r="AB287" i="4"/>
  <c r="AA287" i="4"/>
  <c r="Q287" i="4"/>
  <c r="R287" i="4"/>
  <c r="S287" i="4"/>
  <c r="T287" i="4"/>
  <c r="U287" i="4"/>
  <c r="V287" i="4"/>
  <c r="W287" i="4"/>
  <c r="X287" i="4"/>
  <c r="AF224" i="4" l="1"/>
  <c r="AH224" i="4" s="1"/>
  <c r="AF8" i="4"/>
  <c r="AH8" i="4" s="1"/>
  <c r="AH256" i="4"/>
  <c r="AH208" i="4"/>
  <c r="AH112" i="4"/>
  <c r="AH64" i="4"/>
  <c r="AH274" i="4"/>
  <c r="AH160" i="4"/>
  <c r="AH150" i="4"/>
  <c r="AH114" i="4"/>
  <c r="AH82" i="4"/>
  <c r="AH226" i="4"/>
  <c r="AH178" i="4"/>
  <c r="AH246" i="4"/>
  <c r="AH198" i="4"/>
  <c r="AH130" i="4"/>
  <c r="AH102" i="4"/>
  <c r="AH248" i="4"/>
  <c r="AH200" i="4"/>
  <c r="AH104" i="4"/>
  <c r="AH266" i="4"/>
  <c r="AH170" i="4"/>
  <c r="AH282" i="4"/>
  <c r="AH234" i="4"/>
  <c r="AH186" i="4"/>
  <c r="AF6" i="4"/>
  <c r="AH260" i="4"/>
  <c r="AH236" i="4"/>
  <c r="AH212" i="4"/>
  <c r="AH188" i="4"/>
  <c r="AH164" i="4"/>
  <c r="AH140" i="4"/>
  <c r="AH116" i="4"/>
  <c r="AH92" i="4"/>
  <c r="AH68" i="4"/>
  <c r="AH44" i="4"/>
  <c r="AH16" i="4"/>
  <c r="AH278" i="4"/>
  <c r="AH254" i="4"/>
  <c r="AH230" i="4"/>
  <c r="AH206" i="4"/>
  <c r="AH182" i="4"/>
  <c r="AH158" i="4"/>
  <c r="AH264" i="4"/>
  <c r="AH216" i="4"/>
  <c r="AH172" i="4"/>
  <c r="AH120" i="4"/>
  <c r="AH72" i="4"/>
  <c r="AH20" i="4"/>
  <c r="AH258" i="4"/>
  <c r="AH210" i="4"/>
  <c r="AH162" i="4"/>
  <c r="AH134" i="4"/>
  <c r="AH118" i="4"/>
  <c r="AH98" i="4"/>
  <c r="AH86" i="4"/>
  <c r="AH70" i="4"/>
  <c r="AH54" i="4"/>
  <c r="AH38" i="4"/>
  <c r="AH18" i="4"/>
  <c r="AH268" i="4"/>
  <c r="AH244" i="4"/>
  <c r="AH220" i="4"/>
  <c r="AH196" i="4"/>
  <c r="AH168" i="4"/>
  <c r="AH148" i="4"/>
  <c r="AH124" i="4"/>
  <c r="AH100" i="4"/>
  <c r="AH76" i="4"/>
  <c r="AH52" i="4"/>
  <c r="AH28" i="4"/>
  <c r="AH286" i="4"/>
  <c r="AH262" i="4"/>
  <c r="AH238" i="4"/>
  <c r="AH214" i="4"/>
  <c r="AH190" i="4"/>
  <c r="AH166" i="4"/>
  <c r="AH276" i="4"/>
  <c r="AH228" i="4"/>
  <c r="AH180" i="4"/>
  <c r="AH132" i="4"/>
  <c r="AH84" i="4"/>
  <c r="AH36" i="4"/>
  <c r="AH270" i="4"/>
  <c r="AH222" i="4"/>
  <c r="AH174" i="4"/>
  <c r="AH138" i="4"/>
  <c r="AH122" i="4"/>
  <c r="AH106" i="4"/>
  <c r="AH90" i="4"/>
  <c r="AH74" i="4"/>
  <c r="AH58" i="4"/>
  <c r="AH42" i="4"/>
  <c r="AH26" i="4"/>
  <c r="AH10" i="4"/>
  <c r="AH152" i="4"/>
  <c r="AH56" i="4"/>
  <c r="AH218" i="4"/>
  <c r="AH142" i="4"/>
  <c r="AH126" i="4"/>
  <c r="AH110" i="4"/>
  <c r="AH94" i="4"/>
  <c r="AH284" i="4"/>
  <c r="AH272" i="4"/>
  <c r="AH176" i="4"/>
  <c r="AH128" i="4"/>
  <c r="AH80" i="4"/>
  <c r="AH32" i="4"/>
  <c r="AH242" i="4"/>
  <c r="AH194" i="4"/>
  <c r="AH146" i="4"/>
  <c r="AH240" i="4"/>
  <c r="AH192" i="4"/>
  <c r="AH144" i="4"/>
  <c r="AH96" i="4"/>
  <c r="AH48" i="4"/>
  <c r="AH78" i="4"/>
  <c r="AH62" i="4"/>
  <c r="AH46" i="4"/>
  <c r="AH30" i="4"/>
  <c r="AH14" i="4"/>
  <c r="AH280" i="4"/>
  <c r="AH232" i="4"/>
  <c r="AH184" i="4"/>
  <c r="AH156" i="4"/>
  <c r="AH136" i="4"/>
  <c r="AH88" i="4"/>
  <c r="AH40" i="4"/>
  <c r="AH24" i="4"/>
  <c r="AH250" i="4"/>
  <c r="AH202" i="4"/>
  <c r="AH154" i="4"/>
  <c r="AH252" i="4"/>
  <c r="AH204" i="4"/>
  <c r="AH108" i="4"/>
  <c r="AH60" i="4"/>
  <c r="AH12" i="4"/>
  <c r="AH66" i="4"/>
  <c r="AH50" i="4"/>
  <c r="AH34" i="4"/>
  <c r="AH22" i="4"/>
  <c r="Q289" i="4"/>
  <c r="Q290" i="4" s="1"/>
  <c r="R6" i="2"/>
  <c r="R11" i="2"/>
  <c r="R4" i="2"/>
  <c r="R7" i="2"/>
  <c r="R8" i="2"/>
  <c r="R5" i="2"/>
  <c r="R18" i="2"/>
  <c r="R9" i="2"/>
  <c r="R10" i="2"/>
  <c r="R24" i="2"/>
  <c r="R14" i="2"/>
  <c r="R16" i="2"/>
  <c r="R15" i="2"/>
  <c r="R21" i="2"/>
  <c r="R17" i="2"/>
  <c r="R19" i="2"/>
  <c r="R12" i="2"/>
  <c r="AH6" i="4" l="1"/>
  <c r="AF289" i="4"/>
  <c r="R26" i="2"/>
  <c r="L717" i="5"/>
  <c r="K717" i="5"/>
  <c r="J717" i="5"/>
  <c r="D717" i="5"/>
  <c r="L716" i="5"/>
  <c r="K716" i="5"/>
  <c r="J716" i="5"/>
  <c r="D716" i="5"/>
  <c r="L715" i="5"/>
  <c r="K715" i="5"/>
  <c r="J715" i="5"/>
  <c r="D715" i="5"/>
  <c r="L714" i="5"/>
  <c r="K714" i="5"/>
  <c r="J714" i="5"/>
  <c r="D714" i="5"/>
  <c r="O713" i="5"/>
  <c r="M713" i="5"/>
  <c r="L713" i="5"/>
  <c r="K713" i="5"/>
  <c r="J713" i="5"/>
  <c r="D713" i="5"/>
  <c r="N713" i="5" s="1"/>
  <c r="L712" i="5"/>
  <c r="K712" i="5"/>
  <c r="J712" i="5"/>
  <c r="D712" i="5"/>
  <c r="L711" i="5"/>
  <c r="K711" i="5"/>
  <c r="J711" i="5"/>
  <c r="D711" i="5"/>
  <c r="L710" i="5"/>
  <c r="K710" i="5"/>
  <c r="J710" i="5"/>
  <c r="D710" i="5"/>
  <c r="L709" i="5"/>
  <c r="K709" i="5"/>
  <c r="J709" i="5"/>
  <c r="D709" i="5"/>
  <c r="O708" i="5"/>
  <c r="M708" i="5"/>
  <c r="L708" i="5"/>
  <c r="K708" i="5"/>
  <c r="J708" i="5"/>
  <c r="D708" i="5"/>
  <c r="N708" i="5" s="1"/>
  <c r="L707" i="5"/>
  <c r="K707" i="5"/>
  <c r="J707" i="5"/>
  <c r="D707" i="5"/>
  <c r="L706" i="5"/>
  <c r="K706" i="5"/>
  <c r="J706" i="5"/>
  <c r="D706" i="5"/>
  <c r="L705" i="5"/>
  <c r="K705" i="5"/>
  <c r="J705" i="5"/>
  <c r="D705" i="5"/>
  <c r="L704" i="5"/>
  <c r="K704" i="5"/>
  <c r="J704" i="5"/>
  <c r="D704" i="5"/>
  <c r="O703" i="5"/>
  <c r="N703" i="5"/>
  <c r="M703" i="5"/>
  <c r="L703" i="5"/>
  <c r="K703" i="5"/>
  <c r="J703" i="5"/>
  <c r="D703" i="5"/>
  <c r="L702" i="5"/>
  <c r="K702" i="5"/>
  <c r="J702" i="5"/>
  <c r="D702" i="5"/>
  <c r="L701" i="5"/>
  <c r="K701" i="5"/>
  <c r="J701" i="5"/>
  <c r="D701" i="5"/>
  <c r="L700" i="5"/>
  <c r="K700" i="5"/>
  <c r="J700" i="5"/>
  <c r="D700" i="5"/>
  <c r="L699" i="5"/>
  <c r="K699" i="5"/>
  <c r="J699" i="5"/>
  <c r="D699" i="5"/>
  <c r="O698" i="5"/>
  <c r="M698" i="5"/>
  <c r="L698" i="5"/>
  <c r="K698" i="5"/>
  <c r="J698" i="5"/>
  <c r="D698" i="5"/>
  <c r="N698" i="5" s="1"/>
  <c r="L697" i="5"/>
  <c r="K697" i="5"/>
  <c r="J697" i="5"/>
  <c r="D697" i="5"/>
  <c r="L696" i="5"/>
  <c r="K696" i="5"/>
  <c r="J696" i="5"/>
  <c r="D696" i="5"/>
  <c r="L695" i="5"/>
  <c r="K695" i="5"/>
  <c r="J695" i="5"/>
  <c r="D695" i="5"/>
  <c r="L694" i="5"/>
  <c r="K694" i="5"/>
  <c r="J694" i="5"/>
  <c r="D694" i="5"/>
  <c r="N693" i="5" s="1"/>
  <c r="O693" i="5"/>
  <c r="M693" i="5"/>
  <c r="L693" i="5"/>
  <c r="K693" i="5"/>
  <c r="J693" i="5"/>
  <c r="D693" i="5"/>
  <c r="L692" i="5"/>
  <c r="K692" i="5"/>
  <c r="J692" i="5"/>
  <c r="D692" i="5"/>
  <c r="L691" i="5"/>
  <c r="K691" i="5"/>
  <c r="J691" i="5"/>
  <c r="D691" i="5"/>
  <c r="L690" i="5"/>
  <c r="K690" i="5"/>
  <c r="J690" i="5"/>
  <c r="D690" i="5"/>
  <c r="L689" i="5"/>
  <c r="K689" i="5"/>
  <c r="J689" i="5"/>
  <c r="D689" i="5"/>
  <c r="O688" i="5"/>
  <c r="N688" i="5"/>
  <c r="M688" i="5"/>
  <c r="L688" i="5"/>
  <c r="K688" i="5"/>
  <c r="J688" i="5"/>
  <c r="D688" i="5"/>
  <c r="L687" i="5"/>
  <c r="K687" i="5"/>
  <c r="J687" i="5"/>
  <c r="D687" i="5"/>
  <c r="L686" i="5"/>
  <c r="K686" i="5"/>
  <c r="J686" i="5"/>
  <c r="D686" i="5"/>
  <c r="L685" i="5"/>
  <c r="K685" i="5"/>
  <c r="J685" i="5"/>
  <c r="D685" i="5"/>
  <c r="L684" i="5"/>
  <c r="K684" i="5"/>
  <c r="J684" i="5"/>
  <c r="D684" i="5"/>
  <c r="O683" i="5"/>
  <c r="N683" i="5"/>
  <c r="M683" i="5"/>
  <c r="L683" i="5"/>
  <c r="K683" i="5"/>
  <c r="J683" i="5"/>
  <c r="D683" i="5"/>
  <c r="L682" i="5"/>
  <c r="K682" i="5"/>
  <c r="J682" i="5"/>
  <c r="D682" i="5"/>
  <c r="L681" i="5"/>
  <c r="K681" i="5"/>
  <c r="J681" i="5"/>
  <c r="D681" i="5"/>
  <c r="L680" i="5"/>
  <c r="K680" i="5"/>
  <c r="J680" i="5"/>
  <c r="D680" i="5"/>
  <c r="L679" i="5"/>
  <c r="K679" i="5"/>
  <c r="J679" i="5"/>
  <c r="D679" i="5"/>
  <c r="O678" i="5"/>
  <c r="M678" i="5"/>
  <c r="L678" i="5"/>
  <c r="K678" i="5"/>
  <c r="J678" i="5"/>
  <c r="D678" i="5"/>
  <c r="N678" i="5" s="1"/>
  <c r="L677" i="5"/>
  <c r="K677" i="5"/>
  <c r="J677" i="5"/>
  <c r="D677" i="5"/>
  <c r="L676" i="5"/>
  <c r="K676" i="5"/>
  <c r="J676" i="5"/>
  <c r="D676" i="5"/>
  <c r="L675" i="5"/>
  <c r="K675" i="5"/>
  <c r="J675" i="5"/>
  <c r="D675" i="5"/>
  <c r="L674" i="5"/>
  <c r="K674" i="5"/>
  <c r="J674" i="5"/>
  <c r="D674" i="5"/>
  <c r="N673" i="5" s="1"/>
  <c r="O673" i="5"/>
  <c r="M673" i="5"/>
  <c r="L673" i="5"/>
  <c r="K673" i="5"/>
  <c r="J673" i="5"/>
  <c r="D673" i="5"/>
  <c r="L672" i="5"/>
  <c r="K672" i="5"/>
  <c r="J672" i="5"/>
  <c r="D672" i="5"/>
  <c r="L671" i="5"/>
  <c r="K671" i="5"/>
  <c r="J671" i="5"/>
  <c r="D671" i="5"/>
  <c r="L670" i="5"/>
  <c r="K670" i="5"/>
  <c r="J670" i="5"/>
  <c r="D670" i="5"/>
  <c r="L669" i="5"/>
  <c r="K669" i="5"/>
  <c r="J669" i="5"/>
  <c r="D669" i="5"/>
  <c r="O668" i="5"/>
  <c r="N668" i="5"/>
  <c r="M668" i="5"/>
  <c r="L668" i="5"/>
  <c r="K668" i="5"/>
  <c r="J668" i="5"/>
  <c r="D668" i="5"/>
  <c r="L667" i="5"/>
  <c r="K667" i="5"/>
  <c r="J667" i="5"/>
  <c r="D667" i="5"/>
  <c r="L666" i="5"/>
  <c r="K666" i="5"/>
  <c r="J666" i="5"/>
  <c r="D666" i="5"/>
  <c r="L665" i="5"/>
  <c r="K665" i="5"/>
  <c r="J665" i="5"/>
  <c r="D665" i="5"/>
  <c r="L664" i="5"/>
  <c r="K664" i="5"/>
  <c r="J664" i="5"/>
  <c r="D664" i="5"/>
  <c r="O663" i="5"/>
  <c r="N663" i="5"/>
  <c r="M663" i="5"/>
  <c r="L663" i="5"/>
  <c r="K663" i="5"/>
  <c r="J663" i="5"/>
  <c r="D663" i="5"/>
  <c r="L662" i="5"/>
  <c r="K662" i="5"/>
  <c r="J662" i="5"/>
  <c r="D662" i="5"/>
  <c r="L661" i="5"/>
  <c r="K661" i="5"/>
  <c r="J661" i="5"/>
  <c r="D661" i="5"/>
  <c r="L660" i="5"/>
  <c r="K660" i="5"/>
  <c r="J660" i="5"/>
  <c r="D660" i="5"/>
  <c r="L659" i="5"/>
  <c r="K659" i="5"/>
  <c r="J659" i="5"/>
  <c r="D659" i="5"/>
  <c r="O658" i="5"/>
  <c r="M658" i="5"/>
  <c r="L658" i="5"/>
  <c r="K658" i="5"/>
  <c r="J658" i="5"/>
  <c r="D658" i="5"/>
  <c r="N658" i="5" s="1"/>
  <c r="L657" i="5"/>
  <c r="K657" i="5"/>
  <c r="J657" i="5"/>
  <c r="D657" i="5"/>
  <c r="L656" i="5"/>
  <c r="K656" i="5"/>
  <c r="J656" i="5"/>
  <c r="D656" i="5"/>
  <c r="L655" i="5"/>
  <c r="K655" i="5"/>
  <c r="J655" i="5"/>
  <c r="D655" i="5"/>
  <c r="L654" i="5"/>
  <c r="K654" i="5"/>
  <c r="J654" i="5"/>
  <c r="D654" i="5"/>
  <c r="N653" i="5" s="1"/>
  <c r="O653" i="5"/>
  <c r="M653" i="5"/>
  <c r="L653" i="5"/>
  <c r="K653" i="5"/>
  <c r="J653" i="5"/>
  <c r="D653" i="5"/>
  <c r="L652" i="5"/>
  <c r="K652" i="5"/>
  <c r="J652" i="5"/>
  <c r="D652" i="5"/>
  <c r="L651" i="5"/>
  <c r="K651" i="5"/>
  <c r="J651" i="5"/>
  <c r="D651" i="5"/>
  <c r="L650" i="5"/>
  <c r="K650" i="5"/>
  <c r="J650" i="5"/>
  <c r="D650" i="5"/>
  <c r="L649" i="5"/>
  <c r="K649" i="5"/>
  <c r="J649" i="5"/>
  <c r="D649" i="5"/>
  <c r="O648" i="5"/>
  <c r="N648" i="5"/>
  <c r="M648" i="5"/>
  <c r="L648" i="5"/>
  <c r="K648" i="5"/>
  <c r="J648" i="5"/>
  <c r="D648" i="5"/>
  <c r="L647" i="5"/>
  <c r="K647" i="5"/>
  <c r="J647" i="5"/>
  <c r="D647" i="5"/>
  <c r="L646" i="5"/>
  <c r="K646" i="5"/>
  <c r="J646" i="5"/>
  <c r="D646" i="5"/>
  <c r="L645" i="5"/>
  <c r="K645" i="5"/>
  <c r="J645" i="5"/>
  <c r="D645" i="5"/>
  <c r="L644" i="5"/>
  <c r="K644" i="5"/>
  <c r="J644" i="5"/>
  <c r="D644" i="5"/>
  <c r="O643" i="5"/>
  <c r="N643" i="5"/>
  <c r="M643" i="5"/>
  <c r="L643" i="5"/>
  <c r="K643" i="5"/>
  <c r="J643" i="5"/>
  <c r="D643" i="5"/>
  <c r="L642" i="5"/>
  <c r="K642" i="5"/>
  <c r="J642" i="5"/>
  <c r="D642" i="5"/>
  <c r="L641" i="5"/>
  <c r="K641" i="5"/>
  <c r="J641" i="5"/>
  <c r="D641" i="5"/>
  <c r="L640" i="5"/>
  <c r="K640" i="5"/>
  <c r="J640" i="5"/>
  <c r="D640" i="5"/>
  <c r="L639" i="5"/>
  <c r="K639" i="5"/>
  <c r="J639" i="5"/>
  <c r="D639" i="5"/>
  <c r="O638" i="5"/>
  <c r="M638" i="5"/>
  <c r="L638" i="5"/>
  <c r="K638" i="5"/>
  <c r="J638" i="5"/>
  <c r="D638" i="5"/>
  <c r="N638" i="5" s="1"/>
  <c r="L637" i="5"/>
  <c r="K637" i="5"/>
  <c r="J637" i="5"/>
  <c r="D637" i="5"/>
  <c r="L636" i="5"/>
  <c r="K636" i="5"/>
  <c r="J636" i="5"/>
  <c r="D636" i="5"/>
  <c r="L635" i="5"/>
  <c r="K635" i="5"/>
  <c r="J635" i="5"/>
  <c r="D635" i="5"/>
  <c r="L634" i="5"/>
  <c r="K634" i="5"/>
  <c r="J634" i="5"/>
  <c r="D634" i="5"/>
  <c r="N633" i="5" s="1"/>
  <c r="O633" i="5"/>
  <c r="M633" i="5"/>
  <c r="L633" i="5"/>
  <c r="K633" i="5"/>
  <c r="J633" i="5"/>
  <c r="D633" i="5"/>
  <c r="L632" i="5"/>
  <c r="K632" i="5"/>
  <c r="J632" i="5"/>
  <c r="D632" i="5"/>
  <c r="L631" i="5"/>
  <c r="K631" i="5"/>
  <c r="J631" i="5"/>
  <c r="D631" i="5"/>
  <c r="L630" i="5"/>
  <c r="K630" i="5"/>
  <c r="J630" i="5"/>
  <c r="D630" i="5"/>
  <c r="L629" i="5"/>
  <c r="K629" i="5"/>
  <c r="J629" i="5"/>
  <c r="D629" i="5"/>
  <c r="O628" i="5"/>
  <c r="N628" i="5"/>
  <c r="M628" i="5"/>
  <c r="L628" i="5"/>
  <c r="K628" i="5"/>
  <c r="J628" i="5"/>
  <c r="D628" i="5"/>
  <c r="L627" i="5"/>
  <c r="K627" i="5"/>
  <c r="J627" i="5"/>
  <c r="D627" i="5"/>
  <c r="L626" i="5"/>
  <c r="K626" i="5"/>
  <c r="J626" i="5"/>
  <c r="D626" i="5"/>
  <c r="L625" i="5"/>
  <c r="K625" i="5"/>
  <c r="J625" i="5"/>
  <c r="D625" i="5"/>
  <c r="L624" i="5"/>
  <c r="K624" i="5"/>
  <c r="J624" i="5"/>
  <c r="D624" i="5"/>
  <c r="O623" i="5"/>
  <c r="N623" i="5"/>
  <c r="M623" i="5"/>
  <c r="L623" i="5"/>
  <c r="K623" i="5"/>
  <c r="J623" i="5"/>
  <c r="D623" i="5"/>
  <c r="L622" i="5"/>
  <c r="K622" i="5"/>
  <c r="J622" i="5"/>
  <c r="D622" i="5"/>
  <c r="L621" i="5"/>
  <c r="K621" i="5"/>
  <c r="J621" i="5"/>
  <c r="D621" i="5"/>
  <c r="L620" i="5"/>
  <c r="K620" i="5"/>
  <c r="J620" i="5"/>
  <c r="D620" i="5"/>
  <c r="L619" i="5"/>
  <c r="K619" i="5"/>
  <c r="J619" i="5"/>
  <c r="D619" i="5"/>
  <c r="O618" i="5"/>
  <c r="M618" i="5"/>
  <c r="L618" i="5"/>
  <c r="K618" i="5"/>
  <c r="J618" i="5"/>
  <c r="D618" i="5"/>
  <c r="N618" i="5" s="1"/>
  <c r="L617" i="5"/>
  <c r="K617" i="5"/>
  <c r="J617" i="5"/>
  <c r="D617" i="5"/>
  <c r="L616" i="5"/>
  <c r="K616" i="5"/>
  <c r="J616" i="5"/>
  <c r="D616" i="5"/>
  <c r="L615" i="5"/>
  <c r="K615" i="5"/>
  <c r="J615" i="5"/>
  <c r="D615" i="5"/>
  <c r="L614" i="5"/>
  <c r="K614" i="5"/>
  <c r="J614" i="5"/>
  <c r="D614" i="5"/>
  <c r="N613" i="5" s="1"/>
  <c r="O613" i="5"/>
  <c r="M613" i="5"/>
  <c r="L613" i="5"/>
  <c r="K613" i="5"/>
  <c r="J613" i="5"/>
  <c r="D613" i="5"/>
  <c r="L612" i="5"/>
  <c r="K612" i="5"/>
  <c r="J612" i="5"/>
  <c r="D612" i="5"/>
  <c r="L611" i="5"/>
  <c r="K611" i="5"/>
  <c r="J611" i="5"/>
  <c r="D611" i="5"/>
  <c r="L610" i="5"/>
  <c r="K610" i="5"/>
  <c r="J610" i="5"/>
  <c r="D610" i="5"/>
  <c r="L609" i="5"/>
  <c r="K609" i="5"/>
  <c r="J609" i="5"/>
  <c r="D609" i="5"/>
  <c r="O608" i="5"/>
  <c r="N608" i="5"/>
  <c r="M608" i="5"/>
  <c r="L608" i="5"/>
  <c r="K608" i="5"/>
  <c r="J608" i="5"/>
  <c r="D608" i="5"/>
  <c r="L607" i="5"/>
  <c r="K607" i="5"/>
  <c r="J607" i="5"/>
  <c r="D607" i="5"/>
  <c r="L606" i="5"/>
  <c r="K606" i="5"/>
  <c r="J606" i="5"/>
  <c r="D606" i="5"/>
  <c r="L605" i="5"/>
  <c r="K605" i="5"/>
  <c r="J605" i="5"/>
  <c r="D605" i="5"/>
  <c r="L604" i="5"/>
  <c r="K604" i="5"/>
  <c r="J604" i="5"/>
  <c r="D604" i="5"/>
  <c r="O603" i="5"/>
  <c r="N603" i="5"/>
  <c r="M603" i="5"/>
  <c r="L603" i="5"/>
  <c r="K603" i="5"/>
  <c r="J603" i="5"/>
  <c r="D603" i="5"/>
  <c r="L602" i="5"/>
  <c r="K602" i="5"/>
  <c r="J602" i="5"/>
  <c r="D602" i="5"/>
  <c r="L601" i="5"/>
  <c r="K601" i="5"/>
  <c r="J601" i="5"/>
  <c r="D601" i="5"/>
  <c r="L600" i="5"/>
  <c r="K600" i="5"/>
  <c r="J600" i="5"/>
  <c r="D600" i="5"/>
  <c r="L599" i="5"/>
  <c r="K599" i="5"/>
  <c r="J599" i="5"/>
  <c r="D599" i="5"/>
  <c r="O598" i="5"/>
  <c r="M598" i="5"/>
  <c r="L598" i="5"/>
  <c r="K598" i="5"/>
  <c r="J598" i="5"/>
  <c r="D598" i="5"/>
  <c r="N598" i="5" s="1"/>
  <c r="L597" i="5"/>
  <c r="K597" i="5"/>
  <c r="J597" i="5"/>
  <c r="D597" i="5"/>
  <c r="L596" i="5"/>
  <c r="K596" i="5"/>
  <c r="J596" i="5"/>
  <c r="D596" i="5"/>
  <c r="L595" i="5"/>
  <c r="K595" i="5"/>
  <c r="J595" i="5"/>
  <c r="D595" i="5"/>
  <c r="L594" i="5"/>
  <c r="K594" i="5"/>
  <c r="J594" i="5"/>
  <c r="D594" i="5"/>
  <c r="N593" i="5" s="1"/>
  <c r="O593" i="5"/>
  <c r="M593" i="5"/>
  <c r="L593" i="5"/>
  <c r="K593" i="5"/>
  <c r="J593" i="5"/>
  <c r="D593" i="5"/>
  <c r="L592" i="5"/>
  <c r="K592" i="5"/>
  <c r="J592" i="5"/>
  <c r="D592" i="5"/>
  <c r="L591" i="5"/>
  <c r="K591" i="5"/>
  <c r="J591" i="5"/>
  <c r="D591" i="5"/>
  <c r="L590" i="5"/>
  <c r="K590" i="5"/>
  <c r="J590" i="5"/>
  <c r="D590" i="5"/>
  <c r="L589" i="5"/>
  <c r="K589" i="5"/>
  <c r="J589" i="5"/>
  <c r="D589" i="5"/>
  <c r="O588" i="5"/>
  <c r="N588" i="5"/>
  <c r="M588" i="5"/>
  <c r="L588" i="5"/>
  <c r="K588" i="5"/>
  <c r="J588" i="5"/>
  <c r="D588" i="5"/>
  <c r="L587" i="5"/>
  <c r="K587" i="5"/>
  <c r="J587" i="5"/>
  <c r="D587" i="5"/>
  <c r="L586" i="5"/>
  <c r="K586" i="5"/>
  <c r="J586" i="5"/>
  <c r="D586" i="5"/>
  <c r="L585" i="5"/>
  <c r="K585" i="5"/>
  <c r="J585" i="5"/>
  <c r="D585" i="5"/>
  <c r="L584" i="5"/>
  <c r="K584" i="5"/>
  <c r="J584" i="5"/>
  <c r="D584" i="5"/>
  <c r="O583" i="5"/>
  <c r="N583" i="5"/>
  <c r="M583" i="5"/>
  <c r="L583" i="5"/>
  <c r="K583" i="5"/>
  <c r="J583" i="5"/>
  <c r="D583" i="5"/>
  <c r="L582" i="5"/>
  <c r="K582" i="5"/>
  <c r="J582" i="5"/>
  <c r="D582" i="5"/>
  <c r="L581" i="5"/>
  <c r="K581" i="5"/>
  <c r="J581" i="5"/>
  <c r="D581" i="5"/>
  <c r="L580" i="5"/>
  <c r="K580" i="5"/>
  <c r="J580" i="5"/>
  <c r="D580" i="5"/>
  <c r="L579" i="5"/>
  <c r="K579" i="5"/>
  <c r="J579" i="5"/>
  <c r="D579" i="5"/>
  <c r="O578" i="5"/>
  <c r="M578" i="5"/>
  <c r="L578" i="5"/>
  <c r="K578" i="5"/>
  <c r="J578" i="5"/>
  <c r="D578" i="5"/>
  <c r="N578" i="5" s="1"/>
  <c r="L577" i="5"/>
  <c r="K577" i="5"/>
  <c r="J577" i="5"/>
  <c r="D577" i="5"/>
  <c r="L576" i="5"/>
  <c r="K576" i="5"/>
  <c r="J576" i="5"/>
  <c r="D576" i="5"/>
  <c r="L575" i="5"/>
  <c r="K575" i="5"/>
  <c r="J575" i="5"/>
  <c r="D575" i="5"/>
  <c r="L574" i="5"/>
  <c r="K574" i="5"/>
  <c r="J574" i="5"/>
  <c r="D574" i="5"/>
  <c r="N573" i="5" s="1"/>
  <c r="O573" i="5"/>
  <c r="M573" i="5"/>
  <c r="L573" i="5"/>
  <c r="K573" i="5"/>
  <c r="J573" i="5"/>
  <c r="D573" i="5"/>
  <c r="L572" i="5"/>
  <c r="K572" i="5"/>
  <c r="J572" i="5"/>
  <c r="D572" i="5"/>
  <c r="L571" i="5"/>
  <c r="K571" i="5"/>
  <c r="J571" i="5"/>
  <c r="D571" i="5"/>
  <c r="L570" i="5"/>
  <c r="K570" i="5"/>
  <c r="J570" i="5"/>
  <c r="D570" i="5"/>
  <c r="L569" i="5"/>
  <c r="K569" i="5"/>
  <c r="J569" i="5"/>
  <c r="D569" i="5"/>
  <c r="O568" i="5"/>
  <c r="N568" i="5"/>
  <c r="M568" i="5"/>
  <c r="L568" i="5"/>
  <c r="K568" i="5"/>
  <c r="J568" i="5"/>
  <c r="D568" i="5"/>
  <c r="L567" i="5"/>
  <c r="K567" i="5"/>
  <c r="J567" i="5"/>
  <c r="D567" i="5"/>
  <c r="L566" i="5"/>
  <c r="K566" i="5"/>
  <c r="J566" i="5"/>
  <c r="D566" i="5"/>
  <c r="L565" i="5"/>
  <c r="K565" i="5"/>
  <c r="J565" i="5"/>
  <c r="D565" i="5"/>
  <c r="L564" i="5"/>
  <c r="K564" i="5"/>
  <c r="J564" i="5"/>
  <c r="D564" i="5"/>
  <c r="O563" i="5"/>
  <c r="N563" i="5"/>
  <c r="M563" i="5"/>
  <c r="L563" i="5"/>
  <c r="K563" i="5"/>
  <c r="J563" i="5"/>
  <c r="D563" i="5"/>
  <c r="L562" i="5"/>
  <c r="K562" i="5"/>
  <c r="J562" i="5"/>
  <c r="D562" i="5"/>
  <c r="L561" i="5"/>
  <c r="K561" i="5"/>
  <c r="J561" i="5"/>
  <c r="D561" i="5"/>
  <c r="L560" i="5"/>
  <c r="K560" i="5"/>
  <c r="J560" i="5"/>
  <c r="D560" i="5"/>
  <c r="L559" i="5"/>
  <c r="K559" i="5"/>
  <c r="J559" i="5"/>
  <c r="D559" i="5"/>
  <c r="O558" i="5"/>
  <c r="M558" i="5"/>
  <c r="L558" i="5"/>
  <c r="K558" i="5"/>
  <c r="J558" i="5"/>
  <c r="D558" i="5"/>
  <c r="N558" i="5" s="1"/>
  <c r="L557" i="5"/>
  <c r="K557" i="5"/>
  <c r="J557" i="5"/>
  <c r="D557" i="5"/>
  <c r="L556" i="5"/>
  <c r="K556" i="5"/>
  <c r="J556" i="5"/>
  <c r="D556" i="5"/>
  <c r="L555" i="5"/>
  <c r="K555" i="5"/>
  <c r="J555" i="5"/>
  <c r="D555" i="5"/>
  <c r="L554" i="5"/>
  <c r="K554" i="5"/>
  <c r="J554" i="5"/>
  <c r="D554" i="5"/>
  <c r="N553" i="5" s="1"/>
  <c r="O553" i="5"/>
  <c r="M553" i="5"/>
  <c r="L553" i="5"/>
  <c r="K553" i="5"/>
  <c r="J553" i="5"/>
  <c r="D553" i="5"/>
  <c r="L552" i="5"/>
  <c r="K552" i="5"/>
  <c r="J552" i="5"/>
  <c r="D552" i="5"/>
  <c r="L551" i="5"/>
  <c r="K551" i="5"/>
  <c r="J551" i="5"/>
  <c r="D551" i="5"/>
  <c r="L550" i="5"/>
  <c r="K550" i="5"/>
  <c r="J550" i="5"/>
  <c r="D550" i="5"/>
  <c r="L549" i="5"/>
  <c r="K549" i="5"/>
  <c r="J549" i="5"/>
  <c r="D549" i="5"/>
  <c r="O548" i="5"/>
  <c r="N548" i="5"/>
  <c r="M548" i="5"/>
  <c r="L548" i="5"/>
  <c r="K548" i="5"/>
  <c r="J548" i="5"/>
  <c r="D548" i="5"/>
  <c r="L547" i="5"/>
  <c r="K547" i="5"/>
  <c r="J547" i="5"/>
  <c r="D547" i="5"/>
  <c r="L546" i="5"/>
  <c r="K546" i="5"/>
  <c r="J546" i="5"/>
  <c r="D546" i="5"/>
  <c r="L545" i="5"/>
  <c r="K545" i="5"/>
  <c r="J545" i="5"/>
  <c r="D545" i="5"/>
  <c r="L544" i="5"/>
  <c r="K544" i="5"/>
  <c r="J544" i="5"/>
  <c r="D544" i="5"/>
  <c r="O543" i="5"/>
  <c r="N543" i="5"/>
  <c r="M543" i="5"/>
  <c r="L543" i="5"/>
  <c r="K543" i="5"/>
  <c r="J543" i="5"/>
  <c r="D543" i="5"/>
  <c r="L542" i="5"/>
  <c r="K542" i="5"/>
  <c r="J542" i="5"/>
  <c r="D542" i="5"/>
  <c r="L541" i="5"/>
  <c r="K541" i="5"/>
  <c r="J541" i="5"/>
  <c r="D541" i="5"/>
  <c r="L540" i="5"/>
  <c r="K540" i="5"/>
  <c r="J540" i="5"/>
  <c r="D540" i="5"/>
  <c r="L539" i="5"/>
  <c r="K539" i="5"/>
  <c r="J539" i="5"/>
  <c r="D539" i="5"/>
  <c r="O538" i="5"/>
  <c r="M538" i="5"/>
  <c r="L538" i="5"/>
  <c r="K538" i="5"/>
  <c r="J538" i="5"/>
  <c r="D538" i="5"/>
  <c r="N538" i="5" s="1"/>
  <c r="L537" i="5"/>
  <c r="K537" i="5"/>
  <c r="J537" i="5"/>
  <c r="D537" i="5"/>
  <c r="L536" i="5"/>
  <c r="K536" i="5"/>
  <c r="J536" i="5"/>
  <c r="D536" i="5"/>
  <c r="L535" i="5"/>
  <c r="K535" i="5"/>
  <c r="J535" i="5"/>
  <c r="D535" i="5"/>
  <c r="L534" i="5"/>
  <c r="K534" i="5"/>
  <c r="J534" i="5"/>
  <c r="D534" i="5"/>
  <c r="N533" i="5" s="1"/>
  <c r="O533" i="5"/>
  <c r="M533" i="5"/>
  <c r="L533" i="5"/>
  <c r="K533" i="5"/>
  <c r="J533" i="5"/>
  <c r="D533" i="5"/>
  <c r="L532" i="5"/>
  <c r="K532" i="5"/>
  <c r="J532" i="5"/>
  <c r="D532" i="5"/>
  <c r="L531" i="5"/>
  <c r="K531" i="5"/>
  <c r="J531" i="5"/>
  <c r="D531" i="5"/>
  <c r="L530" i="5"/>
  <c r="K530" i="5"/>
  <c r="J530" i="5"/>
  <c r="D530" i="5"/>
  <c r="L529" i="5"/>
  <c r="K529" i="5"/>
  <c r="J529" i="5"/>
  <c r="D529" i="5"/>
  <c r="O528" i="5"/>
  <c r="N528" i="5"/>
  <c r="M528" i="5"/>
  <c r="L528" i="5"/>
  <c r="K528" i="5"/>
  <c r="J528" i="5"/>
  <c r="D528" i="5"/>
  <c r="L527" i="5"/>
  <c r="K527" i="5"/>
  <c r="J527" i="5"/>
  <c r="D527" i="5"/>
  <c r="L526" i="5"/>
  <c r="K526" i="5"/>
  <c r="J526" i="5"/>
  <c r="D526" i="5"/>
  <c r="L525" i="5"/>
  <c r="K525" i="5"/>
  <c r="J525" i="5"/>
  <c r="D525" i="5"/>
  <c r="L524" i="5"/>
  <c r="K524" i="5"/>
  <c r="J524" i="5"/>
  <c r="D524" i="5"/>
  <c r="O523" i="5"/>
  <c r="N523" i="5"/>
  <c r="M523" i="5"/>
  <c r="L523" i="5"/>
  <c r="K523" i="5"/>
  <c r="J523" i="5"/>
  <c r="D523" i="5"/>
  <c r="L522" i="5"/>
  <c r="K522" i="5"/>
  <c r="J522" i="5"/>
  <c r="D522" i="5"/>
  <c r="L521" i="5"/>
  <c r="K521" i="5"/>
  <c r="J521" i="5"/>
  <c r="D521" i="5"/>
  <c r="L520" i="5"/>
  <c r="K520" i="5"/>
  <c r="J520" i="5"/>
  <c r="D520" i="5"/>
  <c r="L519" i="5"/>
  <c r="K519" i="5"/>
  <c r="J519" i="5"/>
  <c r="D519" i="5"/>
  <c r="O518" i="5"/>
  <c r="M518" i="5"/>
  <c r="L518" i="5"/>
  <c r="K518" i="5"/>
  <c r="J518" i="5"/>
  <c r="D518" i="5"/>
  <c r="N518" i="5" s="1"/>
  <c r="L517" i="5"/>
  <c r="K517" i="5"/>
  <c r="J517" i="5"/>
  <c r="D517" i="5"/>
  <c r="L516" i="5"/>
  <c r="K516" i="5"/>
  <c r="J516" i="5"/>
  <c r="D516" i="5"/>
  <c r="L515" i="5"/>
  <c r="K515" i="5"/>
  <c r="J515" i="5"/>
  <c r="D515" i="5"/>
  <c r="L514" i="5"/>
  <c r="K514" i="5"/>
  <c r="J514" i="5"/>
  <c r="D514" i="5"/>
  <c r="N513" i="5" s="1"/>
  <c r="O513" i="5"/>
  <c r="M513" i="5"/>
  <c r="L513" i="5"/>
  <c r="K513" i="5"/>
  <c r="J513" i="5"/>
  <c r="D513" i="5"/>
  <c r="L512" i="5"/>
  <c r="K512" i="5"/>
  <c r="J512" i="5"/>
  <c r="D512" i="5"/>
  <c r="L511" i="5"/>
  <c r="K511" i="5"/>
  <c r="J511" i="5"/>
  <c r="D511" i="5"/>
  <c r="L510" i="5"/>
  <c r="K510" i="5"/>
  <c r="J510" i="5"/>
  <c r="D510" i="5"/>
  <c r="L509" i="5"/>
  <c r="K509" i="5"/>
  <c r="J509" i="5"/>
  <c r="D509" i="5"/>
  <c r="O508" i="5"/>
  <c r="N508" i="5"/>
  <c r="M508" i="5"/>
  <c r="L508" i="5"/>
  <c r="K508" i="5"/>
  <c r="J508" i="5"/>
  <c r="D508" i="5"/>
  <c r="L507" i="5"/>
  <c r="K507" i="5"/>
  <c r="J507" i="5"/>
  <c r="D507" i="5"/>
  <c r="L506" i="5"/>
  <c r="K506" i="5"/>
  <c r="J506" i="5"/>
  <c r="D506" i="5"/>
  <c r="L505" i="5"/>
  <c r="K505" i="5"/>
  <c r="J505" i="5"/>
  <c r="D505" i="5"/>
  <c r="L504" i="5"/>
  <c r="K504" i="5"/>
  <c r="J504" i="5"/>
  <c r="D504" i="5"/>
  <c r="O503" i="5"/>
  <c r="N503" i="5"/>
  <c r="M503" i="5"/>
  <c r="L503" i="5"/>
  <c r="K503" i="5"/>
  <c r="J503" i="5"/>
  <c r="D503" i="5"/>
  <c r="L502" i="5"/>
  <c r="K502" i="5"/>
  <c r="J502" i="5"/>
  <c r="D502" i="5"/>
  <c r="L501" i="5"/>
  <c r="K501" i="5"/>
  <c r="J501" i="5"/>
  <c r="D501" i="5"/>
  <c r="L500" i="5"/>
  <c r="K500" i="5"/>
  <c r="J500" i="5"/>
  <c r="D500" i="5"/>
  <c r="L499" i="5"/>
  <c r="K499" i="5"/>
  <c r="J499" i="5"/>
  <c r="D499" i="5"/>
  <c r="O498" i="5"/>
  <c r="M498" i="5"/>
  <c r="L498" i="5"/>
  <c r="K498" i="5"/>
  <c r="J498" i="5"/>
  <c r="D498" i="5"/>
  <c r="N498" i="5" s="1"/>
  <c r="L497" i="5"/>
  <c r="K497" i="5"/>
  <c r="J497" i="5"/>
  <c r="D497" i="5"/>
  <c r="L496" i="5"/>
  <c r="K496" i="5"/>
  <c r="J496" i="5"/>
  <c r="D496" i="5"/>
  <c r="L495" i="5"/>
  <c r="K495" i="5"/>
  <c r="J495" i="5"/>
  <c r="D495" i="5"/>
  <c r="L494" i="5"/>
  <c r="K494" i="5"/>
  <c r="J494" i="5"/>
  <c r="D494" i="5"/>
  <c r="N493" i="5" s="1"/>
  <c r="O493" i="5"/>
  <c r="M493" i="5"/>
  <c r="L493" i="5"/>
  <c r="K493" i="5"/>
  <c r="J493" i="5"/>
  <c r="D493" i="5"/>
  <c r="L492" i="5"/>
  <c r="K492" i="5"/>
  <c r="J492" i="5"/>
  <c r="D492" i="5"/>
  <c r="L491" i="5"/>
  <c r="K491" i="5"/>
  <c r="J491" i="5"/>
  <c r="D491" i="5"/>
  <c r="L490" i="5"/>
  <c r="K490" i="5"/>
  <c r="J490" i="5"/>
  <c r="D490" i="5"/>
  <c r="L489" i="5"/>
  <c r="K489" i="5"/>
  <c r="J489" i="5"/>
  <c r="D489" i="5"/>
  <c r="O488" i="5"/>
  <c r="N488" i="5"/>
  <c r="M488" i="5"/>
  <c r="L488" i="5"/>
  <c r="K488" i="5"/>
  <c r="J488" i="5"/>
  <c r="D488" i="5"/>
  <c r="L487" i="5"/>
  <c r="K487" i="5"/>
  <c r="J487" i="5"/>
  <c r="D487" i="5"/>
  <c r="L486" i="5"/>
  <c r="K486" i="5"/>
  <c r="J486" i="5"/>
  <c r="D486" i="5"/>
  <c r="L485" i="5"/>
  <c r="K485" i="5"/>
  <c r="J485" i="5"/>
  <c r="D485" i="5"/>
  <c r="L484" i="5"/>
  <c r="K484" i="5"/>
  <c r="J484" i="5"/>
  <c r="D484" i="5"/>
  <c r="O483" i="5"/>
  <c r="N483" i="5"/>
  <c r="M483" i="5"/>
  <c r="L483" i="5"/>
  <c r="K483" i="5"/>
  <c r="J483" i="5"/>
  <c r="D483" i="5"/>
  <c r="L482" i="5"/>
  <c r="K482" i="5"/>
  <c r="J482" i="5"/>
  <c r="D482" i="5"/>
  <c r="L481" i="5"/>
  <c r="K481" i="5"/>
  <c r="J481" i="5"/>
  <c r="D481" i="5"/>
  <c r="L480" i="5"/>
  <c r="K480" i="5"/>
  <c r="J480" i="5"/>
  <c r="D480" i="5"/>
  <c r="L479" i="5"/>
  <c r="K479" i="5"/>
  <c r="J479" i="5"/>
  <c r="D479" i="5"/>
  <c r="O478" i="5"/>
  <c r="M478" i="5"/>
  <c r="L478" i="5"/>
  <c r="K478" i="5"/>
  <c r="J478" i="5"/>
  <c r="D478" i="5"/>
  <c r="N478" i="5" s="1"/>
  <c r="L477" i="5"/>
  <c r="K477" i="5"/>
  <c r="J477" i="5"/>
  <c r="D477" i="5"/>
  <c r="L476" i="5"/>
  <c r="K476" i="5"/>
  <c r="J476" i="5"/>
  <c r="D476" i="5"/>
  <c r="L475" i="5"/>
  <c r="K475" i="5"/>
  <c r="J475" i="5"/>
  <c r="D475" i="5"/>
  <c r="L474" i="5"/>
  <c r="K474" i="5"/>
  <c r="J474" i="5"/>
  <c r="D474" i="5"/>
  <c r="N473" i="5" s="1"/>
  <c r="O473" i="5"/>
  <c r="M473" i="5"/>
  <c r="L473" i="5"/>
  <c r="K473" i="5"/>
  <c r="J473" i="5"/>
  <c r="D473" i="5"/>
  <c r="L472" i="5"/>
  <c r="K472" i="5"/>
  <c r="J472" i="5"/>
  <c r="D472" i="5"/>
  <c r="L471" i="5"/>
  <c r="K471" i="5"/>
  <c r="J471" i="5"/>
  <c r="D471" i="5"/>
  <c r="L470" i="5"/>
  <c r="K470" i="5"/>
  <c r="J470" i="5"/>
  <c r="D470" i="5"/>
  <c r="L469" i="5"/>
  <c r="K469" i="5"/>
  <c r="J469" i="5"/>
  <c r="D469" i="5"/>
  <c r="O468" i="5"/>
  <c r="N468" i="5"/>
  <c r="M468" i="5"/>
  <c r="L468" i="5"/>
  <c r="K468" i="5"/>
  <c r="J468" i="5"/>
  <c r="D468" i="5"/>
  <c r="L467" i="5"/>
  <c r="K467" i="5"/>
  <c r="J467" i="5"/>
  <c r="D467" i="5"/>
  <c r="L466" i="5"/>
  <c r="K466" i="5"/>
  <c r="J466" i="5"/>
  <c r="D466" i="5"/>
  <c r="L465" i="5"/>
  <c r="K465" i="5"/>
  <c r="J465" i="5"/>
  <c r="D465" i="5"/>
  <c r="L464" i="5"/>
  <c r="K464" i="5"/>
  <c r="J464" i="5"/>
  <c r="D464" i="5"/>
  <c r="O463" i="5"/>
  <c r="N463" i="5"/>
  <c r="M463" i="5"/>
  <c r="L463" i="5"/>
  <c r="K463" i="5"/>
  <c r="J463" i="5"/>
  <c r="D463" i="5"/>
  <c r="L462" i="5"/>
  <c r="K462" i="5"/>
  <c r="J462" i="5"/>
  <c r="D462" i="5"/>
  <c r="L461" i="5"/>
  <c r="K461" i="5"/>
  <c r="J461" i="5"/>
  <c r="D461" i="5"/>
  <c r="L460" i="5"/>
  <c r="K460" i="5"/>
  <c r="J460" i="5"/>
  <c r="D460" i="5"/>
  <c r="L459" i="5"/>
  <c r="K459" i="5"/>
  <c r="J459" i="5"/>
  <c r="D459" i="5"/>
  <c r="O458" i="5"/>
  <c r="M458" i="5"/>
  <c r="L458" i="5"/>
  <c r="K458" i="5"/>
  <c r="J458" i="5"/>
  <c r="D458" i="5"/>
  <c r="N458" i="5" s="1"/>
  <c r="L457" i="5"/>
  <c r="K457" i="5"/>
  <c r="J457" i="5"/>
  <c r="D457" i="5"/>
  <c r="L456" i="5"/>
  <c r="K456" i="5"/>
  <c r="J456" i="5"/>
  <c r="D456" i="5"/>
  <c r="L455" i="5"/>
  <c r="K455" i="5"/>
  <c r="J455" i="5"/>
  <c r="D455" i="5"/>
  <c r="L454" i="5"/>
  <c r="K454" i="5"/>
  <c r="J454" i="5"/>
  <c r="D454" i="5"/>
  <c r="N453" i="5" s="1"/>
  <c r="O453" i="5"/>
  <c r="M453" i="5"/>
  <c r="L453" i="5"/>
  <c r="K453" i="5"/>
  <c r="J453" i="5"/>
  <c r="D453" i="5"/>
  <c r="L452" i="5"/>
  <c r="K452" i="5"/>
  <c r="J452" i="5"/>
  <c r="D452" i="5"/>
  <c r="L451" i="5"/>
  <c r="K451" i="5"/>
  <c r="J451" i="5"/>
  <c r="D451" i="5"/>
  <c r="L450" i="5"/>
  <c r="K450" i="5"/>
  <c r="J450" i="5"/>
  <c r="D450" i="5"/>
  <c r="L449" i="5"/>
  <c r="K449" i="5"/>
  <c r="J449" i="5"/>
  <c r="D449" i="5"/>
  <c r="O448" i="5"/>
  <c r="N448" i="5"/>
  <c r="M448" i="5"/>
  <c r="L448" i="5"/>
  <c r="K448" i="5"/>
  <c r="J448" i="5"/>
  <c r="D448" i="5"/>
  <c r="L447" i="5"/>
  <c r="K447" i="5"/>
  <c r="J447" i="5"/>
  <c r="D447" i="5"/>
  <c r="L446" i="5"/>
  <c r="K446" i="5"/>
  <c r="J446" i="5"/>
  <c r="D446" i="5"/>
  <c r="L445" i="5"/>
  <c r="K445" i="5"/>
  <c r="J445" i="5"/>
  <c r="D445" i="5"/>
  <c r="L444" i="5"/>
  <c r="K444" i="5"/>
  <c r="J444" i="5"/>
  <c r="D444" i="5"/>
  <c r="O443" i="5"/>
  <c r="N443" i="5"/>
  <c r="M443" i="5"/>
  <c r="L443" i="5"/>
  <c r="K443" i="5"/>
  <c r="J443" i="5"/>
  <c r="D443" i="5"/>
  <c r="L442" i="5"/>
  <c r="K442" i="5"/>
  <c r="J442" i="5"/>
  <c r="D442" i="5"/>
  <c r="L441" i="5"/>
  <c r="K441" i="5"/>
  <c r="J441" i="5"/>
  <c r="D441" i="5"/>
  <c r="L440" i="5"/>
  <c r="K440" i="5"/>
  <c r="J440" i="5"/>
  <c r="D440" i="5"/>
  <c r="L439" i="5"/>
  <c r="K439" i="5"/>
  <c r="J439" i="5"/>
  <c r="D439" i="5"/>
  <c r="O438" i="5"/>
  <c r="M438" i="5"/>
  <c r="L438" i="5"/>
  <c r="K438" i="5"/>
  <c r="J438" i="5"/>
  <c r="D438" i="5"/>
  <c r="N438" i="5" s="1"/>
  <c r="L437" i="5"/>
  <c r="K437" i="5"/>
  <c r="J437" i="5"/>
  <c r="D437" i="5"/>
  <c r="L436" i="5"/>
  <c r="K436" i="5"/>
  <c r="J436" i="5"/>
  <c r="D436" i="5"/>
  <c r="L435" i="5"/>
  <c r="K435" i="5"/>
  <c r="J435" i="5"/>
  <c r="D435" i="5"/>
  <c r="L434" i="5"/>
  <c r="K434" i="5"/>
  <c r="J434" i="5"/>
  <c r="D434" i="5"/>
  <c r="N433" i="5" s="1"/>
  <c r="O433" i="5"/>
  <c r="M433" i="5"/>
  <c r="L433" i="5"/>
  <c r="K433" i="5"/>
  <c r="J433" i="5"/>
  <c r="D433" i="5"/>
  <c r="L432" i="5"/>
  <c r="K432" i="5"/>
  <c r="J432" i="5"/>
  <c r="D432" i="5"/>
  <c r="L431" i="5"/>
  <c r="K431" i="5"/>
  <c r="J431" i="5"/>
  <c r="D431" i="5"/>
  <c r="L430" i="5"/>
  <c r="K430" i="5"/>
  <c r="J430" i="5"/>
  <c r="D430" i="5"/>
  <c r="L429" i="5"/>
  <c r="K429" i="5"/>
  <c r="J429" i="5"/>
  <c r="D429" i="5"/>
  <c r="O428" i="5"/>
  <c r="N428" i="5"/>
  <c r="M428" i="5"/>
  <c r="L428" i="5"/>
  <c r="K428" i="5"/>
  <c r="J428" i="5"/>
  <c r="D428" i="5"/>
  <c r="L427" i="5"/>
  <c r="K427" i="5"/>
  <c r="J427" i="5"/>
  <c r="D427" i="5"/>
  <c r="L426" i="5"/>
  <c r="K426" i="5"/>
  <c r="J426" i="5"/>
  <c r="D426" i="5"/>
  <c r="L425" i="5"/>
  <c r="K425" i="5"/>
  <c r="J425" i="5"/>
  <c r="D425" i="5"/>
  <c r="L424" i="5"/>
  <c r="K424" i="5"/>
  <c r="J424" i="5"/>
  <c r="D424" i="5"/>
  <c r="O423" i="5"/>
  <c r="N423" i="5"/>
  <c r="M423" i="5"/>
  <c r="L423" i="5"/>
  <c r="K423" i="5"/>
  <c r="J423" i="5"/>
  <c r="D423" i="5"/>
  <c r="L422" i="5"/>
  <c r="K422" i="5"/>
  <c r="J422" i="5"/>
  <c r="D422" i="5"/>
  <c r="L421" i="5"/>
  <c r="K421" i="5"/>
  <c r="J421" i="5"/>
  <c r="D421" i="5"/>
  <c r="L420" i="5"/>
  <c r="K420" i="5"/>
  <c r="J420" i="5"/>
  <c r="D420" i="5"/>
  <c r="L419" i="5"/>
  <c r="K419" i="5"/>
  <c r="J419" i="5"/>
  <c r="D419" i="5"/>
  <c r="O418" i="5"/>
  <c r="M418" i="5"/>
  <c r="L418" i="5"/>
  <c r="K418" i="5"/>
  <c r="J418" i="5"/>
  <c r="D418" i="5"/>
  <c r="N418" i="5" s="1"/>
  <c r="L417" i="5"/>
  <c r="K417" i="5"/>
  <c r="J417" i="5"/>
  <c r="D417" i="5"/>
  <c r="L416" i="5"/>
  <c r="K416" i="5"/>
  <c r="J416" i="5"/>
  <c r="D416" i="5"/>
  <c r="L415" i="5"/>
  <c r="K415" i="5"/>
  <c r="J415" i="5"/>
  <c r="D415" i="5"/>
  <c r="L414" i="5"/>
  <c r="K414" i="5"/>
  <c r="J414" i="5"/>
  <c r="D414" i="5"/>
  <c r="N413" i="5" s="1"/>
  <c r="O413" i="5"/>
  <c r="M413" i="5"/>
  <c r="L413" i="5"/>
  <c r="K413" i="5"/>
  <c r="J413" i="5"/>
  <c r="D413" i="5"/>
  <c r="L412" i="5"/>
  <c r="K412" i="5"/>
  <c r="J412" i="5"/>
  <c r="D412" i="5"/>
  <c r="L411" i="5"/>
  <c r="K411" i="5"/>
  <c r="J411" i="5"/>
  <c r="D411" i="5"/>
  <c r="L410" i="5"/>
  <c r="K410" i="5"/>
  <c r="J410" i="5"/>
  <c r="D410" i="5"/>
  <c r="L409" i="5"/>
  <c r="K409" i="5"/>
  <c r="J409" i="5"/>
  <c r="D409" i="5"/>
  <c r="O408" i="5"/>
  <c r="N408" i="5"/>
  <c r="M408" i="5"/>
  <c r="L408" i="5"/>
  <c r="K408" i="5"/>
  <c r="J408" i="5"/>
  <c r="D408" i="5"/>
  <c r="L407" i="5"/>
  <c r="K407" i="5"/>
  <c r="J407" i="5"/>
  <c r="D407" i="5"/>
  <c r="L406" i="5"/>
  <c r="K406" i="5"/>
  <c r="J406" i="5"/>
  <c r="D406" i="5"/>
  <c r="L405" i="5"/>
  <c r="K405" i="5"/>
  <c r="J405" i="5"/>
  <c r="D405" i="5"/>
  <c r="L404" i="5"/>
  <c r="K404" i="5"/>
  <c r="J404" i="5"/>
  <c r="D404" i="5"/>
  <c r="O403" i="5"/>
  <c r="M403" i="5"/>
  <c r="L403" i="5"/>
  <c r="K403" i="5"/>
  <c r="J403" i="5"/>
  <c r="D403" i="5"/>
  <c r="N403" i="5" s="1"/>
  <c r="L402" i="5"/>
  <c r="K402" i="5"/>
  <c r="J402" i="5"/>
  <c r="D402" i="5"/>
  <c r="L401" i="5"/>
  <c r="K401" i="5"/>
  <c r="J401" i="5"/>
  <c r="D401" i="5"/>
  <c r="L400" i="5"/>
  <c r="K400" i="5"/>
  <c r="J400" i="5"/>
  <c r="D400" i="5"/>
  <c r="L399" i="5"/>
  <c r="K399" i="5"/>
  <c r="J399" i="5"/>
  <c r="D399" i="5"/>
  <c r="O398" i="5"/>
  <c r="M398" i="5"/>
  <c r="L398" i="5"/>
  <c r="K398" i="5"/>
  <c r="J398" i="5"/>
  <c r="D398" i="5"/>
  <c r="N398" i="5" s="1"/>
  <c r="L397" i="5"/>
  <c r="K397" i="5"/>
  <c r="J397" i="5"/>
  <c r="D397" i="5"/>
  <c r="L396" i="5"/>
  <c r="K396" i="5"/>
  <c r="J396" i="5"/>
  <c r="D396" i="5"/>
  <c r="L395" i="5"/>
  <c r="K395" i="5"/>
  <c r="J395" i="5"/>
  <c r="D395" i="5"/>
  <c r="L394" i="5"/>
  <c r="K394" i="5"/>
  <c r="J394" i="5"/>
  <c r="D394" i="5"/>
  <c r="N393" i="5" s="1"/>
  <c r="O393" i="5"/>
  <c r="M393" i="5"/>
  <c r="L393" i="5"/>
  <c r="K393" i="5"/>
  <c r="J393" i="5"/>
  <c r="D393" i="5"/>
  <c r="L392" i="5"/>
  <c r="K392" i="5"/>
  <c r="J392" i="5"/>
  <c r="D392" i="5"/>
  <c r="L391" i="5"/>
  <c r="K391" i="5"/>
  <c r="J391" i="5"/>
  <c r="D391" i="5"/>
  <c r="L390" i="5"/>
  <c r="K390" i="5"/>
  <c r="J390" i="5"/>
  <c r="D390" i="5"/>
  <c r="L389" i="5"/>
  <c r="K389" i="5"/>
  <c r="J389" i="5"/>
  <c r="D389" i="5"/>
  <c r="O388" i="5"/>
  <c r="N388" i="5"/>
  <c r="M388" i="5"/>
  <c r="L388" i="5"/>
  <c r="K388" i="5"/>
  <c r="J388" i="5"/>
  <c r="D388" i="5"/>
  <c r="L387" i="5"/>
  <c r="K387" i="5"/>
  <c r="J387" i="5"/>
  <c r="D387" i="5"/>
  <c r="L386" i="5"/>
  <c r="K386" i="5"/>
  <c r="J386" i="5"/>
  <c r="D386" i="5"/>
  <c r="L385" i="5"/>
  <c r="K385" i="5"/>
  <c r="J385" i="5"/>
  <c r="D385" i="5"/>
  <c r="L384" i="5"/>
  <c r="K384" i="5"/>
  <c r="J384" i="5"/>
  <c r="D384" i="5"/>
  <c r="O383" i="5"/>
  <c r="M383" i="5"/>
  <c r="L383" i="5"/>
  <c r="K383" i="5"/>
  <c r="J383" i="5"/>
  <c r="D383" i="5"/>
  <c r="N383" i="5" s="1"/>
  <c r="L382" i="5"/>
  <c r="K382" i="5"/>
  <c r="J382" i="5"/>
  <c r="D382" i="5"/>
  <c r="L381" i="5"/>
  <c r="K381" i="5"/>
  <c r="J381" i="5"/>
  <c r="D381" i="5"/>
  <c r="L380" i="5"/>
  <c r="K380" i="5"/>
  <c r="J380" i="5"/>
  <c r="D380" i="5"/>
  <c r="L379" i="5"/>
  <c r="K379" i="5"/>
  <c r="J379" i="5"/>
  <c r="D379" i="5"/>
  <c r="O378" i="5"/>
  <c r="M378" i="5"/>
  <c r="L378" i="5"/>
  <c r="K378" i="5"/>
  <c r="J378" i="5"/>
  <c r="D378" i="5"/>
  <c r="N378" i="5" s="1"/>
  <c r="L377" i="5"/>
  <c r="K377" i="5"/>
  <c r="J377" i="5"/>
  <c r="D377" i="5"/>
  <c r="L376" i="5"/>
  <c r="K376" i="5"/>
  <c r="J376" i="5"/>
  <c r="D376" i="5"/>
  <c r="L375" i="5"/>
  <c r="K375" i="5"/>
  <c r="J375" i="5"/>
  <c r="D375" i="5"/>
  <c r="L374" i="5"/>
  <c r="K374" i="5"/>
  <c r="J374" i="5"/>
  <c r="D374" i="5"/>
  <c r="N373" i="5" s="1"/>
  <c r="O373" i="5"/>
  <c r="M373" i="5"/>
  <c r="L373" i="5"/>
  <c r="K373" i="5"/>
  <c r="J373" i="5"/>
  <c r="D373" i="5"/>
  <c r="L372" i="5"/>
  <c r="K372" i="5"/>
  <c r="J372" i="5"/>
  <c r="D372" i="5"/>
  <c r="L371" i="5"/>
  <c r="K371" i="5"/>
  <c r="J371" i="5"/>
  <c r="D371" i="5"/>
  <c r="L370" i="5"/>
  <c r="K370" i="5"/>
  <c r="J370" i="5"/>
  <c r="D370" i="5"/>
  <c r="L369" i="5"/>
  <c r="K369" i="5"/>
  <c r="J369" i="5"/>
  <c r="D369" i="5"/>
  <c r="O368" i="5"/>
  <c r="N368" i="5"/>
  <c r="M368" i="5"/>
  <c r="L368" i="5"/>
  <c r="K368" i="5"/>
  <c r="J368" i="5"/>
  <c r="D368" i="5"/>
  <c r="L367" i="5"/>
  <c r="K367" i="5"/>
  <c r="J367" i="5"/>
  <c r="D367" i="5"/>
  <c r="L366" i="5"/>
  <c r="K366" i="5"/>
  <c r="J366" i="5"/>
  <c r="D366" i="5"/>
  <c r="L365" i="5"/>
  <c r="K365" i="5"/>
  <c r="J365" i="5"/>
  <c r="D365" i="5"/>
  <c r="L364" i="5"/>
  <c r="K364" i="5"/>
  <c r="J364" i="5"/>
  <c r="D364" i="5"/>
  <c r="O363" i="5"/>
  <c r="M363" i="5"/>
  <c r="L363" i="5"/>
  <c r="K363" i="5"/>
  <c r="J363" i="5"/>
  <c r="D363" i="5"/>
  <c r="N363" i="5" s="1"/>
  <c r="L362" i="5"/>
  <c r="K362" i="5"/>
  <c r="J362" i="5"/>
  <c r="D362" i="5"/>
  <c r="L361" i="5"/>
  <c r="K361" i="5"/>
  <c r="J361" i="5"/>
  <c r="D361" i="5"/>
  <c r="L360" i="5"/>
  <c r="K360" i="5"/>
  <c r="J360" i="5"/>
  <c r="D360" i="5"/>
  <c r="L359" i="5"/>
  <c r="K359" i="5"/>
  <c r="J359" i="5"/>
  <c r="D359" i="5"/>
  <c r="O358" i="5"/>
  <c r="M358" i="5"/>
  <c r="L358" i="5"/>
  <c r="K358" i="5"/>
  <c r="J358" i="5"/>
  <c r="D358" i="5"/>
  <c r="N358" i="5" s="1"/>
  <c r="L357" i="5"/>
  <c r="K357" i="5"/>
  <c r="J357" i="5"/>
  <c r="D357" i="5"/>
  <c r="L356" i="5"/>
  <c r="K356" i="5"/>
  <c r="J356" i="5"/>
  <c r="D356" i="5"/>
  <c r="L355" i="5"/>
  <c r="K355" i="5"/>
  <c r="J355" i="5"/>
  <c r="D355" i="5"/>
  <c r="L354" i="5"/>
  <c r="K354" i="5"/>
  <c r="J354" i="5"/>
  <c r="D354" i="5"/>
  <c r="N353" i="5" s="1"/>
  <c r="O353" i="5"/>
  <c r="M353" i="5"/>
  <c r="L353" i="5"/>
  <c r="K353" i="5"/>
  <c r="J353" i="5"/>
  <c r="D353" i="5"/>
  <c r="L352" i="5"/>
  <c r="K352" i="5"/>
  <c r="J352" i="5"/>
  <c r="D352" i="5"/>
  <c r="L351" i="5"/>
  <c r="K351" i="5"/>
  <c r="J351" i="5"/>
  <c r="D351" i="5"/>
  <c r="L350" i="5"/>
  <c r="K350" i="5"/>
  <c r="J350" i="5"/>
  <c r="D350" i="5"/>
  <c r="L349" i="5"/>
  <c r="K349" i="5"/>
  <c r="J349" i="5"/>
  <c r="D349" i="5"/>
  <c r="O348" i="5"/>
  <c r="N348" i="5"/>
  <c r="M348" i="5"/>
  <c r="L348" i="5"/>
  <c r="K348" i="5"/>
  <c r="J348" i="5"/>
  <c r="D348" i="5"/>
  <c r="L347" i="5"/>
  <c r="K347" i="5"/>
  <c r="J347" i="5"/>
  <c r="D347" i="5"/>
  <c r="L346" i="5"/>
  <c r="K346" i="5"/>
  <c r="J346" i="5"/>
  <c r="D346" i="5"/>
  <c r="L345" i="5"/>
  <c r="K345" i="5"/>
  <c r="J345" i="5"/>
  <c r="D345" i="5"/>
  <c r="L344" i="5"/>
  <c r="K344" i="5"/>
  <c r="J344" i="5"/>
  <c r="D344" i="5"/>
  <c r="O343" i="5"/>
  <c r="M343" i="5"/>
  <c r="L343" i="5"/>
  <c r="K343" i="5"/>
  <c r="J343" i="5"/>
  <c r="D343" i="5"/>
  <c r="N343" i="5" s="1"/>
  <c r="L342" i="5"/>
  <c r="K342" i="5"/>
  <c r="J342" i="5"/>
  <c r="D342" i="5"/>
  <c r="L341" i="5"/>
  <c r="K341" i="5"/>
  <c r="J341" i="5"/>
  <c r="D341" i="5"/>
  <c r="L340" i="5"/>
  <c r="K340" i="5"/>
  <c r="J340" i="5"/>
  <c r="D340" i="5"/>
  <c r="L339" i="5"/>
  <c r="K339" i="5"/>
  <c r="J339" i="5"/>
  <c r="D339" i="5"/>
  <c r="O338" i="5"/>
  <c r="M338" i="5"/>
  <c r="L338" i="5"/>
  <c r="K338" i="5"/>
  <c r="J338" i="5"/>
  <c r="D338" i="5"/>
  <c r="N338" i="5" s="1"/>
  <c r="L337" i="5"/>
  <c r="K337" i="5"/>
  <c r="J337" i="5"/>
  <c r="D337" i="5"/>
  <c r="L336" i="5"/>
  <c r="K336" i="5"/>
  <c r="J336" i="5"/>
  <c r="D336" i="5"/>
  <c r="L335" i="5"/>
  <c r="K335" i="5"/>
  <c r="J335" i="5"/>
  <c r="D335" i="5"/>
  <c r="L334" i="5"/>
  <c r="K334" i="5"/>
  <c r="J334" i="5"/>
  <c r="D334" i="5"/>
  <c r="N333" i="5" s="1"/>
  <c r="O333" i="5"/>
  <c r="M333" i="5"/>
  <c r="L333" i="5"/>
  <c r="K333" i="5"/>
  <c r="J333" i="5"/>
  <c r="D333" i="5"/>
  <c r="L332" i="5"/>
  <c r="K332" i="5"/>
  <c r="J332" i="5"/>
  <c r="D332" i="5"/>
  <c r="L331" i="5"/>
  <c r="K331" i="5"/>
  <c r="J331" i="5"/>
  <c r="D331" i="5"/>
  <c r="L330" i="5"/>
  <c r="K330" i="5"/>
  <c r="J330" i="5"/>
  <c r="D330" i="5"/>
  <c r="L329" i="5"/>
  <c r="K329" i="5"/>
  <c r="J329" i="5"/>
  <c r="D329" i="5"/>
  <c r="O328" i="5"/>
  <c r="N328" i="5"/>
  <c r="M328" i="5"/>
  <c r="L328" i="5"/>
  <c r="K328" i="5"/>
  <c r="J328" i="5"/>
  <c r="D328" i="5"/>
  <c r="L327" i="5"/>
  <c r="K327" i="5"/>
  <c r="J327" i="5"/>
  <c r="D327" i="5"/>
  <c r="L326" i="5"/>
  <c r="K326" i="5"/>
  <c r="J326" i="5"/>
  <c r="D326" i="5"/>
  <c r="L325" i="5"/>
  <c r="K325" i="5"/>
  <c r="J325" i="5"/>
  <c r="D325" i="5"/>
  <c r="L324" i="5"/>
  <c r="K324" i="5"/>
  <c r="J324" i="5"/>
  <c r="D324" i="5"/>
  <c r="O323" i="5"/>
  <c r="M323" i="5"/>
  <c r="L323" i="5"/>
  <c r="K323" i="5"/>
  <c r="J323" i="5"/>
  <c r="D323" i="5"/>
  <c r="N323" i="5" s="1"/>
  <c r="L322" i="5"/>
  <c r="K322" i="5"/>
  <c r="J322" i="5"/>
  <c r="D322" i="5"/>
  <c r="L321" i="5"/>
  <c r="K321" i="5"/>
  <c r="J321" i="5"/>
  <c r="D321" i="5"/>
  <c r="L320" i="5"/>
  <c r="K320" i="5"/>
  <c r="J320" i="5"/>
  <c r="D320" i="5"/>
  <c r="L319" i="5"/>
  <c r="K319" i="5"/>
  <c r="J319" i="5"/>
  <c r="D319" i="5"/>
  <c r="O318" i="5"/>
  <c r="M318" i="5"/>
  <c r="L318" i="5"/>
  <c r="K318" i="5"/>
  <c r="J318" i="5"/>
  <c r="D318" i="5"/>
  <c r="N318" i="5" s="1"/>
  <c r="L317" i="5"/>
  <c r="K317" i="5"/>
  <c r="J317" i="5"/>
  <c r="D317" i="5"/>
  <c r="L316" i="5"/>
  <c r="K316" i="5"/>
  <c r="J316" i="5"/>
  <c r="D316" i="5"/>
  <c r="L315" i="5"/>
  <c r="K315" i="5"/>
  <c r="J315" i="5"/>
  <c r="D315" i="5"/>
  <c r="L314" i="5"/>
  <c r="K314" i="5"/>
  <c r="J314" i="5"/>
  <c r="D314" i="5"/>
  <c r="N313" i="5" s="1"/>
  <c r="O313" i="5"/>
  <c r="M313" i="5"/>
  <c r="L313" i="5"/>
  <c r="K313" i="5"/>
  <c r="J313" i="5"/>
  <c r="D313" i="5"/>
  <c r="L312" i="5"/>
  <c r="K312" i="5"/>
  <c r="J312" i="5"/>
  <c r="D312" i="5"/>
  <c r="L311" i="5"/>
  <c r="K311" i="5"/>
  <c r="J311" i="5"/>
  <c r="D311" i="5"/>
  <c r="L310" i="5"/>
  <c r="K310" i="5"/>
  <c r="J310" i="5"/>
  <c r="D310" i="5"/>
  <c r="L309" i="5"/>
  <c r="K309" i="5"/>
  <c r="J309" i="5"/>
  <c r="D309" i="5"/>
  <c r="O308" i="5"/>
  <c r="N308" i="5"/>
  <c r="M308" i="5"/>
  <c r="L308" i="5"/>
  <c r="K308" i="5"/>
  <c r="J308" i="5"/>
  <c r="D308" i="5"/>
  <c r="L307" i="5"/>
  <c r="K307" i="5"/>
  <c r="J307" i="5"/>
  <c r="D307" i="5"/>
  <c r="L306" i="5"/>
  <c r="K306" i="5"/>
  <c r="J306" i="5"/>
  <c r="D306" i="5"/>
  <c r="L305" i="5"/>
  <c r="K305" i="5"/>
  <c r="J305" i="5"/>
  <c r="D305" i="5"/>
  <c r="L304" i="5"/>
  <c r="K304" i="5"/>
  <c r="J304" i="5"/>
  <c r="D304" i="5"/>
  <c r="O303" i="5"/>
  <c r="M303" i="5"/>
  <c r="L303" i="5"/>
  <c r="K303" i="5"/>
  <c r="J303" i="5"/>
  <c r="D303" i="5"/>
  <c r="N303" i="5" s="1"/>
  <c r="L302" i="5"/>
  <c r="K302" i="5"/>
  <c r="J302" i="5"/>
  <c r="D302" i="5"/>
  <c r="L301" i="5"/>
  <c r="K301" i="5"/>
  <c r="J301" i="5"/>
  <c r="D301" i="5"/>
  <c r="L300" i="5"/>
  <c r="K300" i="5"/>
  <c r="J300" i="5"/>
  <c r="D300" i="5"/>
  <c r="L299" i="5"/>
  <c r="K299" i="5"/>
  <c r="J299" i="5"/>
  <c r="D299" i="5"/>
  <c r="O298" i="5"/>
  <c r="M298" i="5"/>
  <c r="L298" i="5"/>
  <c r="K298" i="5"/>
  <c r="J298" i="5"/>
  <c r="D298" i="5"/>
  <c r="N298" i="5" s="1"/>
  <c r="L297" i="5"/>
  <c r="K297" i="5"/>
  <c r="J297" i="5"/>
  <c r="D297" i="5"/>
  <c r="L296" i="5"/>
  <c r="K296" i="5"/>
  <c r="J296" i="5"/>
  <c r="D296" i="5"/>
  <c r="L295" i="5"/>
  <c r="K295" i="5"/>
  <c r="J295" i="5"/>
  <c r="D295" i="5"/>
  <c r="L294" i="5"/>
  <c r="K294" i="5"/>
  <c r="J294" i="5"/>
  <c r="D294" i="5"/>
  <c r="N293" i="5" s="1"/>
  <c r="O293" i="5"/>
  <c r="M293" i="5"/>
  <c r="L293" i="5"/>
  <c r="K293" i="5"/>
  <c r="J293" i="5"/>
  <c r="D293" i="5"/>
  <c r="L292" i="5"/>
  <c r="K292" i="5"/>
  <c r="J292" i="5"/>
  <c r="D292" i="5"/>
  <c r="L291" i="5"/>
  <c r="K291" i="5"/>
  <c r="J291" i="5"/>
  <c r="D291" i="5"/>
  <c r="L290" i="5"/>
  <c r="K290" i="5"/>
  <c r="J290" i="5"/>
  <c r="D290" i="5"/>
  <c r="L289" i="5"/>
  <c r="K289" i="5"/>
  <c r="J289" i="5"/>
  <c r="D289" i="5"/>
  <c r="O288" i="5"/>
  <c r="N288" i="5"/>
  <c r="M288" i="5"/>
  <c r="L288" i="5"/>
  <c r="K288" i="5"/>
  <c r="J288" i="5"/>
  <c r="D288" i="5"/>
  <c r="L287" i="5"/>
  <c r="K287" i="5"/>
  <c r="J287" i="5"/>
  <c r="D287" i="5"/>
  <c r="L286" i="5"/>
  <c r="K286" i="5"/>
  <c r="J286" i="5"/>
  <c r="D286" i="5"/>
  <c r="L285" i="5"/>
  <c r="K285" i="5"/>
  <c r="J285" i="5"/>
  <c r="D285" i="5"/>
  <c r="L284" i="5"/>
  <c r="K284" i="5"/>
  <c r="J284" i="5"/>
  <c r="D284" i="5"/>
  <c r="O283" i="5"/>
  <c r="M283" i="5"/>
  <c r="L283" i="5"/>
  <c r="K283" i="5"/>
  <c r="J283" i="5"/>
  <c r="D283" i="5"/>
  <c r="N283" i="5" s="1"/>
  <c r="L282" i="5"/>
  <c r="K282" i="5"/>
  <c r="J282" i="5"/>
  <c r="D282" i="5"/>
  <c r="L281" i="5"/>
  <c r="K281" i="5"/>
  <c r="J281" i="5"/>
  <c r="D281" i="5"/>
  <c r="L280" i="5"/>
  <c r="K280" i="5"/>
  <c r="J280" i="5"/>
  <c r="D280" i="5"/>
  <c r="L279" i="5"/>
  <c r="K279" i="5"/>
  <c r="J279" i="5"/>
  <c r="D279" i="5"/>
  <c r="O278" i="5"/>
  <c r="M278" i="5"/>
  <c r="L278" i="5"/>
  <c r="K278" i="5"/>
  <c r="J278" i="5"/>
  <c r="D278" i="5"/>
  <c r="N278" i="5" s="1"/>
  <c r="L277" i="5"/>
  <c r="K277" i="5"/>
  <c r="J277" i="5"/>
  <c r="D277" i="5"/>
  <c r="L276" i="5"/>
  <c r="K276" i="5"/>
  <c r="J276" i="5"/>
  <c r="D276" i="5"/>
  <c r="L275" i="5"/>
  <c r="K275" i="5"/>
  <c r="J275" i="5"/>
  <c r="D275" i="5"/>
  <c r="L274" i="5"/>
  <c r="K274" i="5"/>
  <c r="J274" i="5"/>
  <c r="D274" i="5"/>
  <c r="N273" i="5" s="1"/>
  <c r="O273" i="5"/>
  <c r="M273" i="5"/>
  <c r="L273" i="5"/>
  <c r="K273" i="5"/>
  <c r="J273" i="5"/>
  <c r="D273" i="5"/>
  <c r="L272" i="5"/>
  <c r="K272" i="5"/>
  <c r="J272" i="5"/>
  <c r="D272" i="5"/>
  <c r="L271" i="5"/>
  <c r="K271" i="5"/>
  <c r="J271" i="5"/>
  <c r="D271" i="5"/>
  <c r="L270" i="5"/>
  <c r="K270" i="5"/>
  <c r="J270" i="5"/>
  <c r="D270" i="5"/>
  <c r="L269" i="5"/>
  <c r="K269" i="5"/>
  <c r="J269" i="5"/>
  <c r="D269" i="5"/>
  <c r="O268" i="5"/>
  <c r="N268" i="5"/>
  <c r="M268" i="5"/>
  <c r="L268" i="5"/>
  <c r="K268" i="5"/>
  <c r="J268" i="5"/>
  <c r="D268" i="5"/>
  <c r="L267" i="5"/>
  <c r="K267" i="5"/>
  <c r="J267" i="5"/>
  <c r="D267" i="5"/>
  <c r="L266" i="5"/>
  <c r="K266" i="5"/>
  <c r="J266" i="5"/>
  <c r="D266" i="5"/>
  <c r="L265" i="5"/>
  <c r="K265" i="5"/>
  <c r="J265" i="5"/>
  <c r="D265" i="5"/>
  <c r="L264" i="5"/>
  <c r="K264" i="5"/>
  <c r="J264" i="5"/>
  <c r="D264" i="5"/>
  <c r="O263" i="5"/>
  <c r="M263" i="5"/>
  <c r="L263" i="5"/>
  <c r="K263" i="5"/>
  <c r="J263" i="5"/>
  <c r="D263" i="5"/>
  <c r="N263" i="5" s="1"/>
  <c r="L262" i="5"/>
  <c r="K262" i="5"/>
  <c r="J262" i="5"/>
  <c r="D262" i="5"/>
  <c r="L261" i="5"/>
  <c r="K261" i="5"/>
  <c r="J261" i="5"/>
  <c r="D261" i="5"/>
  <c r="L260" i="5"/>
  <c r="K260" i="5"/>
  <c r="J260" i="5"/>
  <c r="D260" i="5"/>
  <c r="L259" i="5"/>
  <c r="K259" i="5"/>
  <c r="J259" i="5"/>
  <c r="D259" i="5"/>
  <c r="O258" i="5"/>
  <c r="M258" i="5"/>
  <c r="L258" i="5"/>
  <c r="K258" i="5"/>
  <c r="J258" i="5"/>
  <c r="D258" i="5"/>
  <c r="N258" i="5" s="1"/>
  <c r="L257" i="5"/>
  <c r="K257" i="5"/>
  <c r="J257" i="5"/>
  <c r="D257" i="5"/>
  <c r="L256" i="5"/>
  <c r="K256" i="5"/>
  <c r="J256" i="5"/>
  <c r="D256" i="5"/>
  <c r="L255" i="5"/>
  <c r="K255" i="5"/>
  <c r="J255" i="5"/>
  <c r="D255" i="5"/>
  <c r="L254" i="5"/>
  <c r="K254" i="5"/>
  <c r="J254" i="5"/>
  <c r="D254" i="5"/>
  <c r="N253" i="5" s="1"/>
  <c r="O253" i="5"/>
  <c r="M253" i="5"/>
  <c r="L253" i="5"/>
  <c r="K253" i="5"/>
  <c r="J253" i="5"/>
  <c r="D253" i="5"/>
  <c r="L252" i="5"/>
  <c r="K252" i="5"/>
  <c r="J252" i="5"/>
  <c r="D252" i="5"/>
  <c r="L251" i="5"/>
  <c r="K251" i="5"/>
  <c r="J251" i="5"/>
  <c r="D251" i="5"/>
  <c r="L250" i="5"/>
  <c r="K250" i="5"/>
  <c r="J250" i="5"/>
  <c r="D250" i="5"/>
  <c r="L249" i="5"/>
  <c r="K249" i="5"/>
  <c r="J249" i="5"/>
  <c r="D249" i="5"/>
  <c r="O248" i="5"/>
  <c r="N248" i="5"/>
  <c r="M248" i="5"/>
  <c r="L248" i="5"/>
  <c r="K248" i="5"/>
  <c r="J248" i="5"/>
  <c r="D248" i="5"/>
  <c r="L247" i="5"/>
  <c r="K247" i="5"/>
  <c r="J247" i="5"/>
  <c r="D247" i="5"/>
  <c r="L246" i="5"/>
  <c r="K246" i="5"/>
  <c r="J246" i="5"/>
  <c r="D246" i="5"/>
  <c r="L245" i="5"/>
  <c r="K245" i="5"/>
  <c r="J245" i="5"/>
  <c r="D245" i="5"/>
  <c r="L244" i="5"/>
  <c r="K244" i="5"/>
  <c r="J244" i="5"/>
  <c r="D244" i="5"/>
  <c r="O243" i="5"/>
  <c r="M243" i="5"/>
  <c r="L243" i="5"/>
  <c r="K243" i="5"/>
  <c r="J243" i="5"/>
  <c r="D243" i="5"/>
  <c r="N243" i="5" s="1"/>
  <c r="L242" i="5"/>
  <c r="K242" i="5"/>
  <c r="J242" i="5"/>
  <c r="D242" i="5"/>
  <c r="L241" i="5"/>
  <c r="K241" i="5"/>
  <c r="J241" i="5"/>
  <c r="D241" i="5"/>
  <c r="L240" i="5"/>
  <c r="K240" i="5"/>
  <c r="J240" i="5"/>
  <c r="D240" i="5"/>
  <c r="L239" i="5"/>
  <c r="K239" i="5"/>
  <c r="J239" i="5"/>
  <c r="D239" i="5"/>
  <c r="O238" i="5"/>
  <c r="M238" i="5"/>
  <c r="L238" i="5"/>
  <c r="K238" i="5"/>
  <c r="J238" i="5"/>
  <c r="D238" i="5"/>
  <c r="N238" i="5" s="1"/>
  <c r="L237" i="5"/>
  <c r="K237" i="5"/>
  <c r="J237" i="5"/>
  <c r="D237" i="5"/>
  <c r="L236" i="5"/>
  <c r="K236" i="5"/>
  <c r="J236" i="5"/>
  <c r="D236" i="5"/>
  <c r="L235" i="5"/>
  <c r="K235" i="5"/>
  <c r="J235" i="5"/>
  <c r="D235" i="5"/>
  <c r="L234" i="5"/>
  <c r="K234" i="5"/>
  <c r="J234" i="5"/>
  <c r="D234" i="5"/>
  <c r="N233" i="5" s="1"/>
  <c r="O233" i="5"/>
  <c r="M233" i="5"/>
  <c r="L233" i="5"/>
  <c r="K233" i="5"/>
  <c r="J233" i="5"/>
  <c r="D233" i="5"/>
  <c r="L232" i="5"/>
  <c r="K232" i="5"/>
  <c r="J232" i="5"/>
  <c r="D232" i="5"/>
  <c r="L231" i="5"/>
  <c r="K231" i="5"/>
  <c r="J231" i="5"/>
  <c r="D231" i="5"/>
  <c r="L230" i="5"/>
  <c r="K230" i="5"/>
  <c r="J230" i="5"/>
  <c r="D230" i="5"/>
  <c r="L229" i="5"/>
  <c r="K229" i="5"/>
  <c r="J229" i="5"/>
  <c r="D229" i="5"/>
  <c r="O228" i="5"/>
  <c r="N228" i="5"/>
  <c r="M228" i="5"/>
  <c r="L228" i="5"/>
  <c r="K228" i="5"/>
  <c r="J228" i="5"/>
  <c r="D228" i="5"/>
  <c r="L227" i="5"/>
  <c r="K227" i="5"/>
  <c r="J227" i="5"/>
  <c r="D227" i="5"/>
  <c r="L226" i="5"/>
  <c r="K226" i="5"/>
  <c r="J226" i="5"/>
  <c r="D226" i="5"/>
  <c r="L225" i="5"/>
  <c r="K225" i="5"/>
  <c r="J225" i="5"/>
  <c r="D225" i="5"/>
  <c r="L224" i="5"/>
  <c r="K224" i="5"/>
  <c r="J224" i="5"/>
  <c r="D224" i="5"/>
  <c r="O223" i="5"/>
  <c r="M223" i="5"/>
  <c r="L223" i="5"/>
  <c r="K223" i="5"/>
  <c r="J223" i="5"/>
  <c r="D223" i="5"/>
  <c r="N223" i="5" s="1"/>
  <c r="L222" i="5"/>
  <c r="K222" i="5"/>
  <c r="J222" i="5"/>
  <c r="D222" i="5"/>
  <c r="L221" i="5"/>
  <c r="K221" i="5"/>
  <c r="J221" i="5"/>
  <c r="D221" i="5"/>
  <c r="L220" i="5"/>
  <c r="K220" i="5"/>
  <c r="J220" i="5"/>
  <c r="D220" i="5"/>
  <c r="L219" i="5"/>
  <c r="K219" i="5"/>
  <c r="J219" i="5"/>
  <c r="D219" i="5"/>
  <c r="O218" i="5"/>
  <c r="M218" i="5"/>
  <c r="L218" i="5"/>
  <c r="K218" i="5"/>
  <c r="J218" i="5"/>
  <c r="D218" i="5"/>
  <c r="N218" i="5" s="1"/>
  <c r="L217" i="5"/>
  <c r="K217" i="5"/>
  <c r="J217" i="5"/>
  <c r="D217" i="5"/>
  <c r="L216" i="5"/>
  <c r="K216" i="5"/>
  <c r="J216" i="5"/>
  <c r="D216" i="5"/>
  <c r="L215" i="5"/>
  <c r="K215" i="5"/>
  <c r="J215" i="5"/>
  <c r="D215" i="5"/>
  <c r="L214" i="5"/>
  <c r="K214" i="5"/>
  <c r="J214" i="5"/>
  <c r="D214" i="5"/>
  <c r="N213" i="5" s="1"/>
  <c r="O213" i="5"/>
  <c r="M213" i="5"/>
  <c r="L213" i="5"/>
  <c r="K213" i="5"/>
  <c r="J213" i="5"/>
  <c r="D213" i="5"/>
  <c r="L212" i="5"/>
  <c r="K212" i="5"/>
  <c r="J212" i="5"/>
  <c r="D212" i="5"/>
  <c r="L211" i="5"/>
  <c r="K211" i="5"/>
  <c r="J211" i="5"/>
  <c r="D211" i="5"/>
  <c r="L210" i="5"/>
  <c r="K210" i="5"/>
  <c r="J210" i="5"/>
  <c r="D210" i="5"/>
  <c r="L209" i="5"/>
  <c r="K209" i="5"/>
  <c r="J209" i="5"/>
  <c r="D209" i="5"/>
  <c r="O208" i="5"/>
  <c r="N208" i="5"/>
  <c r="M208" i="5"/>
  <c r="L208" i="5"/>
  <c r="K208" i="5"/>
  <c r="J208" i="5"/>
  <c r="D208" i="5"/>
  <c r="L207" i="5"/>
  <c r="K207" i="5"/>
  <c r="J207" i="5"/>
  <c r="D207" i="5"/>
  <c r="L206" i="5"/>
  <c r="K206" i="5"/>
  <c r="J206" i="5"/>
  <c r="D206" i="5"/>
  <c r="L205" i="5"/>
  <c r="K205" i="5"/>
  <c r="J205" i="5"/>
  <c r="D205" i="5"/>
  <c r="L204" i="5"/>
  <c r="K204" i="5"/>
  <c r="J204" i="5"/>
  <c r="D204" i="5"/>
  <c r="O203" i="5"/>
  <c r="M203" i="5"/>
  <c r="L203" i="5"/>
  <c r="K203" i="5"/>
  <c r="J203" i="5"/>
  <c r="D203" i="5"/>
  <c r="N203" i="5" s="1"/>
  <c r="L202" i="5"/>
  <c r="K202" i="5"/>
  <c r="J202" i="5"/>
  <c r="D202" i="5"/>
  <c r="L201" i="5"/>
  <c r="K201" i="5"/>
  <c r="J201" i="5"/>
  <c r="D201" i="5"/>
  <c r="L200" i="5"/>
  <c r="K200" i="5"/>
  <c r="J200" i="5"/>
  <c r="D200" i="5"/>
  <c r="L199" i="5"/>
  <c r="K199" i="5"/>
  <c r="J199" i="5"/>
  <c r="D199" i="5"/>
  <c r="O198" i="5"/>
  <c r="M198" i="5"/>
  <c r="L198" i="5"/>
  <c r="K198" i="5"/>
  <c r="J198" i="5"/>
  <c r="D198" i="5"/>
  <c r="N198" i="5" s="1"/>
  <c r="L197" i="5"/>
  <c r="K197" i="5"/>
  <c r="J197" i="5"/>
  <c r="D197" i="5"/>
  <c r="L196" i="5"/>
  <c r="K196" i="5"/>
  <c r="J196" i="5"/>
  <c r="D196" i="5"/>
  <c r="L195" i="5"/>
  <c r="K195" i="5"/>
  <c r="J195" i="5"/>
  <c r="D195" i="5"/>
  <c r="L194" i="5"/>
  <c r="K194" i="5"/>
  <c r="J194" i="5"/>
  <c r="D194" i="5"/>
  <c r="N193" i="5" s="1"/>
  <c r="O193" i="5"/>
  <c r="M193" i="5"/>
  <c r="L193" i="5"/>
  <c r="K193" i="5"/>
  <c r="J193" i="5"/>
  <c r="D193" i="5"/>
  <c r="L192" i="5"/>
  <c r="K192" i="5"/>
  <c r="J192" i="5"/>
  <c r="D192" i="5"/>
  <c r="L191" i="5"/>
  <c r="K191" i="5"/>
  <c r="J191" i="5"/>
  <c r="D191" i="5"/>
  <c r="L190" i="5"/>
  <c r="K190" i="5"/>
  <c r="J190" i="5"/>
  <c r="D190" i="5"/>
  <c r="L189" i="5"/>
  <c r="K189" i="5"/>
  <c r="J189" i="5"/>
  <c r="D189" i="5"/>
  <c r="O188" i="5"/>
  <c r="N188" i="5"/>
  <c r="M188" i="5"/>
  <c r="L188" i="5"/>
  <c r="K188" i="5"/>
  <c r="J188" i="5"/>
  <c r="D188" i="5"/>
  <c r="L187" i="5"/>
  <c r="K187" i="5"/>
  <c r="J187" i="5"/>
  <c r="D187" i="5"/>
  <c r="L186" i="5"/>
  <c r="K186" i="5"/>
  <c r="J186" i="5"/>
  <c r="D186" i="5"/>
  <c r="L185" i="5"/>
  <c r="K185" i="5"/>
  <c r="J185" i="5"/>
  <c r="D185" i="5"/>
  <c r="L184" i="5"/>
  <c r="K184" i="5"/>
  <c r="J184" i="5"/>
  <c r="D184" i="5"/>
  <c r="O183" i="5"/>
  <c r="M183" i="5"/>
  <c r="L183" i="5"/>
  <c r="K183" i="5"/>
  <c r="J183" i="5"/>
  <c r="D183" i="5"/>
  <c r="N183" i="5" s="1"/>
  <c r="L182" i="5"/>
  <c r="K182" i="5"/>
  <c r="J182" i="5"/>
  <c r="D182" i="5"/>
  <c r="L181" i="5"/>
  <c r="K181" i="5"/>
  <c r="J181" i="5"/>
  <c r="D181" i="5"/>
  <c r="L180" i="5"/>
  <c r="K180" i="5"/>
  <c r="J180" i="5"/>
  <c r="D180" i="5"/>
  <c r="L179" i="5"/>
  <c r="K179" i="5"/>
  <c r="J179" i="5"/>
  <c r="D179" i="5"/>
  <c r="O178" i="5"/>
  <c r="M178" i="5"/>
  <c r="L178" i="5"/>
  <c r="K178" i="5"/>
  <c r="J178" i="5"/>
  <c r="D178" i="5"/>
  <c r="N178" i="5" s="1"/>
  <c r="L177" i="5"/>
  <c r="K177" i="5"/>
  <c r="J177" i="5"/>
  <c r="D177" i="5"/>
  <c r="L176" i="5"/>
  <c r="K176" i="5"/>
  <c r="J176" i="5"/>
  <c r="D176" i="5"/>
  <c r="L175" i="5"/>
  <c r="K175" i="5"/>
  <c r="J175" i="5"/>
  <c r="D175" i="5"/>
  <c r="L174" i="5"/>
  <c r="K174" i="5"/>
  <c r="J174" i="5"/>
  <c r="D174" i="5"/>
  <c r="N173" i="5" s="1"/>
  <c r="O173" i="5"/>
  <c r="M173" i="5"/>
  <c r="L173" i="5"/>
  <c r="K173" i="5"/>
  <c r="J173" i="5"/>
  <c r="D173" i="5"/>
  <c r="L172" i="5"/>
  <c r="K172" i="5"/>
  <c r="J172" i="5"/>
  <c r="D172" i="5"/>
  <c r="L171" i="5"/>
  <c r="K171" i="5"/>
  <c r="J171" i="5"/>
  <c r="D171" i="5"/>
  <c r="L170" i="5"/>
  <c r="K170" i="5"/>
  <c r="J170" i="5"/>
  <c r="D170" i="5"/>
  <c r="L169" i="5"/>
  <c r="K169" i="5"/>
  <c r="J169" i="5"/>
  <c r="D169" i="5"/>
  <c r="O168" i="5"/>
  <c r="N168" i="5"/>
  <c r="M168" i="5"/>
  <c r="L168" i="5"/>
  <c r="K168" i="5"/>
  <c r="J168" i="5"/>
  <c r="D168" i="5"/>
  <c r="L167" i="5"/>
  <c r="K167" i="5"/>
  <c r="J167" i="5"/>
  <c r="D167" i="5"/>
  <c r="L166" i="5"/>
  <c r="K166" i="5"/>
  <c r="J166" i="5"/>
  <c r="D166" i="5"/>
  <c r="L165" i="5"/>
  <c r="K165" i="5"/>
  <c r="J165" i="5"/>
  <c r="D165" i="5"/>
  <c r="L164" i="5"/>
  <c r="K164" i="5"/>
  <c r="J164" i="5"/>
  <c r="D164" i="5"/>
  <c r="O163" i="5"/>
  <c r="M163" i="5"/>
  <c r="L163" i="5"/>
  <c r="K163" i="5"/>
  <c r="J163" i="5"/>
  <c r="D163" i="5"/>
  <c r="N163" i="5" s="1"/>
  <c r="L162" i="5"/>
  <c r="K162" i="5"/>
  <c r="J162" i="5"/>
  <c r="D162" i="5"/>
  <c r="L161" i="5"/>
  <c r="K161" i="5"/>
  <c r="J161" i="5"/>
  <c r="D161" i="5"/>
  <c r="L160" i="5"/>
  <c r="K160" i="5"/>
  <c r="J160" i="5"/>
  <c r="D160" i="5"/>
  <c r="L159" i="5"/>
  <c r="K159" i="5"/>
  <c r="J159" i="5"/>
  <c r="D159" i="5"/>
  <c r="O158" i="5"/>
  <c r="M158" i="5"/>
  <c r="L158" i="5"/>
  <c r="K158" i="5"/>
  <c r="J158" i="5"/>
  <c r="D158" i="5"/>
  <c r="N158" i="5" s="1"/>
  <c r="L157" i="5"/>
  <c r="K157" i="5"/>
  <c r="J157" i="5"/>
  <c r="D157" i="5"/>
  <c r="L156" i="5"/>
  <c r="K156" i="5"/>
  <c r="J156" i="5"/>
  <c r="D156" i="5"/>
  <c r="L155" i="5"/>
  <c r="K155" i="5"/>
  <c r="J155" i="5"/>
  <c r="D155" i="5"/>
  <c r="L154" i="5"/>
  <c r="K154" i="5"/>
  <c r="J154" i="5"/>
  <c r="D154" i="5"/>
  <c r="N153" i="5" s="1"/>
  <c r="O153" i="5"/>
  <c r="M153" i="5"/>
  <c r="L153" i="5"/>
  <c r="K153" i="5"/>
  <c r="J153" i="5"/>
  <c r="D153" i="5"/>
  <c r="L152" i="5"/>
  <c r="K152" i="5"/>
  <c r="J152" i="5"/>
  <c r="D152" i="5"/>
  <c r="L151" i="5"/>
  <c r="K151" i="5"/>
  <c r="J151" i="5"/>
  <c r="D151" i="5"/>
  <c r="L150" i="5"/>
  <c r="K150" i="5"/>
  <c r="J150" i="5"/>
  <c r="D150" i="5"/>
  <c r="L149" i="5"/>
  <c r="K149" i="5"/>
  <c r="J149" i="5"/>
  <c r="D149" i="5"/>
  <c r="O148" i="5"/>
  <c r="N148" i="5"/>
  <c r="M148" i="5"/>
  <c r="L148" i="5"/>
  <c r="K148" i="5"/>
  <c r="J148" i="5"/>
  <c r="D148" i="5"/>
  <c r="L147" i="5"/>
  <c r="K147" i="5"/>
  <c r="J147" i="5"/>
  <c r="D147" i="5"/>
  <c r="L146" i="5"/>
  <c r="K146" i="5"/>
  <c r="J146" i="5"/>
  <c r="D146" i="5"/>
  <c r="L145" i="5"/>
  <c r="K145" i="5"/>
  <c r="J145" i="5"/>
  <c r="D145" i="5"/>
  <c r="L144" i="5"/>
  <c r="K144" i="5"/>
  <c r="J144" i="5"/>
  <c r="D144" i="5"/>
  <c r="O143" i="5"/>
  <c r="M143" i="5"/>
  <c r="L143" i="5"/>
  <c r="K143" i="5"/>
  <c r="J143" i="5"/>
  <c r="D143" i="5"/>
  <c r="N143" i="5" s="1"/>
  <c r="L142" i="5"/>
  <c r="K142" i="5"/>
  <c r="J142" i="5"/>
  <c r="D142" i="5"/>
  <c r="L141" i="5"/>
  <c r="K141" i="5"/>
  <c r="J141" i="5"/>
  <c r="D141" i="5"/>
  <c r="L140" i="5"/>
  <c r="K140" i="5"/>
  <c r="J140" i="5"/>
  <c r="D140" i="5"/>
  <c r="L139" i="5"/>
  <c r="K139" i="5"/>
  <c r="J139" i="5"/>
  <c r="D139" i="5"/>
  <c r="O138" i="5"/>
  <c r="M138" i="5"/>
  <c r="L138" i="5"/>
  <c r="K138" i="5"/>
  <c r="J138" i="5"/>
  <c r="D138" i="5"/>
  <c r="N138" i="5" s="1"/>
  <c r="L137" i="5"/>
  <c r="K137" i="5"/>
  <c r="J137" i="5"/>
  <c r="D137" i="5"/>
  <c r="L136" i="5"/>
  <c r="K136" i="5"/>
  <c r="J136" i="5"/>
  <c r="D136" i="5"/>
  <c r="L135" i="5"/>
  <c r="K135" i="5"/>
  <c r="J135" i="5"/>
  <c r="D135" i="5"/>
  <c r="L134" i="5"/>
  <c r="K134" i="5"/>
  <c r="J134" i="5"/>
  <c r="D134" i="5"/>
  <c r="N133" i="5" s="1"/>
  <c r="O133" i="5"/>
  <c r="M133" i="5"/>
  <c r="L133" i="5"/>
  <c r="K133" i="5"/>
  <c r="J133" i="5"/>
  <c r="D133" i="5"/>
  <c r="L132" i="5"/>
  <c r="K132" i="5"/>
  <c r="J132" i="5"/>
  <c r="D132" i="5"/>
  <c r="L131" i="5"/>
  <c r="K131" i="5"/>
  <c r="J131" i="5"/>
  <c r="D131" i="5"/>
  <c r="L130" i="5"/>
  <c r="K130" i="5"/>
  <c r="J130" i="5"/>
  <c r="D130" i="5"/>
  <c r="L129" i="5"/>
  <c r="K129" i="5"/>
  <c r="J129" i="5"/>
  <c r="D129" i="5"/>
  <c r="O128" i="5"/>
  <c r="N128" i="5"/>
  <c r="M128" i="5"/>
  <c r="L128" i="5"/>
  <c r="K128" i="5"/>
  <c r="J128" i="5"/>
  <c r="D128" i="5"/>
  <c r="L127" i="5"/>
  <c r="K127" i="5"/>
  <c r="J127" i="5"/>
  <c r="D127" i="5"/>
  <c r="L126" i="5"/>
  <c r="K126" i="5"/>
  <c r="J126" i="5"/>
  <c r="D126" i="5"/>
  <c r="L125" i="5"/>
  <c r="K125" i="5"/>
  <c r="J125" i="5"/>
  <c r="D125" i="5"/>
  <c r="L124" i="5"/>
  <c r="K124" i="5"/>
  <c r="J124" i="5"/>
  <c r="D124" i="5"/>
  <c r="O123" i="5"/>
  <c r="M123" i="5"/>
  <c r="L123" i="5"/>
  <c r="K123" i="5"/>
  <c r="J123" i="5"/>
  <c r="D123" i="5"/>
  <c r="N123" i="5" s="1"/>
  <c r="L122" i="5"/>
  <c r="K122" i="5"/>
  <c r="J122" i="5"/>
  <c r="D122" i="5"/>
  <c r="L121" i="5"/>
  <c r="K121" i="5"/>
  <c r="J121" i="5"/>
  <c r="D121" i="5"/>
  <c r="L120" i="5"/>
  <c r="K120" i="5"/>
  <c r="J120" i="5"/>
  <c r="D120" i="5"/>
  <c r="L119" i="5"/>
  <c r="K119" i="5"/>
  <c r="J119" i="5"/>
  <c r="D119" i="5"/>
  <c r="O118" i="5"/>
  <c r="M118" i="5"/>
  <c r="L118" i="5"/>
  <c r="K118" i="5"/>
  <c r="J118" i="5"/>
  <c r="D118" i="5"/>
  <c r="N118" i="5" s="1"/>
  <c r="L117" i="5"/>
  <c r="K117" i="5"/>
  <c r="J117" i="5"/>
  <c r="D117" i="5"/>
  <c r="L116" i="5"/>
  <c r="K116" i="5"/>
  <c r="J116" i="5"/>
  <c r="D116" i="5"/>
  <c r="L115" i="5"/>
  <c r="K115" i="5"/>
  <c r="J115" i="5"/>
  <c r="D115" i="5"/>
  <c r="L114" i="5"/>
  <c r="K114" i="5"/>
  <c r="J114" i="5"/>
  <c r="D114" i="5"/>
  <c r="N113" i="5" s="1"/>
  <c r="O113" i="5"/>
  <c r="M113" i="5"/>
  <c r="L113" i="5"/>
  <c r="K113" i="5"/>
  <c r="J113" i="5"/>
  <c r="D113" i="5"/>
  <c r="L112" i="5"/>
  <c r="K112" i="5"/>
  <c r="J112" i="5"/>
  <c r="D112" i="5"/>
  <c r="L111" i="5"/>
  <c r="K111" i="5"/>
  <c r="J111" i="5"/>
  <c r="D111" i="5"/>
  <c r="L110" i="5"/>
  <c r="K110" i="5"/>
  <c r="J110" i="5"/>
  <c r="D110" i="5"/>
  <c r="L109" i="5"/>
  <c r="K109" i="5"/>
  <c r="J109" i="5"/>
  <c r="D109" i="5"/>
  <c r="O108" i="5"/>
  <c r="N108" i="5"/>
  <c r="M108" i="5"/>
  <c r="L108" i="5"/>
  <c r="K108" i="5"/>
  <c r="J108" i="5"/>
  <c r="D108" i="5"/>
  <c r="L107" i="5"/>
  <c r="K107" i="5"/>
  <c r="J107" i="5"/>
  <c r="D107" i="5"/>
  <c r="L106" i="5"/>
  <c r="K106" i="5"/>
  <c r="J106" i="5"/>
  <c r="D106" i="5"/>
  <c r="L105" i="5"/>
  <c r="K105" i="5"/>
  <c r="J105" i="5"/>
  <c r="D105" i="5"/>
  <c r="L104" i="5"/>
  <c r="K104" i="5"/>
  <c r="J104" i="5"/>
  <c r="D104" i="5"/>
  <c r="O103" i="5"/>
  <c r="M103" i="5"/>
  <c r="L103" i="5"/>
  <c r="K103" i="5"/>
  <c r="J103" i="5"/>
  <c r="D103" i="5"/>
  <c r="N103" i="5" s="1"/>
  <c r="L102" i="5"/>
  <c r="K102" i="5"/>
  <c r="J102" i="5"/>
  <c r="D102" i="5"/>
  <c r="L101" i="5"/>
  <c r="K101" i="5"/>
  <c r="J101" i="5"/>
  <c r="D101" i="5"/>
  <c r="L100" i="5"/>
  <c r="K100" i="5"/>
  <c r="J100" i="5"/>
  <c r="D100" i="5"/>
  <c r="L99" i="5"/>
  <c r="K99" i="5"/>
  <c r="J99" i="5"/>
  <c r="D99" i="5"/>
  <c r="O98" i="5"/>
  <c r="M98" i="5"/>
  <c r="L98" i="5"/>
  <c r="K98" i="5"/>
  <c r="J98" i="5"/>
  <c r="D98" i="5"/>
  <c r="N98" i="5" s="1"/>
  <c r="L97" i="5"/>
  <c r="K97" i="5"/>
  <c r="J97" i="5"/>
  <c r="D97" i="5"/>
  <c r="L96" i="5"/>
  <c r="K96" i="5"/>
  <c r="J96" i="5"/>
  <c r="D96" i="5"/>
  <c r="L95" i="5"/>
  <c r="K95" i="5"/>
  <c r="J95" i="5"/>
  <c r="D95" i="5"/>
  <c r="L94" i="5"/>
  <c r="K94" i="5"/>
  <c r="J94" i="5"/>
  <c r="D94" i="5"/>
  <c r="N93" i="5" s="1"/>
  <c r="O93" i="5"/>
  <c r="M93" i="5"/>
  <c r="L93" i="5"/>
  <c r="K93" i="5"/>
  <c r="J93" i="5"/>
  <c r="D93" i="5"/>
  <c r="L92" i="5"/>
  <c r="K92" i="5"/>
  <c r="J92" i="5"/>
  <c r="D92" i="5"/>
  <c r="L91" i="5"/>
  <c r="K91" i="5"/>
  <c r="J91" i="5"/>
  <c r="D91" i="5"/>
  <c r="L90" i="5"/>
  <c r="K90" i="5"/>
  <c r="J90" i="5"/>
  <c r="D90" i="5"/>
  <c r="L89" i="5"/>
  <c r="K89" i="5"/>
  <c r="J89" i="5"/>
  <c r="D89" i="5"/>
  <c r="O88" i="5"/>
  <c r="N88" i="5"/>
  <c r="M88" i="5"/>
  <c r="L88" i="5"/>
  <c r="K88" i="5"/>
  <c r="J88" i="5"/>
  <c r="D88" i="5"/>
  <c r="L87" i="5"/>
  <c r="K87" i="5"/>
  <c r="J87" i="5"/>
  <c r="D87" i="5"/>
  <c r="L86" i="5"/>
  <c r="K86" i="5"/>
  <c r="J86" i="5"/>
  <c r="D86" i="5"/>
  <c r="L85" i="5"/>
  <c r="K85" i="5"/>
  <c r="J85" i="5"/>
  <c r="D85" i="5"/>
  <c r="L84" i="5"/>
  <c r="K84" i="5"/>
  <c r="J84" i="5"/>
  <c r="D84" i="5"/>
  <c r="O83" i="5"/>
  <c r="M83" i="5"/>
  <c r="L83" i="5"/>
  <c r="K83" i="5"/>
  <c r="J83" i="5"/>
  <c r="D83" i="5"/>
  <c r="N83" i="5" s="1"/>
  <c r="L82" i="5"/>
  <c r="K82" i="5"/>
  <c r="J82" i="5"/>
  <c r="D82" i="5"/>
  <c r="L81" i="5"/>
  <c r="K81" i="5"/>
  <c r="J81" i="5"/>
  <c r="D81" i="5"/>
  <c r="L80" i="5"/>
  <c r="K80" i="5"/>
  <c r="J80" i="5"/>
  <c r="D80" i="5"/>
  <c r="L79" i="5"/>
  <c r="K79" i="5"/>
  <c r="J79" i="5"/>
  <c r="D79" i="5"/>
  <c r="O78" i="5"/>
  <c r="M78" i="5"/>
  <c r="L78" i="5"/>
  <c r="K78" i="5"/>
  <c r="J78" i="5"/>
  <c r="D78" i="5"/>
  <c r="N78" i="5" s="1"/>
  <c r="L77" i="5"/>
  <c r="K77" i="5"/>
  <c r="J77" i="5"/>
  <c r="D77" i="5"/>
  <c r="L76" i="5"/>
  <c r="K76" i="5"/>
  <c r="J76" i="5"/>
  <c r="D76" i="5"/>
  <c r="L75" i="5"/>
  <c r="K75" i="5"/>
  <c r="J75" i="5"/>
  <c r="D75" i="5"/>
  <c r="L74" i="5"/>
  <c r="K74" i="5"/>
  <c r="J74" i="5"/>
  <c r="D74" i="5"/>
  <c r="N73" i="5" s="1"/>
  <c r="O73" i="5"/>
  <c r="M73" i="5"/>
  <c r="L73" i="5"/>
  <c r="K73" i="5"/>
  <c r="J73" i="5"/>
  <c r="D73" i="5"/>
  <c r="L72" i="5"/>
  <c r="K72" i="5"/>
  <c r="J72" i="5"/>
  <c r="D72" i="5"/>
  <c r="L71" i="5"/>
  <c r="K71" i="5"/>
  <c r="J71" i="5"/>
  <c r="D71" i="5"/>
  <c r="L70" i="5"/>
  <c r="K70" i="5"/>
  <c r="J70" i="5"/>
  <c r="D70" i="5"/>
  <c r="L69" i="5"/>
  <c r="K69" i="5"/>
  <c r="J69" i="5"/>
  <c r="D69" i="5"/>
  <c r="O68" i="5"/>
  <c r="N68" i="5"/>
  <c r="M68" i="5"/>
  <c r="L68" i="5"/>
  <c r="K68" i="5"/>
  <c r="J68" i="5"/>
  <c r="D68" i="5"/>
  <c r="L67" i="5"/>
  <c r="K67" i="5"/>
  <c r="J67" i="5"/>
  <c r="D67" i="5"/>
  <c r="L66" i="5"/>
  <c r="K66" i="5"/>
  <c r="J66" i="5"/>
  <c r="D66" i="5"/>
  <c r="L65" i="5"/>
  <c r="K65" i="5"/>
  <c r="J65" i="5"/>
  <c r="D65" i="5"/>
  <c r="L64" i="5"/>
  <c r="K64" i="5"/>
  <c r="J64" i="5"/>
  <c r="D64" i="5"/>
  <c r="O63" i="5"/>
  <c r="M63" i="5"/>
  <c r="L63" i="5"/>
  <c r="K63" i="5"/>
  <c r="J63" i="5"/>
  <c r="D63" i="5"/>
  <c r="N63" i="5" s="1"/>
  <c r="L62" i="5"/>
  <c r="K62" i="5"/>
  <c r="J62" i="5"/>
  <c r="D62" i="5"/>
  <c r="L61" i="5"/>
  <c r="K61" i="5"/>
  <c r="J61" i="5"/>
  <c r="D61" i="5"/>
  <c r="L60" i="5"/>
  <c r="K60" i="5"/>
  <c r="J60" i="5"/>
  <c r="D60" i="5"/>
  <c r="L59" i="5"/>
  <c r="K59" i="5"/>
  <c r="J59" i="5"/>
  <c r="D59" i="5"/>
  <c r="O58" i="5"/>
  <c r="M58" i="5"/>
  <c r="L58" i="5"/>
  <c r="K58" i="5"/>
  <c r="J58" i="5"/>
  <c r="D58" i="5"/>
  <c r="N58" i="5" s="1"/>
  <c r="L57" i="5"/>
  <c r="K57" i="5"/>
  <c r="J57" i="5"/>
  <c r="D57" i="5"/>
  <c r="L56" i="5"/>
  <c r="K56" i="5"/>
  <c r="J56" i="5"/>
  <c r="D56" i="5"/>
  <c r="L55" i="5"/>
  <c r="K55" i="5"/>
  <c r="J55" i="5"/>
  <c r="D55" i="5"/>
  <c r="L54" i="5"/>
  <c r="K54" i="5"/>
  <c r="J54" i="5"/>
  <c r="D54" i="5"/>
  <c r="N53" i="5" s="1"/>
  <c r="O53" i="5"/>
  <c r="M53" i="5"/>
  <c r="L53" i="5"/>
  <c r="K53" i="5"/>
  <c r="J53" i="5"/>
  <c r="D53" i="5"/>
  <c r="L52" i="5"/>
  <c r="K52" i="5"/>
  <c r="J52" i="5"/>
  <c r="D52" i="5"/>
  <c r="L51" i="5"/>
  <c r="K51" i="5"/>
  <c r="J51" i="5"/>
  <c r="D51" i="5"/>
  <c r="L50" i="5"/>
  <c r="K50" i="5"/>
  <c r="J50" i="5"/>
  <c r="D50" i="5"/>
  <c r="L49" i="5"/>
  <c r="K49" i="5"/>
  <c r="J49" i="5"/>
  <c r="D49" i="5"/>
  <c r="O48" i="5"/>
  <c r="N48" i="5"/>
  <c r="M48" i="5"/>
  <c r="L48" i="5"/>
  <c r="K48" i="5"/>
  <c r="J48" i="5"/>
  <c r="D48" i="5"/>
  <c r="L47" i="5"/>
  <c r="K47" i="5"/>
  <c r="J47" i="5"/>
  <c r="D47" i="5"/>
  <c r="L46" i="5"/>
  <c r="K46" i="5"/>
  <c r="J46" i="5"/>
  <c r="D46" i="5"/>
  <c r="L45" i="5"/>
  <c r="K45" i="5"/>
  <c r="J45" i="5"/>
  <c r="D45" i="5"/>
  <c r="L44" i="5"/>
  <c r="K44" i="5"/>
  <c r="J44" i="5"/>
  <c r="D44" i="5"/>
  <c r="O43" i="5"/>
  <c r="M43" i="5"/>
  <c r="L43" i="5"/>
  <c r="K43" i="5"/>
  <c r="J43" i="5"/>
  <c r="D43" i="5"/>
  <c r="N43" i="5" s="1"/>
  <c r="L42" i="5"/>
  <c r="K42" i="5"/>
  <c r="J42" i="5"/>
  <c r="D42" i="5"/>
  <c r="L41" i="5"/>
  <c r="K41" i="5"/>
  <c r="J41" i="5"/>
  <c r="D41" i="5"/>
  <c r="L40" i="5"/>
  <c r="K40" i="5"/>
  <c r="J40" i="5"/>
  <c r="D40" i="5"/>
  <c r="L39" i="5"/>
  <c r="K39" i="5"/>
  <c r="J39" i="5"/>
  <c r="D39" i="5"/>
  <c r="O38" i="5"/>
  <c r="M38" i="5"/>
  <c r="L38" i="5"/>
  <c r="K38" i="5"/>
  <c r="J38" i="5"/>
  <c r="D38" i="5"/>
  <c r="N38" i="5" s="1"/>
  <c r="L37" i="5"/>
  <c r="K37" i="5"/>
  <c r="J37" i="5"/>
  <c r="D37" i="5"/>
  <c r="L36" i="5"/>
  <c r="K36" i="5"/>
  <c r="J36" i="5"/>
  <c r="D36" i="5"/>
  <c r="L35" i="5"/>
  <c r="K35" i="5"/>
  <c r="J35" i="5"/>
  <c r="D35" i="5"/>
  <c r="L34" i="5"/>
  <c r="K34" i="5"/>
  <c r="J34" i="5"/>
  <c r="D34" i="5"/>
  <c r="N33" i="5" s="1"/>
  <c r="O33" i="5"/>
  <c r="M33" i="5"/>
  <c r="L33" i="5"/>
  <c r="K33" i="5"/>
  <c r="J33" i="5"/>
  <c r="D33" i="5"/>
  <c r="L32" i="5"/>
  <c r="K32" i="5"/>
  <c r="J32" i="5"/>
  <c r="D32" i="5"/>
  <c r="L31" i="5"/>
  <c r="K31" i="5"/>
  <c r="J31" i="5"/>
  <c r="D31" i="5"/>
  <c r="L30" i="5"/>
  <c r="K30" i="5"/>
  <c r="J30" i="5"/>
  <c r="D30" i="5"/>
  <c r="L29" i="5"/>
  <c r="K29" i="5"/>
  <c r="J29" i="5"/>
  <c r="D29" i="5"/>
  <c r="O28" i="5"/>
  <c r="N28" i="5"/>
  <c r="M28" i="5"/>
  <c r="L28" i="5"/>
  <c r="K28" i="5"/>
  <c r="J28" i="5"/>
  <c r="D28" i="5"/>
  <c r="L27" i="5"/>
  <c r="K27" i="5"/>
  <c r="J27" i="5"/>
  <c r="D27" i="5"/>
  <c r="L26" i="5"/>
  <c r="K26" i="5"/>
  <c r="J26" i="5"/>
  <c r="D26" i="5"/>
  <c r="L25" i="5"/>
  <c r="K25" i="5"/>
  <c r="J25" i="5"/>
  <c r="D25" i="5"/>
  <c r="L24" i="5"/>
  <c r="K24" i="5"/>
  <c r="J24" i="5"/>
  <c r="D24" i="5"/>
  <c r="O23" i="5"/>
  <c r="M23" i="5"/>
  <c r="L23" i="5"/>
  <c r="K23" i="5"/>
  <c r="J23" i="5"/>
  <c r="D23" i="5"/>
  <c r="N23" i="5" s="1"/>
  <c r="L22" i="5"/>
  <c r="K22" i="5"/>
  <c r="J22" i="5"/>
  <c r="D22" i="5"/>
  <c r="L21" i="5"/>
  <c r="K21" i="5"/>
  <c r="J21" i="5"/>
  <c r="D21" i="5"/>
  <c r="L20" i="5"/>
  <c r="K20" i="5"/>
  <c r="J20" i="5"/>
  <c r="D20" i="5"/>
  <c r="L19" i="5"/>
  <c r="K19" i="5"/>
  <c r="J19" i="5"/>
  <c r="D19" i="5"/>
  <c r="O18" i="5"/>
  <c r="M18" i="5"/>
  <c r="L18" i="5"/>
  <c r="K18" i="5"/>
  <c r="J18" i="5"/>
  <c r="D18" i="5"/>
  <c r="N18" i="5" s="1"/>
  <c r="L17" i="5"/>
  <c r="K17" i="5"/>
  <c r="J17" i="5"/>
  <c r="D17" i="5"/>
  <c r="L16" i="5"/>
  <c r="K16" i="5"/>
  <c r="J16" i="5"/>
  <c r="D16" i="5"/>
  <c r="L15" i="5"/>
  <c r="K15" i="5"/>
  <c r="J15" i="5"/>
  <c r="D15" i="5"/>
  <c r="L14" i="5"/>
  <c r="K14" i="5"/>
  <c r="J14" i="5"/>
  <c r="D14" i="5"/>
  <c r="N13" i="5" s="1"/>
  <c r="O13" i="5"/>
  <c r="M13" i="5"/>
  <c r="L13" i="5"/>
  <c r="K13" i="5"/>
  <c r="J13" i="5"/>
  <c r="D13" i="5"/>
  <c r="L12" i="5"/>
  <c r="K12" i="5"/>
  <c r="J12" i="5"/>
  <c r="D12" i="5"/>
  <c r="L11" i="5"/>
  <c r="K11" i="5"/>
  <c r="J11" i="5"/>
  <c r="D11" i="5"/>
  <c r="L10" i="5"/>
  <c r="K10" i="5"/>
  <c r="J10" i="5"/>
  <c r="D10" i="5"/>
  <c r="L9" i="5"/>
  <c r="K9" i="5"/>
  <c r="J9" i="5"/>
  <c r="D9" i="5"/>
  <c r="O8" i="5"/>
  <c r="N8" i="5"/>
  <c r="M8" i="5"/>
  <c r="L8" i="5"/>
  <c r="K8" i="5"/>
  <c r="J8" i="5"/>
  <c r="D8" i="5"/>
  <c r="L7" i="5"/>
  <c r="K7" i="5"/>
  <c r="J7" i="5"/>
  <c r="D7" i="5"/>
  <c r="L6" i="5"/>
  <c r="K6" i="5"/>
  <c r="J6" i="5"/>
  <c r="D6" i="5"/>
  <c r="L5" i="5"/>
  <c r="K5" i="5"/>
  <c r="J5" i="5"/>
  <c r="D5" i="5"/>
  <c r="L4" i="5"/>
  <c r="K4" i="5"/>
  <c r="J4" i="5"/>
  <c r="D4" i="5"/>
  <c r="O3" i="5"/>
  <c r="M3" i="5"/>
  <c r="L3" i="5"/>
  <c r="K3" i="5"/>
  <c r="J3" i="5"/>
  <c r="D3" i="5"/>
  <c r="N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<sst xmlns="http://schemas.openxmlformats.org/spreadsheetml/2006/main" count="11459" uniqueCount="819">
  <si>
    <t>EL PEJO</t>
  </si>
  <si>
    <t>LA MAGUELLERA</t>
  </si>
  <si>
    <t>RANCHO ALVAREZ</t>
  </si>
  <si>
    <t>CANINDO</t>
  </si>
  <si>
    <t>CIRILLO</t>
  </si>
  <si>
    <t>PANTANO MEDIO</t>
  </si>
  <si>
    <t>PANTABAJO</t>
  </si>
  <si>
    <t>CHAVA MARTINEZ</t>
  </si>
  <si>
    <t>TIERRA DE POLLO</t>
  </si>
  <si>
    <t>TIERRA DE GARCIA</t>
  </si>
  <si>
    <t>LA GALERA</t>
  </si>
  <si>
    <t>GALERA 2</t>
  </si>
  <si>
    <t>GALERA 3</t>
  </si>
  <si>
    <t>EL TRIANGULO</t>
  </si>
  <si>
    <t>LA CRUZ</t>
  </si>
  <si>
    <t>LUIS ROMERO</t>
  </si>
  <si>
    <t>MAURILIO 1</t>
  </si>
  <si>
    <t>HUGO NAVARRO</t>
  </si>
  <si>
    <t>LA ESTANCIA</t>
  </si>
  <si>
    <t>DRISCOLLS</t>
  </si>
  <si>
    <t>GERARDO ALFARO</t>
  </si>
  <si>
    <t>JAVIER ZAVALA</t>
  </si>
  <si>
    <t>PARCELA 26</t>
  </si>
  <si>
    <t>PARCELA 27</t>
  </si>
  <si>
    <t>PARCELA 28</t>
  </si>
  <si>
    <t>VIVERO DE GUADALUPE</t>
  </si>
  <si>
    <t>FRANCISCO GARCIA RIVERA</t>
  </si>
  <si>
    <t>J REYES HERNANDEZ ZAVALA</t>
  </si>
  <si>
    <t>VIVERO PLANTA MADRE</t>
  </si>
  <si>
    <t>ALBERTO HAZA</t>
  </si>
  <si>
    <t>PARCELA 34</t>
  </si>
  <si>
    <t>EL MIRADOR</t>
  </si>
  <si>
    <t>CHELIS FARM</t>
  </si>
  <si>
    <t>EL AEROPUERTO</t>
  </si>
  <si>
    <t>PITUFO</t>
  </si>
  <si>
    <t>EL CUISILLO</t>
  </si>
  <si>
    <t>RANCHO AVENTURA</t>
  </si>
  <si>
    <t>JAVIER CERVANTES</t>
  </si>
  <si>
    <t>JORGE LUIS REVELES C.</t>
  </si>
  <si>
    <t>RANCHO MENDEZ</t>
  </si>
  <si>
    <t>EL SAUCE</t>
  </si>
  <si>
    <t>LAS LAJAS</t>
  </si>
  <si>
    <t>EL TREBOL</t>
  </si>
  <si>
    <t>EL OLIMBO</t>
  </si>
  <si>
    <t>SANTA LUCIA</t>
  </si>
  <si>
    <t>PARCELA 57</t>
  </si>
  <si>
    <t>MESHU</t>
  </si>
  <si>
    <t>LAS TAPONAS</t>
  </si>
  <si>
    <t>EL PUENTE</t>
  </si>
  <si>
    <t>LA ARENA</t>
  </si>
  <si>
    <t>LA CERCA</t>
  </si>
  <si>
    <t>PARCELA 63</t>
  </si>
  <si>
    <t>PARCELA 64</t>
  </si>
  <si>
    <t>PARCELA 65</t>
  </si>
  <si>
    <t>PARCELA 66</t>
  </si>
  <si>
    <t>HERMANOS RUBIO</t>
  </si>
  <si>
    <t>LOS ALACRANES</t>
  </si>
  <si>
    <t>ENCINILLAS</t>
  </si>
  <si>
    <t>SAN LORENZO</t>
  </si>
  <si>
    <t>RANCHO JUAREZ</t>
  </si>
  <si>
    <t>LA LOMA</t>
  </si>
  <si>
    <t>EL CEREZO</t>
  </si>
  <si>
    <t>ANTONIO ACAMBARO</t>
  </si>
  <si>
    <t>APEO</t>
  </si>
  <si>
    <t>CHULAFARM</t>
  </si>
  <si>
    <t>LA NOPALERA</t>
  </si>
  <si>
    <t>SIGLO XX1</t>
  </si>
  <si>
    <t>PURISIMA COVARUBIAS</t>
  </si>
  <si>
    <t>EL BAJIO</t>
  </si>
  <si>
    <t>PURISIMA COVARUBIAS 2</t>
  </si>
  <si>
    <t>PURISIMA DE COVARUBIAS 3</t>
  </si>
  <si>
    <t>CELESTINA HONESTO</t>
  </si>
  <si>
    <t>SALVADOR YEPEZ CRUZ</t>
  </si>
  <si>
    <t>CAMINO A LA SIERRITA</t>
  </si>
  <si>
    <t>EL POZO</t>
  </si>
  <si>
    <t>EL CERRO</t>
  </si>
  <si>
    <t>MIGUEL AZA MARTINEZ</t>
  </si>
  <si>
    <t>EL MONTE</t>
  </si>
  <si>
    <t>EL CANAL</t>
  </si>
  <si>
    <t>JUAREZ</t>
  </si>
  <si>
    <t>EL JARAL</t>
  </si>
  <si>
    <t>EL ATORON</t>
  </si>
  <si>
    <t>PRICILIANO MONCADA G</t>
  </si>
  <si>
    <t>SANTA MARIA</t>
  </si>
  <si>
    <t>LA CALERA</t>
  </si>
  <si>
    <t>JOSE FRANCISCO SOTO</t>
  </si>
  <si>
    <t>LA CALERA 2</t>
  </si>
  <si>
    <t>LA CALERA 3</t>
  </si>
  <si>
    <t>MOLINO DE SANTA ANA</t>
  </si>
  <si>
    <t>SAN VICENTILLO</t>
  </si>
  <si>
    <t>MOLINO DE SANTA ANA 2</t>
  </si>
  <si>
    <t>LA PRESA</t>
  </si>
  <si>
    <t>LA PRESA 2</t>
  </si>
  <si>
    <t>MOLINO LOS AGUACATES</t>
  </si>
  <si>
    <t>EL SILO</t>
  </si>
  <si>
    <t>ALDAMA</t>
  </si>
  <si>
    <t>MERARI</t>
  </si>
  <si>
    <t>SI</t>
  </si>
  <si>
    <t>Y</t>
  </si>
  <si>
    <t>X</t>
  </si>
  <si>
    <t>UNIDAD DE MUESTREO</t>
  </si>
  <si>
    <t>NUMERO DE PARCELA</t>
  </si>
  <si>
    <t>NOMBRE DE PARCELA</t>
  </si>
  <si>
    <t>VARIEDAD</t>
  </si>
  <si>
    <t>TIPO DE PLANTACION</t>
  </si>
  <si>
    <t xml:space="preserve">INCIDENCIA </t>
  </si>
  <si>
    <t>SEVERIDAD</t>
  </si>
  <si>
    <t>MORTALIDAD</t>
  </si>
  <si>
    <t>VALLE DE ZAMORA</t>
  </si>
  <si>
    <t>FORTUNA</t>
  </si>
  <si>
    <t>COMERCIAL</t>
  </si>
  <si>
    <t>SENSATION</t>
  </si>
  <si>
    <t>ADELANTO</t>
  </si>
  <si>
    <t>GIDDINGS</t>
  </si>
  <si>
    <t>FRONTERA</t>
  </si>
  <si>
    <t>CODIGO</t>
  </si>
  <si>
    <t>SAYULA</t>
  </si>
  <si>
    <t>SANTA MARIA &amp; FRONTERA</t>
  </si>
  <si>
    <t>NO DOCUMENTADO</t>
  </si>
  <si>
    <t>VICTOR</t>
  </si>
  <si>
    <t>VERONICA</t>
  </si>
  <si>
    <t>CAMINO</t>
  </si>
  <si>
    <t>NIÑA</t>
  </si>
  <si>
    <t>CODIGO 1</t>
  </si>
  <si>
    <t>CODIGO 2</t>
  </si>
  <si>
    <t>FESTIVAL</t>
  </si>
  <si>
    <t>CAMINO REAL</t>
  </si>
  <si>
    <t>TANGANCICUARO</t>
  </si>
  <si>
    <t>WARRIOR</t>
  </si>
  <si>
    <t>MARAVATIO</t>
  </si>
  <si>
    <t>ROYAL</t>
  </si>
  <si>
    <t>SAN ANDREAS</t>
  </si>
  <si>
    <t>CHILENAS</t>
  </si>
  <si>
    <t>IRAPUATO</t>
  </si>
  <si>
    <t>ALBION</t>
  </si>
  <si>
    <t>MONTERREY</t>
  </si>
  <si>
    <t>CABRILLO</t>
  </si>
  <si>
    <t>VIVERO</t>
  </si>
  <si>
    <t>PALMERITAS</t>
  </si>
  <si>
    <t>NUMERO</t>
  </si>
  <si>
    <t>FRECUENCIA</t>
  </si>
  <si>
    <t>13.12.22</t>
  </si>
  <si>
    <t>3. AGOSTO</t>
  </si>
  <si>
    <t>RAIZ DESNUDA</t>
  </si>
  <si>
    <t>PRIMER AÑO</t>
  </si>
  <si>
    <t>VIVEX</t>
  </si>
  <si>
    <t>30 DDP</t>
  </si>
  <si>
    <t>GOTEO</t>
  </si>
  <si>
    <t>RIEGO</t>
  </si>
  <si>
    <t>Fusarium</t>
  </si>
  <si>
    <t>PLOCLORAZ, CAPTAM, RIDOMIL</t>
  </si>
  <si>
    <t>ARCILLA</t>
  </si>
  <si>
    <t>7. AGOSTO</t>
  </si>
  <si>
    <t>CEPELLON</t>
  </si>
  <si>
    <t>PLANASA</t>
  </si>
  <si>
    <t>Neopestalotiopsis</t>
  </si>
  <si>
    <t>RIDOMIL, ROVRAL</t>
  </si>
  <si>
    <t>NO</t>
  </si>
  <si>
    <t>30-40%</t>
  </si>
  <si>
    <t>2. AGOSTO</t>
  </si>
  <si>
    <t>METALAXIL, TIOFANATO, TIABENDAZOL, VIGOLD, PROCLORAZ, ROVRAL</t>
  </si>
  <si>
    <t>60000PL</t>
  </si>
  <si>
    <t>20. JULIO</t>
  </si>
  <si>
    <t>DIAZINON</t>
  </si>
  <si>
    <t>14.12.22</t>
  </si>
  <si>
    <t>5. JULIO</t>
  </si>
  <si>
    <t>GREEN SAM</t>
  </si>
  <si>
    <t>DAP</t>
  </si>
  <si>
    <t>16. AGOSTO</t>
  </si>
  <si>
    <t>LATINBERRY</t>
  </si>
  <si>
    <t>45 DDP</t>
  </si>
  <si>
    <t>SERIFEL, STARTALL</t>
  </si>
  <si>
    <t xml:space="preserve">ROVRAL,STARTELL, CONFIDOR, MAXTROBIN, CAPTAN, </t>
  </si>
  <si>
    <t>Fusarium, Neopestalotiopsis, Phytophtora, cenicilla</t>
  </si>
  <si>
    <t>RIDOMIL, AZOXISTROBIN, ROVRAL, CAPTAN</t>
  </si>
  <si>
    <t>RAIZ DESNUDA, CEPELLON</t>
  </si>
  <si>
    <t>MAILAND</t>
  </si>
  <si>
    <t xml:space="preserve">Fusarium, Neopestalotiopsis </t>
  </si>
  <si>
    <t>CAPTAN, SPORTAK</t>
  </si>
  <si>
    <t xml:space="preserve">SPORTAK </t>
  </si>
  <si>
    <t>12.01.23</t>
  </si>
  <si>
    <t>10. AGOSTO</t>
  </si>
  <si>
    <t>SPORTAK, ALIETE, RIDOMIL, ROVRAL</t>
  </si>
  <si>
    <t>28. AGOSTO</t>
  </si>
  <si>
    <t>7 DDP</t>
  </si>
  <si>
    <t>ASPERSION</t>
  </si>
  <si>
    <t>CAPTAN, SWITCH, ENRAIZADOR</t>
  </si>
  <si>
    <t>CAPTAN, UNIFORM, SWITCH</t>
  </si>
  <si>
    <t>20.01.23</t>
  </si>
  <si>
    <t>RODADO</t>
  </si>
  <si>
    <t>DIRIGIDO</t>
  </si>
  <si>
    <t>ZAMORA</t>
  </si>
  <si>
    <t>23.01.23</t>
  </si>
  <si>
    <t>Neopestalotipsis</t>
  </si>
  <si>
    <t>TECTO, RAIAZL, ROCKFACTOR</t>
  </si>
  <si>
    <t>15. AGOSTO</t>
  </si>
  <si>
    <t>21 DDP</t>
  </si>
  <si>
    <t>BETECRASY</t>
  </si>
  <si>
    <t>15 DDP</t>
  </si>
  <si>
    <t>Cenicilla</t>
  </si>
  <si>
    <t>AMISTARGOLD, IMIDACLOPRID</t>
  </si>
  <si>
    <t>27.01.23</t>
  </si>
  <si>
    <t>17. AGOSTO</t>
  </si>
  <si>
    <t>PLANASA, TEAMFRESH</t>
  </si>
  <si>
    <t>BIOGEL</t>
  </si>
  <si>
    <t>10000PL</t>
  </si>
  <si>
    <t>15. SEPTIEMRE</t>
  </si>
  <si>
    <t>PINTAS, CODIGO</t>
  </si>
  <si>
    <t>ENERO</t>
  </si>
  <si>
    <t>SEGUNDO AÑO</t>
  </si>
  <si>
    <t>UNIFORM</t>
  </si>
  <si>
    <t>SCALA, UNIFORM, KILOTON</t>
  </si>
  <si>
    <t>07.02.23</t>
  </si>
  <si>
    <t>8. AGOSTO</t>
  </si>
  <si>
    <t>TEAM FRESH</t>
  </si>
  <si>
    <t>Neopestalotiopsis, Fusarium, Rhizoctonia</t>
  </si>
  <si>
    <t>UNKNOW</t>
  </si>
  <si>
    <t>UNIFORM, RIDOMIL GOLD</t>
  </si>
  <si>
    <t>2000PL</t>
  </si>
  <si>
    <t>40-50%</t>
  </si>
  <si>
    <t>14. AGOSTO</t>
  </si>
  <si>
    <t>PRIMER AÑO, SEGUNDO AÑO</t>
  </si>
  <si>
    <t>PROPIA</t>
  </si>
  <si>
    <t xml:space="preserve">Neopestalotiopsis </t>
  </si>
  <si>
    <t>BUSAN 30 W, INTERBUSAN, CLORPIRIFOS</t>
  </si>
  <si>
    <t>JITOMATE, CEBOLLA</t>
  </si>
  <si>
    <t xml:space="preserve">SI </t>
  </si>
  <si>
    <t>12 DDP</t>
  </si>
  <si>
    <t>Botrytis</t>
  </si>
  <si>
    <t>ALLIET, BANK</t>
  </si>
  <si>
    <t>TRIGO</t>
  </si>
  <si>
    <t>7. OCTUBRE</t>
  </si>
  <si>
    <t>SPORTAK, SWITCH, TECTO, CLORO</t>
  </si>
  <si>
    <t>10-20%</t>
  </si>
  <si>
    <t>FONTERA, BRILIANS</t>
  </si>
  <si>
    <t>Fusarium, Neopestalotiopsis</t>
  </si>
  <si>
    <t>DESINFECION SUELO, INTERBUSAN</t>
  </si>
  <si>
    <t>TECTO 60, ALIETE, CABRIO, TORAT</t>
  </si>
  <si>
    <t>23.AGOSTO</t>
  </si>
  <si>
    <t xml:space="preserve">Botrytis, Macrophomina, Neopestalotiopsis, Colletotrichum, Alternaria, Rhizoctonia, </t>
  </si>
  <si>
    <t>INMERSION, DIAZINON, BIOSIME, TECTO, CERCOBIN</t>
  </si>
  <si>
    <t>STA MARIA, PINTA</t>
  </si>
  <si>
    <t>NATUAL BERRIE</t>
  </si>
  <si>
    <t>INMERSION, SPORTAK, AMINOACIDOS, IMIDACLOPRID</t>
  </si>
  <si>
    <t>CABRIO, MERIDON, CAPTAN, MANZATE, SWITCH</t>
  </si>
  <si>
    <t>CALABAZA</t>
  </si>
  <si>
    <t>16.02.23</t>
  </si>
  <si>
    <t>M1</t>
  </si>
  <si>
    <t>M2</t>
  </si>
  <si>
    <t>ABRIL-MAYO</t>
  </si>
  <si>
    <t>CEPELLON, RAIZ DESNUDA</t>
  </si>
  <si>
    <t>NORCAL, PLANASA, GIGANTE</t>
  </si>
  <si>
    <t>Neopestalotiopsis, Fusarium, Rhizoctonia, Phytophtora</t>
  </si>
  <si>
    <t>TECTO 60, TOKAT, UNIFORM, AMISTAR, CABRIO, SWITCH, ROVRAL, CAPTAN</t>
  </si>
  <si>
    <t>M3</t>
  </si>
  <si>
    <t>FRONTERA, SAN ANDREAS</t>
  </si>
  <si>
    <t>M4</t>
  </si>
  <si>
    <t>MAYO</t>
  </si>
  <si>
    <t>SAYULITA, SAN ANDREAS</t>
  </si>
  <si>
    <t>M5</t>
  </si>
  <si>
    <t>7. MAYO</t>
  </si>
  <si>
    <t>PARTICULAR</t>
  </si>
  <si>
    <t>ROOTEX, TECTO 60</t>
  </si>
  <si>
    <t>ROOTEX</t>
  </si>
  <si>
    <t>M6</t>
  </si>
  <si>
    <t xml:space="preserve">ABRIL </t>
  </si>
  <si>
    <t>USA</t>
  </si>
  <si>
    <t>MAIZ</t>
  </si>
  <si>
    <t>M7</t>
  </si>
  <si>
    <t>17.02.23</t>
  </si>
  <si>
    <t>T1</t>
  </si>
  <si>
    <t>ABRIL</t>
  </si>
  <si>
    <t>SEPTIEMBRE</t>
  </si>
  <si>
    <t>TARTALL, ALLIETE, PREVICUR, DIFECONZAOL, ROVRAL, CAPTAN, TACHIGAREN, TRICHODERMA,GLUMUS</t>
  </si>
  <si>
    <t>T2A</t>
  </si>
  <si>
    <t>NORTE CALIFORNIA</t>
  </si>
  <si>
    <t>AZUFRE, TERRAZAN, ABAMECTINA</t>
  </si>
  <si>
    <t>T2B (T3)</t>
  </si>
  <si>
    <t>01.03.23</t>
  </si>
  <si>
    <t>T4</t>
  </si>
  <si>
    <t>5. MAYO. 2022</t>
  </si>
  <si>
    <t>FRONTERA, ROYAL, SAN ANDREAS, CHEESECAKE</t>
  </si>
  <si>
    <t>CALIFORNIA</t>
  </si>
  <si>
    <t>NO TUNEL</t>
  </si>
  <si>
    <t>INTERBUSAN</t>
  </si>
  <si>
    <t>T5</t>
  </si>
  <si>
    <t>AGOSTO</t>
  </si>
  <si>
    <t>T6</t>
  </si>
  <si>
    <t>07. FEBRERO. 2023</t>
  </si>
  <si>
    <t>DESCONOCIDO</t>
  </si>
  <si>
    <t xml:space="preserve">ALLIETE, ROVRAL, TECTO 60, TACHIGAREN, AMINEMS, </t>
  </si>
  <si>
    <t>FRESA</t>
  </si>
  <si>
    <t>T7</t>
  </si>
  <si>
    <t>04. FEBRERO. 2023</t>
  </si>
  <si>
    <t>SAN ANDREAS, CAMINO REAL, FRONTERA</t>
  </si>
  <si>
    <t>CHIHUAHUA</t>
  </si>
  <si>
    <t>TECTO 60, ATARTALL, ALLIETE, EMINEMS</t>
  </si>
  <si>
    <t>T8</t>
  </si>
  <si>
    <t>FEBRERO</t>
  </si>
  <si>
    <t>USA, CHILE</t>
  </si>
  <si>
    <t>OCTUBRE</t>
  </si>
  <si>
    <t>Neopestalotiopsis, Fusarium</t>
  </si>
  <si>
    <t>SI, INMERSION</t>
  </si>
  <si>
    <t>SWITCH, MONDES, NARIA TOP, PYRACLOSTROBIN, CAPTAM, DIFENOCONAZOL, METALAXYL</t>
  </si>
  <si>
    <t>UNIFORM, IMIDACLOPRID, RAIZAL</t>
  </si>
  <si>
    <t>T9</t>
  </si>
  <si>
    <t>MARZO</t>
  </si>
  <si>
    <t>SAN ANDREAS, FRONTERA</t>
  </si>
  <si>
    <t>SPORTAK, TECTO 60, ALLIETE, CAPTAN</t>
  </si>
  <si>
    <t>T10</t>
  </si>
  <si>
    <t>AGOSTO. 2022</t>
  </si>
  <si>
    <t>SAN ANDREAS, FRONTERA, CHEESE CAKE</t>
  </si>
  <si>
    <t>NOVIEMBRE</t>
  </si>
  <si>
    <t>CAPTAN, TECTO 60</t>
  </si>
  <si>
    <t>08.03.23</t>
  </si>
  <si>
    <t>F4</t>
  </si>
  <si>
    <t>7. JULIO. 2022</t>
  </si>
  <si>
    <t>07. NOVIEMBRE. 2022</t>
  </si>
  <si>
    <t xml:space="preserve">Xhantomonas, Colapsos, </t>
  </si>
  <si>
    <t>TECTO 500, UNIFORM</t>
  </si>
  <si>
    <t>AMISTAR GOLS, ALLIETE, EMINEMS, ROVRAL, CAPTAN</t>
  </si>
  <si>
    <t>MAIZ TRIGO</t>
  </si>
  <si>
    <t>01.03.24</t>
  </si>
  <si>
    <t>08.03.24</t>
  </si>
  <si>
    <t>F3</t>
  </si>
  <si>
    <t>RAIZ DESNUDA, PLANTA MADRE</t>
  </si>
  <si>
    <t>CHILE</t>
  </si>
  <si>
    <t>INTERBUSAN, CAPTAN</t>
  </si>
  <si>
    <t>TECTO 500, ROVRAL, CAPTAN, AMINEMS</t>
  </si>
  <si>
    <t>01.03.25</t>
  </si>
  <si>
    <t>F2</t>
  </si>
  <si>
    <t>RAIZ DESNUDA, SEMIDIRECTA</t>
  </si>
  <si>
    <t>UNIFORM, TECTO 500</t>
  </si>
  <si>
    <t>CAPTAN, ROVRAL, TECTO 60, COBRE, TACHIGAREN, TRICHODERMA</t>
  </si>
  <si>
    <t>08.03.25</t>
  </si>
  <si>
    <t>01.03.26</t>
  </si>
  <si>
    <t>F1</t>
  </si>
  <si>
    <t>4. ABRIL. 2022</t>
  </si>
  <si>
    <t>PLANASSA</t>
  </si>
  <si>
    <t>04. ABRIL. 2022</t>
  </si>
  <si>
    <t>RADIFAR, ROOTEX, TECTO 60, ZINC, LIXIVIADO, VIVA</t>
  </si>
  <si>
    <t>PROCLORAZ, AMINEMS, ROVRAL, CAPTAN, MERIVON, TECTO 60, AMISTAR GOLD</t>
  </si>
  <si>
    <t>HABAS Y MAIZ</t>
  </si>
  <si>
    <t>09.03.23</t>
  </si>
  <si>
    <t>V1</t>
  </si>
  <si>
    <t>9. FEBRERO. 2023</t>
  </si>
  <si>
    <t>CESAVEG</t>
  </si>
  <si>
    <t>RAIZAL</t>
  </si>
  <si>
    <t>V3</t>
  </si>
  <si>
    <t>16. DICIEMBRE. 2022</t>
  </si>
  <si>
    <t>TRICHODERMA</t>
  </si>
  <si>
    <t>V4</t>
  </si>
  <si>
    <t>20. DICIEMBRE. 2022</t>
  </si>
  <si>
    <t>TEXAS</t>
  </si>
  <si>
    <t>V5</t>
  </si>
  <si>
    <t>26. ENERO. 2023</t>
  </si>
  <si>
    <t xml:space="preserve"> NO TUNEL</t>
  </si>
  <si>
    <t>V6</t>
  </si>
  <si>
    <t>15. ENERO. 2023</t>
  </si>
  <si>
    <t>TRICHODERMA, BACILLUS</t>
  </si>
  <si>
    <t>V7</t>
  </si>
  <si>
    <t>FEBRERO. 2023</t>
  </si>
  <si>
    <t>FRONTERA, CAMINO REAL</t>
  </si>
  <si>
    <t>DOLORES</t>
  </si>
  <si>
    <t>VIGOLD</t>
  </si>
  <si>
    <t>V8</t>
  </si>
  <si>
    <t>V2</t>
  </si>
  <si>
    <t>26. DICIEMBRE. 2022</t>
  </si>
  <si>
    <t>V9</t>
  </si>
  <si>
    <t>12. ENERO. 2023</t>
  </si>
  <si>
    <t>10.03.23</t>
  </si>
  <si>
    <t>V10</t>
  </si>
  <si>
    <t>15. DICIEMBRE. 2022</t>
  </si>
  <si>
    <t>VICTOR, FRONTERA</t>
  </si>
  <si>
    <t>CHIHUAHUA, USA</t>
  </si>
  <si>
    <t>Fusarium, Botrytis, Cylindrocarpon, pythium</t>
  </si>
  <si>
    <t>PROCLORAZ, PREVICOR</t>
  </si>
  <si>
    <t>PROCLORAZ, PREVICOR, TRICHODERMA</t>
  </si>
  <si>
    <t>V11</t>
  </si>
  <si>
    <t>21. ENERO. 2023</t>
  </si>
  <si>
    <t>V12</t>
  </si>
  <si>
    <t>21. DICIEMBRE. 2022</t>
  </si>
  <si>
    <t>V13</t>
  </si>
  <si>
    <t>V14</t>
  </si>
  <si>
    <t>01. ENERO. 2022</t>
  </si>
  <si>
    <t>MONTERREY, FRONTERA, SAN ANDREAS</t>
  </si>
  <si>
    <t>TECTO 60, TRICHODERMA</t>
  </si>
  <si>
    <t>V15</t>
  </si>
  <si>
    <t>13.03.23</t>
  </si>
  <si>
    <t>V16</t>
  </si>
  <si>
    <t xml:space="preserve">PROCLORAZ </t>
  </si>
  <si>
    <t>V17</t>
  </si>
  <si>
    <t>ENERO. 2023</t>
  </si>
  <si>
    <t xml:space="preserve">RAIZ DESNUDA </t>
  </si>
  <si>
    <t>ZACATECAS</t>
  </si>
  <si>
    <t>LOCAL</t>
  </si>
  <si>
    <t>V18</t>
  </si>
  <si>
    <t>10. ENERO. 2023</t>
  </si>
  <si>
    <t xml:space="preserve">TRICHODERMA </t>
  </si>
  <si>
    <t>V19</t>
  </si>
  <si>
    <t>28. ENERO. 2023</t>
  </si>
  <si>
    <t>PROCLORAZ, METALAXIL</t>
  </si>
  <si>
    <t>TOMATE</t>
  </si>
  <si>
    <t>V20</t>
  </si>
  <si>
    <t>9. ENERO. 2023</t>
  </si>
  <si>
    <t>FULL GROW, SALES CUATERNARIAS</t>
  </si>
  <si>
    <t>V21</t>
  </si>
  <si>
    <t>10. DICIEMBRE. 2023</t>
  </si>
  <si>
    <t>FULL GROWN, TRICHODERMA</t>
  </si>
  <si>
    <t>SORGO</t>
  </si>
  <si>
    <t>V22</t>
  </si>
  <si>
    <t>V23</t>
  </si>
  <si>
    <t>V24</t>
  </si>
  <si>
    <t>20. ENERO. 2023</t>
  </si>
  <si>
    <t>V25</t>
  </si>
  <si>
    <t>V26</t>
  </si>
  <si>
    <t>14. ENERO. 2023</t>
  </si>
  <si>
    <t>SPORTAK, TRICHODERMA</t>
  </si>
  <si>
    <t>V27</t>
  </si>
  <si>
    <t>EJOTE</t>
  </si>
  <si>
    <t>V28</t>
  </si>
  <si>
    <t>11. ENERO. 2023</t>
  </si>
  <si>
    <t>LOCAL, CHIHUAHUA</t>
  </si>
  <si>
    <t>PROCLORAZ, PREVICUR, TRICHODERMA</t>
  </si>
  <si>
    <t>V29</t>
  </si>
  <si>
    <t>V30</t>
  </si>
  <si>
    <t>07. ENERO. 2023</t>
  </si>
  <si>
    <t>V31</t>
  </si>
  <si>
    <t xml:space="preserve">07. FEBRERO. 2023 </t>
  </si>
  <si>
    <t xml:space="preserve">NO </t>
  </si>
  <si>
    <t>V32</t>
  </si>
  <si>
    <t>14. FEBRERO. 2023</t>
  </si>
  <si>
    <t>CILANTRO</t>
  </si>
  <si>
    <t>V33</t>
  </si>
  <si>
    <t>FECHA DE MUESTREO</t>
  </si>
  <si>
    <t>CODIGO HOJA</t>
  </si>
  <si>
    <t>SUPERFICIE</t>
  </si>
  <si>
    <t>DENSIDAD</t>
  </si>
  <si>
    <t>FECHA DE SIEMBRA</t>
  </si>
  <si>
    <t>MODALIDAD</t>
  </si>
  <si>
    <t>TEMPORADA</t>
  </si>
  <si>
    <t>ORIGEN DE LA PLANTA</t>
  </si>
  <si>
    <t>PUESTA DE TUNEL</t>
  </si>
  <si>
    <t>TIPO DE RIEGO</t>
  </si>
  <si>
    <t>FERTILIZACION</t>
  </si>
  <si>
    <t>ASESORIA TECNICA</t>
  </si>
  <si>
    <t>EMPRESA</t>
  </si>
  <si>
    <t>ANTECEDENTES FITOPAT</t>
  </si>
  <si>
    <t>TRATAMIENTO PRE</t>
  </si>
  <si>
    <t>productos utilizados PRE</t>
  </si>
  <si>
    <t>TRATAMIENTO POST</t>
  </si>
  <si>
    <t>productos utilizados POST</t>
  </si>
  <si>
    <t>fungus</t>
  </si>
  <si>
    <t>Duponchelia</t>
  </si>
  <si>
    <t>Replante</t>
  </si>
  <si>
    <t>Perdida</t>
  </si>
  <si>
    <t>COSTOS EN P&amp;E</t>
  </si>
  <si>
    <t>CULTIVO ANTERIOR</t>
  </si>
  <si>
    <t>TEXTURA</t>
  </si>
  <si>
    <t>HUMEDAD AL MUESTREO (1-5)</t>
  </si>
  <si>
    <t xml:space="preserve">AISLAMIENTOS DE LAS PARCELAS PROCESADAS </t>
  </si>
  <si>
    <t>NUMERO REAL</t>
  </si>
  <si>
    <t>ZONA DE MUESTREO</t>
  </si>
  <si>
    <t>PLANTA</t>
  </si>
  <si>
    <t>ORGANO</t>
  </si>
  <si>
    <t>MICROORGANISMO IDENTIFICADO</t>
  </si>
  <si>
    <t>NUMERO DE CAJA</t>
  </si>
  <si>
    <t>Num. Parcela</t>
  </si>
  <si>
    <t>Nom. Parcela</t>
  </si>
  <si>
    <t>Variedad</t>
  </si>
  <si>
    <t>Organo</t>
  </si>
  <si>
    <t>Cylindrocarpon</t>
  </si>
  <si>
    <t>Macrophomina</t>
  </si>
  <si>
    <t>Rhizoctonia</t>
  </si>
  <si>
    <t>Omicetes</t>
  </si>
  <si>
    <t>Alternaria</t>
  </si>
  <si>
    <t>CORONA</t>
  </si>
  <si>
    <t>RAIZ</t>
  </si>
  <si>
    <t>Fusarium (coloracion blanca)</t>
  </si>
  <si>
    <t>Fusarium (coloracion amarilla)</t>
  </si>
  <si>
    <t>Fusarium (coloracion rosa)</t>
  </si>
  <si>
    <t>HOJA</t>
  </si>
  <si>
    <t>Botrytis (coloracion gris)</t>
  </si>
  <si>
    <t>FRUTO</t>
  </si>
  <si>
    <t>Fusarium (coloracion naranja)</t>
  </si>
  <si>
    <t>NO ID</t>
  </si>
  <si>
    <t>PECIOLO</t>
  </si>
  <si>
    <t>Botritis (coloracion blanca)</t>
  </si>
  <si>
    <t>RIZOPHUS</t>
  </si>
  <si>
    <t>ASPERGILLUS</t>
  </si>
  <si>
    <t>Trichoderma</t>
  </si>
  <si>
    <t>FALTANTES</t>
  </si>
  <si>
    <t>LA GALERA 1</t>
  </si>
  <si>
    <t>Botrytis (coloracion blanca)</t>
  </si>
  <si>
    <t>PARCELA, VARIEDAD</t>
  </si>
  <si>
    <t>PUNTO</t>
  </si>
  <si>
    <t>INCI</t>
  </si>
  <si>
    <t>SEV</t>
  </si>
  <si>
    <t>MORT</t>
  </si>
  <si>
    <t>inc</t>
  </si>
  <si>
    <t>sev</t>
  </si>
  <si>
    <t>mortalidad</t>
  </si>
  <si>
    <t>1 SENSATION</t>
  </si>
  <si>
    <t>1 VICTOR</t>
  </si>
  <si>
    <t>1 SANTA MARIA</t>
  </si>
  <si>
    <t>1 WARRIOR</t>
  </si>
  <si>
    <t>2 SAYULA</t>
  </si>
  <si>
    <t>3 SAYULA</t>
  </si>
  <si>
    <t>4 NIÑA</t>
  </si>
  <si>
    <t>4 SAYULA</t>
  </si>
  <si>
    <t>4 SANTA MARIA</t>
  </si>
  <si>
    <t>5 SENSATION</t>
  </si>
  <si>
    <t>5 SAYULA</t>
  </si>
  <si>
    <t>6 FORTUNA</t>
  </si>
  <si>
    <t>7 SENSATION</t>
  </si>
  <si>
    <t>8 FORTUNA</t>
  </si>
  <si>
    <t>8 ADELANTO</t>
  </si>
  <si>
    <t>9 GIDDINGS</t>
  </si>
  <si>
    <t>9 SANTA MARIA</t>
  </si>
  <si>
    <t>10 FORTUNA</t>
  </si>
  <si>
    <t>11 SENSATION</t>
  </si>
  <si>
    <t>12 SENSATION</t>
  </si>
  <si>
    <t>13 FRONTERA</t>
  </si>
  <si>
    <t>14 SENSATION</t>
  </si>
  <si>
    <t>14 CODIGO</t>
  </si>
  <si>
    <t>15 FRONTERA</t>
  </si>
  <si>
    <t>15 SAYULITA</t>
  </si>
  <si>
    <t>16 SANTA MARIA &amp; FRONTERA</t>
  </si>
  <si>
    <t>16 SAYULITA</t>
  </si>
  <si>
    <t>17 Maurilio</t>
  </si>
  <si>
    <t>21 Santa Maria</t>
  </si>
  <si>
    <t>21 Victor</t>
  </si>
  <si>
    <t>22 Veronica, Itzel y Maria Isabel</t>
  </si>
  <si>
    <t>23 Santa Maria</t>
  </si>
  <si>
    <t>24 Fortuna</t>
  </si>
  <si>
    <t>35.1 Camino</t>
  </si>
  <si>
    <t>35.2 Frontera</t>
  </si>
  <si>
    <t>36.1 Sta. María</t>
  </si>
  <si>
    <t>36.2 Niña</t>
  </si>
  <si>
    <t>36.3 Código</t>
  </si>
  <si>
    <t>37.1 Victor</t>
  </si>
  <si>
    <t>37.2 Código 1</t>
  </si>
  <si>
    <t>37.3 Código 2</t>
  </si>
  <si>
    <t>38.1 Sayula</t>
  </si>
  <si>
    <t>38.2 Victor</t>
  </si>
  <si>
    <t>38.3 Frontera</t>
  </si>
  <si>
    <t>39 Código</t>
  </si>
  <si>
    <t>40.1 Camino</t>
  </si>
  <si>
    <t>40.2 Revuelto</t>
  </si>
  <si>
    <t>40.3 Festival</t>
  </si>
  <si>
    <t>41 Revuelto</t>
  </si>
  <si>
    <t>42 Palmeritas</t>
  </si>
  <si>
    <t>43 Fortuna</t>
  </si>
  <si>
    <t xml:space="preserve">44 Palmeritas </t>
  </si>
  <si>
    <t>45 Fortuna</t>
  </si>
  <si>
    <t xml:space="preserve">46 Código </t>
  </si>
  <si>
    <t>47 Sensation</t>
  </si>
  <si>
    <t>48 Frontera</t>
  </si>
  <si>
    <t>49 Frontera año 2</t>
  </si>
  <si>
    <t>50 Frontera año 1</t>
  </si>
  <si>
    <t>51 San Andreas</t>
  </si>
  <si>
    <t>52 Sayulita</t>
  </si>
  <si>
    <t>PARCELA 67 (T4)</t>
  </si>
  <si>
    <t>PARCELA 68 (T5)</t>
  </si>
  <si>
    <t>PARCELA 69 (T6)</t>
  </si>
  <si>
    <t>PARCELA 70 (T7)</t>
  </si>
  <si>
    <t>PARCELA 71 (T8)</t>
  </si>
  <si>
    <t>PARCELA 72 (T9)</t>
  </si>
  <si>
    <t>PARCELA 73 (T10)</t>
  </si>
  <si>
    <t>PARCELA 48.3 (J1). PLANTA MADRE</t>
  </si>
  <si>
    <t xml:space="preserve">PARCELA 54 (J7). </t>
  </si>
  <si>
    <t>PARCELA 55 (J8)</t>
  </si>
  <si>
    <t>PARCELA 57 (M1) ROYAL</t>
  </si>
  <si>
    <t xml:space="preserve">PARCELA 58 (M2) </t>
  </si>
  <si>
    <t>PARCELA 59 (M3)</t>
  </si>
  <si>
    <t>PARCELA 60 (M4)</t>
  </si>
  <si>
    <t>PARCELA 61 (M5)</t>
  </si>
  <si>
    <t>PARCELA 62 (M6)</t>
  </si>
  <si>
    <t>PARCELA 56 (J9)</t>
  </si>
  <si>
    <t>PARCELA 63 (M7)</t>
  </si>
  <si>
    <t>PARCELA 64 (T1)</t>
  </si>
  <si>
    <t>PARCELA 65 (T2A)</t>
  </si>
  <si>
    <t>PARCELA 66 (T2B)</t>
  </si>
  <si>
    <t>74.2 (San Andreas)</t>
  </si>
  <si>
    <t>74.1 (Frontera)</t>
  </si>
  <si>
    <t>75 (Chilenas)</t>
  </si>
  <si>
    <t>76.1 (San Andreas)</t>
  </si>
  <si>
    <t>76.2 (Frontera)</t>
  </si>
  <si>
    <t>76.3 (FRONTERA)</t>
  </si>
  <si>
    <t>77 FRONTERA</t>
  </si>
  <si>
    <t>78 (Monterrey)</t>
  </si>
  <si>
    <t>79 (Frontera)</t>
  </si>
  <si>
    <t>80 (Frontera)</t>
  </si>
  <si>
    <t>81 (Frontera)</t>
  </si>
  <si>
    <t xml:space="preserve">82 (Frontera) </t>
  </si>
  <si>
    <t>83 (Frontera)</t>
  </si>
  <si>
    <t>84 (Frontera)</t>
  </si>
  <si>
    <t xml:space="preserve">85 (Frontera) </t>
  </si>
  <si>
    <t>86 (Cabrillo)</t>
  </si>
  <si>
    <t>87 (Victor)</t>
  </si>
  <si>
    <t>88 (Monterrey)</t>
  </si>
  <si>
    <t>89 (Royal)</t>
  </si>
  <si>
    <t>90 (Monterrey/Frontera/San Andreas)</t>
  </si>
  <si>
    <t>91 (Monterrey/Royal/San Andreas/Frontera)</t>
  </si>
  <si>
    <t>93.1 VICTOR</t>
  </si>
  <si>
    <t>93.2  COMERCIAL CAMINO REAL</t>
  </si>
  <si>
    <t>94.1 CAMINO REAL</t>
  </si>
  <si>
    <t>94.2  COMERCIAL FRONTERA</t>
  </si>
  <si>
    <t>94.3 COMERCIAL</t>
  </si>
  <si>
    <t>95.1 CAMINO REAL</t>
  </si>
  <si>
    <t>95.2 COMERCIAL</t>
  </si>
  <si>
    <t>96 FESTIVAL</t>
  </si>
  <si>
    <t>97 CAMINO REAL</t>
  </si>
  <si>
    <t>98 CAMINO REAL</t>
  </si>
  <si>
    <t>99 CAMINO REAL</t>
  </si>
  <si>
    <t>100 CAMINO REAL</t>
  </si>
  <si>
    <t>101 CAMINO REAL</t>
  </si>
  <si>
    <t>102 CAMINO REAL</t>
  </si>
  <si>
    <t>103 CAMINO REAL</t>
  </si>
  <si>
    <t>104 CAMINO REAL</t>
  </si>
  <si>
    <t>105 CAMINO REAL</t>
  </si>
  <si>
    <t>106.1 CAMINO REAL</t>
  </si>
  <si>
    <t>106.2 COMERCIAL</t>
  </si>
  <si>
    <t>107 CAMINO REAL</t>
  </si>
  <si>
    <t>108 CAMINO REAL</t>
  </si>
  <si>
    <t>110 CAMINO REAL</t>
  </si>
  <si>
    <t>25 Camino Real</t>
  </si>
  <si>
    <t>26 Albion</t>
  </si>
  <si>
    <t>27 Camino Real</t>
  </si>
  <si>
    <t>28 San Andreas</t>
  </si>
  <si>
    <t>29 Monterrey</t>
  </si>
  <si>
    <t>30 Camino Real</t>
  </si>
  <si>
    <t>31 Camino Real</t>
  </si>
  <si>
    <t>32 Cabrillo</t>
  </si>
  <si>
    <t>33 Camino Real</t>
  </si>
  <si>
    <t>34 Camino Real</t>
  </si>
  <si>
    <t>48 FRONTERA</t>
  </si>
  <si>
    <t>92 FRONTERA</t>
  </si>
  <si>
    <t>LISTO</t>
  </si>
  <si>
    <t>DESECHAR</t>
  </si>
  <si>
    <t>export</t>
  </si>
  <si>
    <t>Alternari</t>
  </si>
  <si>
    <t>Colletotrichum</t>
  </si>
  <si>
    <t>ESTADO DE RESPALDO</t>
  </si>
  <si>
    <t>GENERO</t>
  </si>
  <si>
    <t>Coletotrichum</t>
  </si>
  <si>
    <t>EL AEROPUERTO 1</t>
  </si>
  <si>
    <t>EL AEROPUERTO 2</t>
  </si>
  <si>
    <t>EL PEJO 1</t>
  </si>
  <si>
    <t>EL PEJO 2</t>
  </si>
  <si>
    <t>EL PEJO 3</t>
  </si>
  <si>
    <t>EL PEJO 4</t>
  </si>
  <si>
    <t>CANINDO 1</t>
  </si>
  <si>
    <t>CANINDO 2</t>
  </si>
  <si>
    <t>CANINDO 3</t>
  </si>
  <si>
    <t>CIRILLO 2</t>
  </si>
  <si>
    <t>CIRILLO 1</t>
  </si>
  <si>
    <t>TIERRA DE POLLO 1</t>
  </si>
  <si>
    <t>TIERRA DE POLLO 2</t>
  </si>
  <si>
    <t>CHAVA MARTINEZ 1</t>
  </si>
  <si>
    <t>CHAVA MARTINEZ 2</t>
  </si>
  <si>
    <t>EL TRIANGULO 1</t>
  </si>
  <si>
    <t>EL TRIANGULO 2</t>
  </si>
  <si>
    <t>LA CRUZ 1</t>
  </si>
  <si>
    <t>LA CRUZ 2</t>
  </si>
  <si>
    <t>LUIS ROMERO 1</t>
  </si>
  <si>
    <t>LUIS ROMERO 2</t>
  </si>
  <si>
    <t>HUGO NAVARRO 1</t>
  </si>
  <si>
    <t>HUGO NAVARRO 2</t>
  </si>
  <si>
    <t>HUGO NAVARRO 3</t>
  </si>
  <si>
    <t>LA ESTANCIA 1</t>
  </si>
  <si>
    <t>LA ESTANCIA 2</t>
  </si>
  <si>
    <t>GERARDO ALFARO 1</t>
  </si>
  <si>
    <t>GERARDO ALFARO 2</t>
  </si>
  <si>
    <t>EL MIRADOR 1</t>
  </si>
  <si>
    <t>EL MIRADOR 2</t>
  </si>
  <si>
    <t>CHELIS FARM 1</t>
  </si>
  <si>
    <t>CHELIS FARM 2</t>
  </si>
  <si>
    <t>CHELIS FARM 3</t>
  </si>
  <si>
    <t>EL AEROPUERTO 3</t>
  </si>
  <si>
    <t>PITUFO 1</t>
  </si>
  <si>
    <t>PITUFO 2</t>
  </si>
  <si>
    <t>PITUFO 3</t>
  </si>
  <si>
    <t>RANCHO AVENTURA 1</t>
  </si>
  <si>
    <t>RANCHO AVENTURA 2</t>
  </si>
  <si>
    <t>LA HACHERA 1</t>
  </si>
  <si>
    <t>LA HACHERA 2</t>
  </si>
  <si>
    <t>LA HACHERA 3</t>
  </si>
  <si>
    <t>LA HACHERA 4</t>
  </si>
  <si>
    <t>LA HACHERA 5</t>
  </si>
  <si>
    <t>LA HACHERA 6</t>
  </si>
  <si>
    <t>JORGE LUIS REVELES C. 1</t>
  </si>
  <si>
    <t>JORGE LUIS REVELES C. 2</t>
  </si>
  <si>
    <t>RANCHO MENDEZ 1</t>
  </si>
  <si>
    <t>RANCHO MENDEZ 2</t>
  </si>
  <si>
    <t>RANCHO MENDEZ 3</t>
  </si>
  <si>
    <t>SANTA LUCIA 1</t>
  </si>
  <si>
    <t>SANTA LUCIA 2</t>
  </si>
  <si>
    <t>EL CEREZO 1</t>
  </si>
  <si>
    <t>EL CEREZO 2</t>
  </si>
  <si>
    <t>CHULAFARM 1</t>
  </si>
  <si>
    <t>CHULAFARM 2</t>
  </si>
  <si>
    <t>CHULAFARM 3</t>
  </si>
  <si>
    <t>PURISIMA COVARUBIAS 1</t>
  </si>
  <si>
    <t>JUAREZ 1</t>
  </si>
  <si>
    <t>JUAREZ 2</t>
  </si>
  <si>
    <t>EL JARAL 1</t>
  </si>
  <si>
    <t>EL JARAL 2</t>
  </si>
  <si>
    <t>EL JARAL 3</t>
  </si>
  <si>
    <t>CHUCANDIRO 1</t>
  </si>
  <si>
    <t>CHUCANDIRO 2</t>
  </si>
  <si>
    <t>LA CALERA 1</t>
  </si>
  <si>
    <t>MOLINO DE SANTA ANA 1</t>
  </si>
  <si>
    <t>LA PRESA 3</t>
  </si>
  <si>
    <t>LA PRESA 1</t>
  </si>
  <si>
    <t>Columna1</t>
  </si>
  <si>
    <t>32 DDP</t>
  </si>
  <si>
    <t>33 DDP</t>
  </si>
  <si>
    <t>RANCHO AVENTURA 3</t>
  </si>
  <si>
    <t>21. ENERO. 2024</t>
  </si>
  <si>
    <t>ENERO. 2024</t>
  </si>
  <si>
    <t>FESTIVAL, CAMINO REAL</t>
  </si>
  <si>
    <t>31 DDP</t>
  </si>
  <si>
    <t xml:space="preserve">SANTA MARIA </t>
  </si>
  <si>
    <t>TOTALES</t>
  </si>
  <si>
    <t>MICROORGANISMO</t>
  </si>
  <si>
    <t>raiz</t>
  </si>
  <si>
    <t>corona</t>
  </si>
  <si>
    <t>OTRAS</t>
  </si>
  <si>
    <t>presencia de NR</t>
  </si>
  <si>
    <t>Valle de Zamora- Jacona</t>
  </si>
  <si>
    <t>Maravatío- Tarandacuao</t>
  </si>
  <si>
    <t>Irapuato- Silao</t>
  </si>
  <si>
    <t>Frontera</t>
  </si>
  <si>
    <t>Camino Real</t>
  </si>
  <si>
    <t>Sayula</t>
  </si>
  <si>
    <t>Santa María</t>
  </si>
  <si>
    <t>Sensation</t>
  </si>
  <si>
    <t>Codigo</t>
  </si>
  <si>
    <t>San Andreas</t>
  </si>
  <si>
    <t>Fortuna</t>
  </si>
  <si>
    <t>No Documentado</t>
  </si>
  <si>
    <t>Victor</t>
  </si>
  <si>
    <t>Festival</t>
  </si>
  <si>
    <t>Otras</t>
  </si>
  <si>
    <t>Incidencia</t>
  </si>
  <si>
    <t>Severidad</t>
  </si>
  <si>
    <t>Mortalidad</t>
  </si>
  <si>
    <t>Raíz</t>
  </si>
  <si>
    <t>Corona</t>
  </si>
  <si>
    <t>genero</t>
  </si>
  <si>
    <t>total</t>
  </si>
  <si>
    <t>Columna2</t>
  </si>
  <si>
    <t>Oomiceos</t>
  </si>
  <si>
    <t>Oomicetos</t>
  </si>
  <si>
    <t>Sayulita</t>
  </si>
  <si>
    <t>INCIDENCIA</t>
  </si>
  <si>
    <t>MIN</t>
  </si>
  <si>
    <t>MAX</t>
  </si>
  <si>
    <t>MEDIA</t>
  </si>
  <si>
    <t>Zona de muestreo</t>
  </si>
  <si>
    <t>Max</t>
  </si>
  <si>
    <t>Media</t>
  </si>
  <si>
    <t>Ingrediente pre</t>
  </si>
  <si>
    <t>Ingrediente pos</t>
  </si>
  <si>
    <t>Trichoderma and Bacillus</t>
  </si>
  <si>
    <t>Procloraz</t>
  </si>
  <si>
    <t>Trichoderma, Procloraz, Propamocarb and Fosetyl</t>
  </si>
  <si>
    <t>Procloraz, Propamocarb and Fosetyl</t>
  </si>
  <si>
    <t>Fluoxastrobin</t>
  </si>
  <si>
    <t>Procloraz, Metalaxil</t>
  </si>
  <si>
    <t>Trichoderma and Procloraz</t>
  </si>
  <si>
    <t>Captan and Procloraz</t>
  </si>
  <si>
    <t>Trichoderma and Tiabendazol</t>
  </si>
  <si>
    <t>Tiabendazol</t>
  </si>
  <si>
    <t>Captan and Tiabendazol</t>
  </si>
  <si>
    <t>Tiabendazol, Azoxistrobin and Metalaxil-M</t>
  </si>
  <si>
    <t>Azoxistrobin and Metalaxil-M</t>
  </si>
  <si>
    <t>Captan, Tiabendazol, Iprodiona</t>
  </si>
  <si>
    <t>Trichoderma, Captan, Tiabendazol, Iprodiona, Copper, Hymexazol</t>
  </si>
  <si>
    <t>Captan, Procloraz, Tiabendazol, Fosetil-aluminio</t>
  </si>
  <si>
    <t>Captan, Iprodiona, Azoxistrobin, Difenoconazol, Fosetil-aluminio and Tetraconazol</t>
  </si>
  <si>
    <t>Captan, Iprodiona, Azoxistrobin, Difenoconazol, Fosetil-aluminio, Tetraconazol and Azoxistrobin</t>
  </si>
  <si>
    <t>Trichoderma, Captan, Iprodiona, Copper and Hymexazol</t>
  </si>
  <si>
    <t>Trichoderma, Captan, Tiabendazol, Iprodiona, Copper and Hymexazol</t>
  </si>
  <si>
    <t>Captan, Quintozeno and Thiram</t>
  </si>
  <si>
    <t>Quintozeno and Thiram</t>
  </si>
  <si>
    <t>Sulfur and Quintoceno</t>
  </si>
  <si>
    <t>Captan, Tiabendazol, Iprodiona, Azoxistrobin, Metalaxil, Piraclostrobina and Cyprodinil</t>
  </si>
  <si>
    <t>Trichoderma, Captan, Propamocarb, Fosetyl, Iprodiona, Hymexazol and Fosetil-aluminio</t>
  </si>
  <si>
    <t>Tiabendazol, Fosetil-aluminio, Tetraconazol and Azoxistrobin</t>
  </si>
  <si>
    <t>Captan, Procloraz, Tiabendazol, Iprodiona, Azoxistrobin, Difenoconazol, Fluxapyroxad and Piraclostrobina</t>
  </si>
  <si>
    <t>Captan, Cyprodinil, Azoxystrobin, Difenoconazole, Dimetomorf, Pyraclostrobin and Metalaxil</t>
  </si>
  <si>
    <t>Tiabendazol, Hymexazol and Fosetil-aluminio</t>
  </si>
  <si>
    <t>Diazinon</t>
  </si>
  <si>
    <t>Captan, Procloraz and Metalaxil-M</t>
  </si>
  <si>
    <t>Iprodiona and Metalaxil-M</t>
  </si>
  <si>
    <t>Captan, Iprodiona, Azoxistrobin and Metalaxil-M</t>
  </si>
  <si>
    <t>Procloraz, Iprodiona, Metalaxil, Tiofanato-metilo, Tiabendazol and Fluoxastrobin</t>
  </si>
  <si>
    <t>Procloraz, Tiabendazol and Cyprodinil</t>
  </si>
  <si>
    <t>Procloraz, Iprodiona, Fosetil-aluminio and Metalaxil-M</t>
  </si>
  <si>
    <t>Bacillus and Metalaxil</t>
  </si>
  <si>
    <t>Captan, Iprodiona, Metalaxil, Azoxystrobin and Difenoconazole</t>
  </si>
  <si>
    <t>Azoxystrobin and Difenoconazole</t>
  </si>
  <si>
    <t>Tiabendazol and Tiofanato-metilo</t>
  </si>
  <si>
    <t>Captan and Cyprodinil</t>
  </si>
  <si>
    <t>Captan, Azoxistrobin and Metalaxil-M</t>
  </si>
  <si>
    <t>Captan, Piraclostrobina, Cyprodinil, Mancozeb and Fluxapyroxad</t>
  </si>
  <si>
    <t>Azoxistrobin and Difenoconazol</t>
  </si>
  <si>
    <t>Tiabendazol, Piraclostrobina and Fosetil-aluminio</t>
  </si>
  <si>
    <t>Azoxistrobi, Metalaxil-M and Mancozeb</t>
  </si>
  <si>
    <t>Fosetil-aluminio and Tiofanato de Metilo</t>
  </si>
  <si>
    <t>Quintozeno, Thiram and 2-tiocianometiltio benzotiazol</t>
  </si>
  <si>
    <t>Azoxistrobin, Metalaxil-M, Pirimetanil and Mancozeb</t>
  </si>
  <si>
    <t>Azoxistrobin, Metalaxil-M and Mancozeb</t>
  </si>
  <si>
    <t>Azoxistrobin, Metalaxil-M, Pirimetanil, Mancozeb, Quintoceno and Tiramo</t>
  </si>
  <si>
    <t>Phytophthora</t>
  </si>
  <si>
    <t>Aspergillus</t>
  </si>
  <si>
    <t>Rizophus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</si>
</sst>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1"/>
      <name val="Times New Roman"/>
      <family val="1"/>
    </font>
    <font>
      <sz val="11"/>
      <color theme="1"/>
      <name val="Cambria"/>
      <family val="1"/>
    </font>
    <font>
      <sz val="11"/>
      <name val="Cambria"/>
      <family val="1"/>
    </font>
    <font>
      <sz val="11"/>
      <color rgb="FFFF0000"/>
      <name val="Cambria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3" borderId="3" xfId="0" applyFont="1" applyFill="1" applyBorder="1"/>
    <xf numFmtId="0" fontId="4" fillId="3" borderId="3" xfId="0" applyFont="1" applyFill="1" applyBorder="1"/>
    <xf numFmtId="0" fontId="3" fillId="4" borderId="3" xfId="0" applyFont="1" applyFill="1" applyBorder="1"/>
    <xf numFmtId="0" fontId="3" fillId="5" borderId="3" xfId="0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3" fillId="3" borderId="4" xfId="0" applyFont="1" applyFill="1" applyBorder="1"/>
    <xf numFmtId="0" fontId="3" fillId="5" borderId="4" xfId="0" applyFont="1" applyFill="1" applyBorder="1"/>
    <xf numFmtId="0" fontId="3" fillId="4" borderId="4" xfId="0" applyFont="1" applyFill="1" applyBorder="1"/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3" fillId="7" borderId="5" xfId="0" applyFont="1" applyFill="1" applyBorder="1"/>
    <xf numFmtId="0" fontId="3" fillId="7" borderId="3" xfId="0" applyFont="1" applyFill="1" applyBorder="1"/>
    <xf numFmtId="0" fontId="3" fillId="0" borderId="3" xfId="0" applyFont="1" applyBorder="1"/>
    <xf numFmtId="0" fontId="3" fillId="8" borderId="3" xfId="0" applyFont="1" applyFill="1" applyBorder="1"/>
    <xf numFmtId="0" fontId="4" fillId="0" borderId="3" xfId="0" applyFont="1" applyBorder="1"/>
    <xf numFmtId="0" fontId="3" fillId="9" borderId="3" xfId="0" applyFont="1" applyFill="1" applyBorder="1"/>
    <xf numFmtId="0" fontId="5" fillId="9" borderId="3" xfId="0" applyFont="1" applyFill="1" applyBorder="1"/>
    <xf numFmtId="0" fontId="3" fillId="10" borderId="3" xfId="0" applyFont="1" applyFill="1" applyBorder="1"/>
    <xf numFmtId="0" fontId="3" fillId="11" borderId="3" xfId="0" applyFont="1" applyFill="1" applyBorder="1"/>
    <xf numFmtId="0" fontId="3" fillId="11" borderId="4" xfId="0" applyFont="1" applyFill="1" applyBorder="1"/>
    <xf numFmtId="0" fontId="3" fillId="12" borderId="3" xfId="0" applyFont="1" applyFill="1" applyBorder="1"/>
    <xf numFmtId="0" fontId="5" fillId="3" borderId="3" xfId="0" applyFont="1" applyFill="1" applyBorder="1"/>
    <xf numFmtId="0" fontId="3" fillId="3" borderId="6" xfId="0" applyFont="1" applyFill="1" applyBorder="1"/>
    <xf numFmtId="0" fontId="3" fillId="5" borderId="6" xfId="0" applyFont="1" applyFill="1" applyBorder="1"/>
    <xf numFmtId="0" fontId="3" fillId="11" borderId="6" xfId="0" applyFont="1" applyFill="1" applyBorder="1"/>
    <xf numFmtId="0" fontId="3" fillId="4" borderId="6" xfId="0" applyFont="1" applyFill="1" applyBorder="1"/>
    <xf numFmtId="0" fontId="3" fillId="0" borderId="6" xfId="0" applyFont="1" applyBorder="1"/>
    <xf numFmtId="0" fontId="3" fillId="3" borderId="0" xfId="0" applyFont="1" applyFill="1"/>
    <xf numFmtId="0" fontId="0" fillId="0" borderId="0" xfId="0" applyAlignment="1">
      <alignment vertical="top" textRotation="90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3" xfId="0" applyBorder="1" applyAlignment="1">
      <alignment vertical="center"/>
    </xf>
    <xf numFmtId="0" fontId="0" fillId="0" borderId="0" xfId="0" applyAlignment="1">
      <alignment textRotation="90"/>
    </xf>
    <xf numFmtId="0" fontId="0" fillId="0" borderId="0" xfId="0" applyAlignment="1">
      <alignment horizontal="left" textRotation="90"/>
    </xf>
    <xf numFmtId="0" fontId="0" fillId="0" borderId="4" xfId="0" applyBorder="1" applyAlignment="1">
      <alignment vertical="center"/>
    </xf>
    <xf numFmtId="0" fontId="8" fillId="13" borderId="0" xfId="0" applyFont="1" applyFill="1"/>
    <xf numFmtId="0" fontId="8" fillId="0" borderId="0" xfId="0" applyFont="1"/>
    <xf numFmtId="0" fontId="8" fillId="0" borderId="12" xfId="0" applyFont="1" applyBorder="1"/>
    <xf numFmtId="9" fontId="0" fillId="0" borderId="0" xfId="1" applyFont="1"/>
    <xf numFmtId="9" fontId="8" fillId="13" borderId="0" xfId="1" applyFont="1" applyFill="1"/>
    <xf numFmtId="9" fontId="8" fillId="0" borderId="0" xfId="1" applyFont="1"/>
    <xf numFmtId="164" fontId="0" fillId="0" borderId="0" xfId="0" applyNumberFormat="1"/>
    <xf numFmtId="0" fontId="3" fillId="3" borderId="0" xfId="0" applyFont="1" applyFill="1" applyAlignment="1">
      <alignment vertical="center"/>
    </xf>
    <xf numFmtId="0" fontId="3" fillId="0" borderId="4" xfId="0" applyFont="1" applyBorder="1"/>
    <xf numFmtId="0" fontId="3" fillId="11" borderId="0" xfId="0" applyFont="1" applyFill="1"/>
    <xf numFmtId="0" fontId="3" fillId="12" borderId="4" xfId="0" applyFont="1" applyFill="1" applyBorder="1"/>
    <xf numFmtId="0" fontId="9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90" wrapText="0" indent="0" justifyLastLine="0" shrinkToFit="0" readingOrder="0"/>
    </dxf>
    <dxf>
      <numFmt numFmtId="164" formatCode="0.0"/>
    </dxf>
    <dxf>
      <numFmt numFmtId="164" formatCode="0.0"/>
    </dxf>
    <dxf>
      <numFmt numFmtId="164" formatCode="0.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cap="all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Times New Roman" panose="02020603050405020304" pitchFamily="18" charset="0"/>
              </a:defRPr>
            </a:pPr>
            <a:r>
              <a:rPr lang="es-MX"/>
              <a:t>variedades cultivadas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cap="all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Times New Roman" panose="02020603050405020304" pitchFamily="18" charset="0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9625341081348971E-2"/>
          <c:y val="0.19405161082307179"/>
          <c:w val="0.84601866552317673"/>
          <c:h val="0.75320888759278215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1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387-4CAB-B440-061F55AEA9AD}"/>
              </c:ext>
            </c:extLst>
          </c:dPt>
          <c:dPt>
            <c:idx val="1"/>
            <c:bubble3D val="0"/>
            <c:explosion val="12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387-4CAB-B440-061F55AEA9AD}"/>
              </c:ext>
            </c:extLst>
          </c:dPt>
          <c:dPt>
            <c:idx val="2"/>
            <c:bubble3D val="0"/>
            <c:explosion val="23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387-4CAB-B440-061F55AEA9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387-4CAB-B440-061F55AEA9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6387-4CAB-B440-061F55AEA9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6387-4CAB-B440-061F55AEA9A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387-4CAB-B440-061F55AEA9A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6387-4CAB-B440-061F55AEA9A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387-4CAB-B440-061F55AEA9A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6387-4CAB-B440-061F55AEA9A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387-4CAB-B440-061F55AEA9A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6387-4CAB-B440-061F55AEA9AD}"/>
              </c:ext>
            </c:extLst>
          </c:dPt>
          <c:dLbls>
            <c:dLbl>
              <c:idx val="0"/>
              <c:layout>
                <c:manualLayout>
                  <c:x val="0.15830012503290739"/>
                  <c:y val="2.468482627616155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spc="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87-4CAB-B440-061F55AEA9AD}"/>
                </c:ext>
              </c:extLst>
            </c:dLbl>
            <c:dLbl>
              <c:idx val="1"/>
              <c:layout>
                <c:manualLayout>
                  <c:x val="4.4887373916853331E-2"/>
                  <c:y val="-0.12873562859888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spc="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87-4CAB-B440-061F55AEA9AD}"/>
                </c:ext>
              </c:extLst>
            </c:dLbl>
            <c:dLbl>
              <c:idx val="2"/>
              <c:layout>
                <c:manualLayout>
                  <c:x val="0.35170292247565571"/>
                  <c:y val="-3.22702595852443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spc="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87-4CAB-B440-061F55AEA9AD}"/>
                </c:ext>
              </c:extLst>
            </c:dLbl>
            <c:dLbl>
              <c:idx val="3"/>
              <c:layout>
                <c:manualLayout>
                  <c:x val="-0.19233119053442596"/>
                  <c:y val="5.694075880335107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spc="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Times New Roman" panose="02020603050405020304" pitchFamily="18" charset="0"/>
                      </a:defRPr>
                    </a:pPr>
                    <a:fld id="{5C5DA5FB-E0C2-418A-9A48-34F60E027E55}" type="CATEGORYNAME">
                      <a:rPr lang="en-US"/>
                      <a:pPr>
                        <a:defRPr/>
                      </a:pPr>
                      <a:t>[NOMBRE DE CATEGORÍA]</a:t>
                    </a:fld>
                    <a:r>
                      <a:rPr lang="en-US"/>
                      <a:t> </a:t>
                    </a:r>
                    <a:fld id="{9E58D4D5-9036-43E6-B0C4-186B0E45E837}" type="PERCENTAGE">
                      <a:rPr lang="en-US"/>
                      <a:pPr>
                        <a:defRPr/>
                      </a:pPr>
                      <a:t>[PORCENTAJE]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spc="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387-4CAB-B440-061F55AEA9AD}"/>
                </c:ext>
              </c:extLst>
            </c:dLbl>
            <c:dLbl>
              <c:idx val="4"/>
              <c:layout>
                <c:manualLayout>
                  <c:x val="-0.104069616796025"/>
                  <c:y val="2.475685165363098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spc="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Times New Roman" panose="02020603050405020304" pitchFamily="18" charset="0"/>
                      </a:defRPr>
                    </a:pPr>
                    <a:fld id="{CA6208CF-9DB0-4A74-957A-4A0747C414C6}" type="CATEGORYNAME">
                      <a:rPr lang="en-US"/>
                      <a:pPr>
                        <a:defRPr/>
                      </a:pPr>
                      <a:t>[NOMBRE DE CATEGORÍA]</a:t>
                    </a:fld>
                    <a:r>
                      <a:rPr lang="en-US"/>
                      <a:t> </a:t>
                    </a:r>
                    <a:fld id="{02560B64-1001-40E1-9705-8040B24B57EF}" type="PERCENTAGE">
                      <a:rPr lang="en-US"/>
                      <a:pPr>
                        <a:defRPr/>
                      </a:pPr>
                      <a:t>[PORCENTAJE]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spc="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387-4CAB-B440-061F55AEA9AD}"/>
                </c:ext>
              </c:extLst>
            </c:dLbl>
            <c:dLbl>
              <c:idx val="5"/>
              <c:layout>
                <c:manualLayout>
                  <c:x val="-3.8202770722591456E-2"/>
                  <c:y val="0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spc="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Times New Roman" panose="02020603050405020304" pitchFamily="18" charset="0"/>
                      </a:defRPr>
                    </a:pPr>
                    <a:fld id="{298D3C72-286F-4AC0-AF46-75793E8182A4}" type="CATEGORYNAME">
                      <a:rPr lang="en-US"/>
                      <a:pPr>
                        <a:defRPr/>
                      </a:pPr>
                      <a:t>[NOMBRE DE CATEGORÍA]</a:t>
                    </a:fld>
                    <a:r>
                      <a:rPr lang="en-US"/>
                      <a:t> </a:t>
                    </a:r>
                    <a:fld id="{1AE14398-3E22-4ED8-AD5A-3E6C4C0510F9}" type="PERCENTAGE">
                      <a:rPr lang="en-US"/>
                      <a:pPr>
                        <a:defRPr/>
                      </a:pPr>
                      <a:t>[PORCENTAJE]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spc="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6387-4CAB-B440-061F55AEA9AD}"/>
                </c:ext>
              </c:extLst>
            </c:dLbl>
            <c:dLbl>
              <c:idx val="6"/>
              <c:layout>
                <c:manualLayout>
                  <c:x val="-2.8322795675234751E-2"/>
                  <c:y val="-4.807787810010805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spc="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Times New Roman" panose="02020603050405020304" pitchFamily="18" charset="0"/>
                      </a:defRPr>
                    </a:pPr>
                    <a:fld id="{0FC022D4-E526-4494-8BDE-F87725CB1425}" type="CATEGORYNAME">
                      <a:rPr lang="en-US"/>
                      <a:pPr>
                        <a:defRPr/>
                      </a:pPr>
                      <a:t>[NOMBRE DE CATEGORÍA]</a:t>
                    </a:fld>
                    <a:r>
                      <a:rPr lang="en-US"/>
                      <a:t> </a:t>
                    </a:r>
                    <a:fld id="{53D7B963-CB9F-4070-9515-7560E674C591}" type="PERCENTAGE">
                      <a:rPr lang="en-US"/>
                      <a:pPr>
                        <a:defRPr/>
                      </a:pPr>
                      <a:t>[PORCENTAJE]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spc="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0110355492185"/>
                      <c:h val="0.119556582772595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6387-4CAB-B440-061F55AEA9AD}"/>
                </c:ext>
              </c:extLst>
            </c:dLbl>
            <c:dLbl>
              <c:idx val="7"/>
              <c:layout>
                <c:manualLayout>
                  <c:x val="-4.0837444565528798E-2"/>
                  <c:y val="-1.980548132290483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spc="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Times New Roman" panose="02020603050405020304" pitchFamily="18" charset="0"/>
                      </a:defRPr>
                    </a:pPr>
                    <a:fld id="{EC622B8B-63B6-4093-9F0C-CC9B5649B83F}" type="CATEGORYNAME">
                      <a:rPr lang="en-US"/>
                      <a:pPr>
                        <a:defRPr/>
                      </a:pPr>
                      <a:t>[NOMBRE DE CATEGORÍA]</a:t>
                    </a:fld>
                    <a:r>
                      <a:rPr lang="en-US"/>
                      <a:t> </a:t>
                    </a:r>
                    <a:fld id="{CA529A5C-4863-4DF6-BA45-FC118387FD3F}" type="PERCENTAGE">
                      <a:rPr lang="en-US"/>
                      <a:pPr>
                        <a:defRPr/>
                      </a:pPr>
                      <a:t>[PORCENTAJE]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spc="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6387-4CAB-B440-061F55AEA9AD}"/>
                </c:ext>
              </c:extLst>
            </c:dLbl>
            <c:dLbl>
              <c:idx val="8"/>
              <c:layout>
                <c:manualLayout>
                  <c:x val="2.634673842937336E-3"/>
                  <c:y val="-3.466672860549585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spc="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Times New Roman" panose="02020603050405020304" pitchFamily="18" charset="0"/>
                      </a:defRPr>
                    </a:pPr>
                    <a:fld id="{DFEAC92D-CC5F-4B25-B132-BEE967AC5E3D}" type="CATEGORYNAME">
                      <a:rPr lang="en-US"/>
                      <a:pPr>
                        <a:defRPr/>
                      </a:pPr>
                      <a:t>[NOMBRE DE CATEGORÍA]</a:t>
                    </a:fld>
                    <a:r>
                      <a:rPr lang="en-US"/>
                      <a:t> </a:t>
                    </a:r>
                    <a:fld id="{605B4818-E4D7-4F81-9C53-A3B63EF9130E}" type="PERCENTAGE">
                      <a:rPr lang="en-US"/>
                      <a:pPr>
                        <a:defRPr/>
                      </a:pPr>
                      <a:t>[PORCENTAJE]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spc="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956054470118339"/>
                      <c:h val="9.8245608579123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6387-4CAB-B440-061F55AEA9AD}"/>
                </c:ext>
              </c:extLst>
            </c:dLbl>
            <c:dLbl>
              <c:idx val="9"/>
              <c:layout>
                <c:manualLayout>
                  <c:x val="-8.4968231434729272E-2"/>
                  <c:y val="-5.198925685261467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spc="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Times New Roman" panose="02020603050405020304" pitchFamily="18" charset="0"/>
                      </a:defRPr>
                    </a:pPr>
                    <a:fld id="{36365835-0E69-40F1-9D63-86F987719B1D}" type="CATEGORYNAME">
                      <a:rPr lang="en-US"/>
                      <a:pPr>
                        <a:defRPr/>
                      </a:pPr>
                      <a:t>[NOMBRE DE CATEGORÍA]</a:t>
                    </a:fld>
                    <a:r>
                      <a:rPr lang="en-US"/>
                      <a:t> </a:t>
                    </a:r>
                    <a:fld id="{C3354DA4-EE98-4322-82FA-A2044156511A}" type="PERCENTAGE">
                      <a:rPr lang="en-US"/>
                      <a:pPr>
                        <a:defRPr/>
                      </a:pPr>
                      <a:t>[PORCENTAJE]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spc="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428279095356729"/>
                      <c:h val="9.8245608579123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6387-4CAB-B440-061F55AEA9AD}"/>
                </c:ext>
              </c:extLst>
            </c:dLbl>
            <c:dLbl>
              <c:idx val="10"/>
              <c:layout>
                <c:manualLayout>
                  <c:x val="-0.10472828525675935"/>
                  <c:y val="-8.662012443096130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spc="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Times New Roman" panose="02020603050405020304" pitchFamily="18" charset="0"/>
                      </a:defRPr>
                    </a:pPr>
                    <a:fld id="{D2498285-E49A-44D6-BC22-710B634B38EB}" type="CATEGORYNAME">
                      <a:rPr lang="en-US"/>
                      <a:pPr>
                        <a:defRPr/>
                      </a:pPr>
                      <a:t>[NOMBRE DE CATEGORÍA]</a:t>
                    </a:fld>
                    <a:r>
                      <a:rPr lang="en-US"/>
                      <a:t> </a:t>
                    </a:r>
                    <a:fld id="{E3823C1F-0E82-4E2E-93D8-E80C3CCA7089}" type="PERCENTAGE">
                      <a:rPr lang="en-US"/>
                      <a:pPr>
                        <a:defRPr/>
                      </a:pPr>
                      <a:t>[PORCENTAJE]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spc="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377132607698516"/>
                      <c:h val="9.8245608579123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6387-4CAB-B440-061F55AEA9AD}"/>
                </c:ext>
              </c:extLst>
            </c:dLbl>
            <c:dLbl>
              <c:idx val="11"/>
              <c:layout>
                <c:manualLayout>
                  <c:x val="1.4490706136155333E-2"/>
                  <c:y val="-1.48541109921785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spc="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87-4CAB-B440-061F55AEA9A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VARIABLES_EPI!$U$4:$U$15</c:f>
              <c:strCache>
                <c:ptCount val="12"/>
                <c:pt idx="0">
                  <c:v>Frontera</c:v>
                </c:pt>
                <c:pt idx="1">
                  <c:v>Camino Real</c:v>
                </c:pt>
                <c:pt idx="2">
                  <c:v>Sayulita</c:v>
                </c:pt>
                <c:pt idx="3">
                  <c:v>Santa María</c:v>
                </c:pt>
                <c:pt idx="4">
                  <c:v>Sensation</c:v>
                </c:pt>
                <c:pt idx="5">
                  <c:v>San Andreas</c:v>
                </c:pt>
                <c:pt idx="6">
                  <c:v>Codigo</c:v>
                </c:pt>
                <c:pt idx="7">
                  <c:v>Fortuna</c:v>
                </c:pt>
                <c:pt idx="8">
                  <c:v>No Documentado</c:v>
                </c:pt>
                <c:pt idx="9">
                  <c:v>Victor</c:v>
                </c:pt>
                <c:pt idx="10">
                  <c:v>Festival</c:v>
                </c:pt>
                <c:pt idx="11">
                  <c:v>Otras</c:v>
                </c:pt>
              </c:strCache>
            </c:strRef>
          </c:cat>
          <c:val>
            <c:numRef>
              <c:f>VARIABLES_EPI!$Z$4:$Z$15</c:f>
              <c:numCache>
                <c:formatCode>General</c:formatCode>
                <c:ptCount val="12"/>
                <c:pt idx="0">
                  <c:v>33</c:v>
                </c:pt>
                <c:pt idx="1">
                  <c:v>30</c:v>
                </c:pt>
                <c:pt idx="2">
                  <c:v>11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4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7-4CAB-B440-061F55AEA9A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 i="0" baseline="0">
          <a:solidFill>
            <a:schemeClr val="tx1"/>
          </a:solidFill>
          <a:latin typeface="Arial" panose="020B0604020202020204" pitchFamily="34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/>
              <a:t>VARIEDADES CULTIVADAS POR ZONA</a:t>
            </a:r>
          </a:p>
        </c:rich>
      </c:tx>
      <c:layout>
        <c:manualLayout>
          <c:xMode val="edge"/>
          <c:yMode val="edge"/>
          <c:x val="0.30235346435112648"/>
          <c:y val="2.5764875728853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5429378980876"/>
          <c:y val="0.1333816678344546"/>
          <c:w val="0.78771219732205"/>
          <c:h val="0.61774941274595507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VARIABLES_EPI!$V$18</c:f>
              <c:strCache>
                <c:ptCount val="1"/>
                <c:pt idx="0">
                  <c:v>Frontera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VARIABLES_EPI!$U$20:$U$22</c:f>
              <c:strCache>
                <c:ptCount val="3"/>
                <c:pt idx="0">
                  <c:v>Valle de Zamora- Jacona</c:v>
                </c:pt>
                <c:pt idx="1">
                  <c:v>Irapuato- Silao</c:v>
                </c:pt>
                <c:pt idx="2">
                  <c:v>Maravatío- Tarandacuao</c:v>
                </c:pt>
              </c:strCache>
            </c:strRef>
          </c:cat>
          <c:val>
            <c:numRef>
              <c:f>VARIABLES_EPI!$V$20:$V$22</c:f>
              <c:numCache>
                <c:formatCode>0%</c:formatCode>
                <c:ptCount val="3"/>
                <c:pt idx="0">
                  <c:v>0.15517241379310345</c:v>
                </c:pt>
                <c:pt idx="1">
                  <c:v>0.22916666666666666</c:v>
                </c:pt>
                <c:pt idx="2">
                  <c:v>0.56521739130434778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D-4F5C-85FE-1592CC252933}"/>
            </c:ext>
          </c:extLst>
        </c:ser>
        <c:ser>
          <c:idx val="1"/>
          <c:order val="1"/>
          <c:tx>
            <c:strRef>
              <c:f>VARIABLES_EPI!$W$18</c:f>
              <c:strCache>
                <c:ptCount val="1"/>
                <c:pt idx="0">
                  <c:v>Camino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VARIABLES_EPI!$U$20:$U$22</c:f>
              <c:strCache>
                <c:ptCount val="3"/>
                <c:pt idx="0">
                  <c:v>Valle de Zamora- Jacona</c:v>
                </c:pt>
                <c:pt idx="1">
                  <c:v>Irapuato- Silao</c:v>
                </c:pt>
                <c:pt idx="2">
                  <c:v>Maravatío- Tarandacuao</c:v>
                </c:pt>
              </c:strCache>
            </c:strRef>
          </c:cat>
          <c:val>
            <c:numRef>
              <c:f>VARIABLES_EPI!$W$20:$W$22</c:f>
              <c:numCache>
                <c:formatCode>0%</c:formatCode>
                <c:ptCount val="3"/>
                <c:pt idx="0">
                  <c:v>6.8965517241379309E-2</c:v>
                </c:pt>
                <c:pt idx="1">
                  <c:v>0.52083333333333337</c:v>
                </c:pt>
                <c:pt idx="2">
                  <c:v>4.3478260869565216E-2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7D-4F5C-85FE-1592CC252933}"/>
            </c:ext>
          </c:extLst>
        </c:ser>
        <c:ser>
          <c:idx val="2"/>
          <c:order val="2"/>
          <c:tx>
            <c:strRef>
              <c:f>VARIABLES_EPI!$X$18</c:f>
              <c:strCache>
                <c:ptCount val="1"/>
                <c:pt idx="0">
                  <c:v>Sayulita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VARIABLES_EPI!$U$20:$U$22</c:f>
              <c:strCache>
                <c:ptCount val="3"/>
                <c:pt idx="0">
                  <c:v>Valle de Zamora- Jacona</c:v>
                </c:pt>
                <c:pt idx="1">
                  <c:v>Irapuato- Silao</c:v>
                </c:pt>
                <c:pt idx="2">
                  <c:v>Maravatío- Tarandacuao</c:v>
                </c:pt>
              </c:strCache>
            </c:strRef>
          </c:cat>
          <c:val>
            <c:numRef>
              <c:f>VARIABLES_EPI!$X$20:$X$22</c:f>
              <c:numCache>
                <c:formatCode>0%</c:formatCode>
                <c:ptCount val="3"/>
                <c:pt idx="0">
                  <c:v>0.10344827586206896</c:v>
                </c:pt>
                <c:pt idx="1">
                  <c:v>0</c:v>
                </c:pt>
                <c:pt idx="2">
                  <c:v>4.3478260869565216E-2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7D-4F5C-85FE-1592CC252933}"/>
            </c:ext>
          </c:extLst>
        </c:ser>
        <c:ser>
          <c:idx val="3"/>
          <c:order val="3"/>
          <c:tx>
            <c:strRef>
              <c:f>VARIABLES_EPI!$Y$18</c:f>
              <c:strCache>
                <c:ptCount val="1"/>
                <c:pt idx="0">
                  <c:v>Santa María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VARIABLES_EPI!$U$20:$U$22</c:f>
              <c:strCache>
                <c:ptCount val="3"/>
                <c:pt idx="0">
                  <c:v>Valle de Zamora- Jacona</c:v>
                </c:pt>
                <c:pt idx="1">
                  <c:v>Irapuato- Silao</c:v>
                </c:pt>
                <c:pt idx="2">
                  <c:v>Maravatío- Tarandacuao</c:v>
                </c:pt>
              </c:strCache>
            </c:strRef>
          </c:cat>
          <c:val>
            <c:numRef>
              <c:f>VARIABLES_EPI!$Y$20:$Y$22</c:f>
              <c:numCache>
                <c:formatCode>0%</c:formatCode>
                <c:ptCount val="3"/>
                <c:pt idx="0">
                  <c:v>0.10344827586206896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7D-4F5C-85FE-1592CC252933}"/>
            </c:ext>
          </c:extLst>
        </c:ser>
        <c:ser>
          <c:idx val="4"/>
          <c:order val="4"/>
          <c:tx>
            <c:strRef>
              <c:f>VARIABLES_EPI!$Z$18</c:f>
              <c:strCache>
                <c:ptCount val="1"/>
                <c:pt idx="0">
                  <c:v>Sensation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VARIABLES_EPI!$U$20:$U$22</c:f>
              <c:strCache>
                <c:ptCount val="3"/>
                <c:pt idx="0">
                  <c:v>Valle de Zamora- Jacona</c:v>
                </c:pt>
                <c:pt idx="1">
                  <c:v>Irapuato- Silao</c:v>
                </c:pt>
                <c:pt idx="2">
                  <c:v>Maravatío- Tarandacuao</c:v>
                </c:pt>
              </c:strCache>
            </c:strRef>
          </c:cat>
          <c:val>
            <c:numRef>
              <c:f>VARIABLES_EPI!$Z$20:$Z$22</c:f>
              <c:numCache>
                <c:formatCode>0%</c:formatCode>
                <c:ptCount val="3"/>
                <c:pt idx="0">
                  <c:v>8.6206896551724144E-2</c:v>
                </c:pt>
                <c:pt idx="1">
                  <c:v>0</c:v>
                </c:pt>
                <c:pt idx="2">
                  <c:v>4.3478260869565216E-2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7D-4F5C-85FE-1592CC252933}"/>
            </c:ext>
          </c:extLst>
        </c:ser>
        <c:ser>
          <c:idx val="5"/>
          <c:order val="5"/>
          <c:tx>
            <c:strRef>
              <c:f>VARIABLES_EPI!$AA$18</c:f>
              <c:strCache>
                <c:ptCount val="1"/>
                <c:pt idx="0">
                  <c:v>San Andreas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VARIABLES_EPI!$U$20:$U$22</c:f>
              <c:strCache>
                <c:ptCount val="3"/>
                <c:pt idx="0">
                  <c:v>Valle de Zamora- Jacona</c:v>
                </c:pt>
                <c:pt idx="1">
                  <c:v>Irapuato- Silao</c:v>
                </c:pt>
                <c:pt idx="2">
                  <c:v>Maravatío- Tarandacuao</c:v>
                </c:pt>
              </c:strCache>
            </c:strRef>
          </c:cat>
          <c:val>
            <c:numRef>
              <c:f>VARIABLES_EPI!$AA$20:$AA$22</c:f>
              <c:numCache>
                <c:formatCode>0%</c:formatCode>
                <c:ptCount val="3"/>
                <c:pt idx="0">
                  <c:v>1.7241379310344827E-2</c:v>
                </c:pt>
                <c:pt idx="1">
                  <c:v>2.0833333333333332E-2</c:v>
                </c:pt>
                <c:pt idx="2">
                  <c:v>0.21739130434782608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7D-4F5C-85FE-1592CC252933}"/>
            </c:ext>
          </c:extLst>
        </c:ser>
        <c:ser>
          <c:idx val="6"/>
          <c:order val="6"/>
          <c:tx>
            <c:strRef>
              <c:f>VARIABLES_EPI!$AB$18</c:f>
              <c:strCache>
                <c:ptCount val="1"/>
                <c:pt idx="0">
                  <c:v>Codigo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VARIABLES_EPI!$U$20:$U$22</c:f>
              <c:strCache>
                <c:ptCount val="3"/>
                <c:pt idx="0">
                  <c:v>Valle de Zamora- Jacona</c:v>
                </c:pt>
                <c:pt idx="1">
                  <c:v>Irapuato- Silao</c:v>
                </c:pt>
                <c:pt idx="2">
                  <c:v>Maravatío- Tarandacuao</c:v>
                </c:pt>
              </c:strCache>
            </c:strRef>
          </c:cat>
          <c:val>
            <c:numRef>
              <c:f>VARIABLES_EPI!$AB$20:$AB$22</c:f>
              <c:numCache>
                <c:formatCode>0%</c:formatCode>
                <c:ptCount val="3"/>
                <c:pt idx="0">
                  <c:v>0.10344827586206896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7D-4F5C-85FE-1592CC252933}"/>
            </c:ext>
          </c:extLst>
        </c:ser>
        <c:ser>
          <c:idx val="7"/>
          <c:order val="7"/>
          <c:tx>
            <c:strRef>
              <c:f>VARIABLES_EPI!$AC$18</c:f>
              <c:strCache>
                <c:ptCount val="1"/>
                <c:pt idx="0">
                  <c:v>Fortuna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VARIABLES_EPI!$U$20:$U$22</c:f>
              <c:strCache>
                <c:ptCount val="3"/>
                <c:pt idx="0">
                  <c:v>Valle de Zamora- Jacona</c:v>
                </c:pt>
                <c:pt idx="1">
                  <c:v>Irapuato- Silao</c:v>
                </c:pt>
                <c:pt idx="2">
                  <c:v>Maravatío- Tarandacuao</c:v>
                </c:pt>
              </c:strCache>
            </c:strRef>
          </c:cat>
          <c:val>
            <c:numRef>
              <c:f>VARIABLES_EPI!$AC$20:$AC$22</c:f>
              <c:numCache>
                <c:formatCode>0%</c:formatCode>
                <c:ptCount val="3"/>
                <c:pt idx="0">
                  <c:v>0.10344827586206896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A7D-4F5C-85FE-1592CC252933}"/>
            </c:ext>
          </c:extLst>
        </c:ser>
        <c:ser>
          <c:idx val="8"/>
          <c:order val="8"/>
          <c:tx>
            <c:strRef>
              <c:f>VARIABLES_EPI!$AD$18</c:f>
              <c:strCache>
                <c:ptCount val="1"/>
                <c:pt idx="0">
                  <c:v>No Documentado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VARIABLES_EPI!$U$20:$U$22</c:f>
              <c:strCache>
                <c:ptCount val="3"/>
                <c:pt idx="0">
                  <c:v>Valle de Zamora- Jacona</c:v>
                </c:pt>
                <c:pt idx="1">
                  <c:v>Irapuato- Silao</c:v>
                </c:pt>
                <c:pt idx="2">
                  <c:v>Maravatío- Tarandacuao</c:v>
                </c:pt>
              </c:strCache>
            </c:strRef>
          </c:cat>
          <c:val>
            <c:numRef>
              <c:f>VARIABLES_EPI!$AD$20:$AD$22</c:f>
              <c:numCache>
                <c:formatCode>0%</c:formatCode>
                <c:ptCount val="3"/>
                <c:pt idx="0">
                  <c:v>6.8965517241379309E-2</c:v>
                </c:pt>
                <c:pt idx="1">
                  <c:v>2.0833333333333332E-2</c:v>
                </c:pt>
                <c:pt idx="2">
                  <c:v>4.3478260869565216E-2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7D-4F5C-85FE-1592CC252933}"/>
            </c:ext>
          </c:extLst>
        </c:ser>
        <c:ser>
          <c:idx val="9"/>
          <c:order val="9"/>
          <c:tx>
            <c:strRef>
              <c:f>VARIABLES_EPI!$AE$18</c:f>
              <c:strCache>
                <c:ptCount val="1"/>
                <c:pt idx="0">
                  <c:v>Victor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VARIABLES_EPI!$U$20:$U$22</c:f>
              <c:strCache>
                <c:ptCount val="3"/>
                <c:pt idx="0">
                  <c:v>Valle de Zamora- Jacona</c:v>
                </c:pt>
                <c:pt idx="1">
                  <c:v>Irapuato- Silao</c:v>
                </c:pt>
                <c:pt idx="2">
                  <c:v>Maravatío- Tarandacuao</c:v>
                </c:pt>
              </c:strCache>
            </c:strRef>
          </c:cat>
          <c:val>
            <c:numRef>
              <c:f>VARIABLES_EPI!$AE$20:$AE$22</c:f>
              <c:numCache>
                <c:formatCode>0%</c:formatCode>
                <c:ptCount val="3"/>
                <c:pt idx="0">
                  <c:v>5.1724137931034482E-2</c:v>
                </c:pt>
                <c:pt idx="1">
                  <c:v>4.1666666666666664E-2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A7D-4F5C-85FE-1592CC252933}"/>
            </c:ext>
          </c:extLst>
        </c:ser>
        <c:ser>
          <c:idx val="10"/>
          <c:order val="10"/>
          <c:tx>
            <c:strRef>
              <c:f>VARIABLES_EPI!$AF$18</c:f>
              <c:strCache>
                <c:ptCount val="1"/>
                <c:pt idx="0">
                  <c:v>Festival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VARIABLES_EPI!$U$20:$U$22</c:f>
              <c:strCache>
                <c:ptCount val="3"/>
                <c:pt idx="0">
                  <c:v>Valle de Zamora- Jacona</c:v>
                </c:pt>
                <c:pt idx="1">
                  <c:v>Irapuato- Silao</c:v>
                </c:pt>
                <c:pt idx="2">
                  <c:v>Maravatío- Tarandacuao</c:v>
                </c:pt>
              </c:strCache>
            </c:strRef>
          </c:cat>
          <c:val>
            <c:numRef>
              <c:f>VARIABLES_EPI!$AF$20:$AF$22</c:f>
              <c:numCache>
                <c:formatCode>0%</c:formatCode>
                <c:ptCount val="3"/>
                <c:pt idx="0">
                  <c:v>3.4482758620689655E-2</c:v>
                </c:pt>
                <c:pt idx="1">
                  <c:v>4.1666666666666664E-2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7D-4F5C-85FE-1592CC252933}"/>
            </c:ext>
          </c:extLst>
        </c:ser>
        <c:ser>
          <c:idx val="11"/>
          <c:order val="11"/>
          <c:tx>
            <c:strRef>
              <c:f>VARIABLES_EPI!$AG$18</c:f>
              <c:strCache>
                <c:ptCount val="1"/>
                <c:pt idx="0">
                  <c:v>Otras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VARIABLES_EPI!$U$20:$U$22</c:f>
              <c:strCache>
                <c:ptCount val="3"/>
                <c:pt idx="0">
                  <c:v>Valle de Zamora- Jacona</c:v>
                </c:pt>
                <c:pt idx="1">
                  <c:v>Irapuato- Silao</c:v>
                </c:pt>
                <c:pt idx="2">
                  <c:v>Maravatío- Tarandacuao</c:v>
                </c:pt>
              </c:strCache>
            </c:strRef>
          </c:cat>
          <c:val>
            <c:numRef>
              <c:f>VARIABLES_EPI!$AG$20:$AG$22</c:f>
              <c:numCache>
                <c:formatCode>0%</c:formatCode>
                <c:ptCount val="3"/>
                <c:pt idx="0">
                  <c:v>0.10344827586206896</c:v>
                </c:pt>
                <c:pt idx="1">
                  <c:v>0.125</c:v>
                </c:pt>
                <c:pt idx="2">
                  <c:v>4.3478260869565216E-2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A7D-4F5C-85FE-1592CC252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626399"/>
        <c:axId val="137987087"/>
        <c:axId val="0"/>
      </c:bar3DChart>
      <c:catAx>
        <c:axId val="195626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37987087"/>
        <c:crosses val="autoZero"/>
        <c:auto val="1"/>
        <c:lblAlgn val="ctr"/>
        <c:lblOffset val="100"/>
        <c:noMultiLvlLbl val="0"/>
      </c:catAx>
      <c:valAx>
        <c:axId val="13798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9562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261320499571602"/>
          <c:y val="0.84285353099253346"/>
          <c:w val="0.80545459897425009"/>
          <c:h val="0.14761109445621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r>
              <a:rPr lang="es-MX"/>
              <a:t>GRADO DE ENFERMEDAD REGISTRADO</a:t>
            </a:r>
            <a:r>
              <a:rPr lang="es-MX" baseline="0"/>
              <a:t> EN CAMPO</a:t>
            </a:r>
            <a:endParaRPr lang="es-MX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VARIABLES_EPI!$AD$77</c:f>
              <c:strCache>
                <c:ptCount val="1"/>
                <c:pt idx="0">
                  <c:v>Incidencia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VARIABLES_EPI!$AC$78:$AC$89</c:f>
              <c:strCache>
                <c:ptCount val="12"/>
                <c:pt idx="0">
                  <c:v>Camino Real</c:v>
                </c:pt>
                <c:pt idx="1">
                  <c:v>Fortuna</c:v>
                </c:pt>
                <c:pt idx="2">
                  <c:v>Frontera</c:v>
                </c:pt>
                <c:pt idx="3">
                  <c:v>Festival</c:v>
                </c:pt>
                <c:pt idx="4">
                  <c:v>San Andreas</c:v>
                </c:pt>
                <c:pt idx="5">
                  <c:v>Codigo</c:v>
                </c:pt>
                <c:pt idx="6">
                  <c:v>Otras</c:v>
                </c:pt>
                <c:pt idx="7">
                  <c:v>No Documentado</c:v>
                </c:pt>
                <c:pt idx="8">
                  <c:v>Santa María</c:v>
                </c:pt>
                <c:pt idx="9">
                  <c:v>Sensation</c:v>
                </c:pt>
                <c:pt idx="10">
                  <c:v>Victor</c:v>
                </c:pt>
                <c:pt idx="11">
                  <c:v>Sayulita</c:v>
                </c:pt>
              </c:strCache>
            </c:strRef>
          </c:cat>
          <c:val>
            <c:numRef>
              <c:f>VARIABLES_EPI!$AD$78:$AD$89</c:f>
              <c:numCache>
                <c:formatCode>General</c:formatCode>
                <c:ptCount val="12"/>
                <c:pt idx="0">
                  <c:v>0.23666666666666669</c:v>
                </c:pt>
                <c:pt idx="1">
                  <c:v>0.25166666666666671</c:v>
                </c:pt>
                <c:pt idx="2">
                  <c:v>0.28793939393939394</c:v>
                </c:pt>
                <c:pt idx="3">
                  <c:v>0.35450000000000004</c:v>
                </c:pt>
                <c:pt idx="4">
                  <c:v>0.29571428571428571</c:v>
                </c:pt>
                <c:pt idx="5">
                  <c:v>0.24799999999999997</c:v>
                </c:pt>
                <c:pt idx="6">
                  <c:v>0.18</c:v>
                </c:pt>
                <c:pt idx="7">
                  <c:v>0.1876666666666667</c:v>
                </c:pt>
                <c:pt idx="8">
                  <c:v>0.14924999999999999</c:v>
                </c:pt>
                <c:pt idx="9">
                  <c:v>7.5249999999999997E-2</c:v>
                </c:pt>
                <c:pt idx="10">
                  <c:v>8.0000000000000016E-2</c:v>
                </c:pt>
                <c:pt idx="11">
                  <c:v>0.10945454545454546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4-4824-9DE4-2BBACD6A43F9}"/>
            </c:ext>
          </c:extLst>
        </c:ser>
        <c:ser>
          <c:idx val="1"/>
          <c:order val="1"/>
          <c:tx>
            <c:strRef>
              <c:f>VARIABLES_EPI!$AE$77</c:f>
              <c:strCache>
                <c:ptCount val="1"/>
                <c:pt idx="0">
                  <c:v>Severidad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VARIABLES_EPI!$AC$78:$AC$89</c:f>
              <c:strCache>
                <c:ptCount val="12"/>
                <c:pt idx="0">
                  <c:v>Camino Real</c:v>
                </c:pt>
                <c:pt idx="1">
                  <c:v>Fortuna</c:v>
                </c:pt>
                <c:pt idx="2">
                  <c:v>Frontera</c:v>
                </c:pt>
                <c:pt idx="3">
                  <c:v>Festival</c:v>
                </c:pt>
                <c:pt idx="4">
                  <c:v>San Andreas</c:v>
                </c:pt>
                <c:pt idx="5">
                  <c:v>Codigo</c:v>
                </c:pt>
                <c:pt idx="6">
                  <c:v>Otras</c:v>
                </c:pt>
                <c:pt idx="7">
                  <c:v>No Documentado</c:v>
                </c:pt>
                <c:pt idx="8">
                  <c:v>Santa María</c:v>
                </c:pt>
                <c:pt idx="9">
                  <c:v>Sensation</c:v>
                </c:pt>
                <c:pt idx="10">
                  <c:v>Victor</c:v>
                </c:pt>
                <c:pt idx="11">
                  <c:v>Sayulita</c:v>
                </c:pt>
              </c:strCache>
            </c:strRef>
          </c:cat>
          <c:val>
            <c:numRef>
              <c:f>VARIABLES_EPI!$AE$78:$AE$89</c:f>
              <c:numCache>
                <c:formatCode>General</c:formatCode>
                <c:ptCount val="12"/>
                <c:pt idx="0">
                  <c:v>0.19353333333333336</c:v>
                </c:pt>
                <c:pt idx="1">
                  <c:v>0.20620000000000002</c:v>
                </c:pt>
                <c:pt idx="2">
                  <c:v>0.2122787878787879</c:v>
                </c:pt>
                <c:pt idx="3">
                  <c:v>0.23159999999999997</c:v>
                </c:pt>
                <c:pt idx="4">
                  <c:v>0.17817142857142859</c:v>
                </c:pt>
                <c:pt idx="5">
                  <c:v>0.13540000000000002</c:v>
                </c:pt>
                <c:pt idx="6">
                  <c:v>0.11213333333333331</c:v>
                </c:pt>
                <c:pt idx="7">
                  <c:v>0.11340000000000001</c:v>
                </c:pt>
                <c:pt idx="8">
                  <c:v>9.0700000000000003E-2</c:v>
                </c:pt>
                <c:pt idx="9">
                  <c:v>4.4199999999999996E-2</c:v>
                </c:pt>
                <c:pt idx="10">
                  <c:v>4.0999999999999995E-2</c:v>
                </c:pt>
                <c:pt idx="11">
                  <c:v>5.2072727272727271E-2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4-4824-9DE4-2BBACD6A43F9}"/>
            </c:ext>
          </c:extLst>
        </c:ser>
        <c:ser>
          <c:idx val="2"/>
          <c:order val="2"/>
          <c:tx>
            <c:strRef>
              <c:f>VARIABLES_EPI!$AF$77</c:f>
              <c:strCache>
                <c:ptCount val="1"/>
                <c:pt idx="0">
                  <c:v>Mortalidad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VARIABLES_EPI!$AC$78:$AC$89</c:f>
              <c:strCache>
                <c:ptCount val="12"/>
                <c:pt idx="0">
                  <c:v>Camino Real</c:v>
                </c:pt>
                <c:pt idx="1">
                  <c:v>Fortuna</c:v>
                </c:pt>
                <c:pt idx="2">
                  <c:v>Frontera</c:v>
                </c:pt>
                <c:pt idx="3">
                  <c:v>Festival</c:v>
                </c:pt>
                <c:pt idx="4">
                  <c:v>San Andreas</c:v>
                </c:pt>
                <c:pt idx="5">
                  <c:v>Codigo</c:v>
                </c:pt>
                <c:pt idx="6">
                  <c:v>Otras</c:v>
                </c:pt>
                <c:pt idx="7">
                  <c:v>No Documentado</c:v>
                </c:pt>
                <c:pt idx="8">
                  <c:v>Santa María</c:v>
                </c:pt>
                <c:pt idx="9">
                  <c:v>Sensation</c:v>
                </c:pt>
                <c:pt idx="10">
                  <c:v>Victor</c:v>
                </c:pt>
                <c:pt idx="11">
                  <c:v>Sayulita</c:v>
                </c:pt>
              </c:strCache>
            </c:strRef>
          </c:cat>
          <c:val>
            <c:numRef>
              <c:f>VARIABLES_EPI!$AF$78:$AF$89</c:f>
              <c:numCache>
                <c:formatCode>General</c:formatCode>
                <c:ptCount val="12"/>
                <c:pt idx="0">
                  <c:v>0.15326666666666663</c:v>
                </c:pt>
                <c:pt idx="1">
                  <c:v>0.14133333333333334</c:v>
                </c:pt>
                <c:pt idx="2">
                  <c:v>0.14006060606060605</c:v>
                </c:pt>
                <c:pt idx="3">
                  <c:v>0.12300000000000001</c:v>
                </c:pt>
                <c:pt idx="4">
                  <c:v>7.3142857142857134E-2</c:v>
                </c:pt>
                <c:pt idx="5">
                  <c:v>6.2916666666666676E-2</c:v>
                </c:pt>
                <c:pt idx="6">
                  <c:v>6.2233333333333328E-2</c:v>
                </c:pt>
                <c:pt idx="7">
                  <c:v>4.6166666666666661E-2</c:v>
                </c:pt>
                <c:pt idx="8">
                  <c:v>3.7750000000000006E-2</c:v>
                </c:pt>
                <c:pt idx="9">
                  <c:v>1.6250000000000001E-2</c:v>
                </c:pt>
                <c:pt idx="10">
                  <c:v>1.4666666666666668E-2</c:v>
                </c:pt>
                <c:pt idx="11">
                  <c:v>1.1545454545454546E-2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64-4824-9DE4-2BBACD6A4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4489311"/>
        <c:axId val="254490751"/>
        <c:axId val="0"/>
      </c:bar3DChart>
      <c:catAx>
        <c:axId val="254489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254490751"/>
        <c:crosses val="autoZero"/>
        <c:auto val="1"/>
        <c:lblAlgn val="ctr"/>
        <c:lblOffset val="100"/>
        <c:noMultiLvlLbl val="0"/>
      </c:catAx>
      <c:valAx>
        <c:axId val="25449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25448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 baseline="0">
          <a:solidFill>
            <a:sysClr val="windowText" lastClr="000000"/>
          </a:solidFill>
          <a:latin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/>
              <a:t>AISLAMIENTOS DE RAIZ Y CORONA</a:t>
            </a:r>
          </a:p>
        </c:rich>
      </c:tx>
      <c:layout>
        <c:manualLayout>
          <c:xMode val="edge"/>
          <c:yMode val="edge"/>
          <c:x val="0.31407563621191337"/>
          <c:y val="3.030778148710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AISLAMIENTOS!$BC$10</c:f>
              <c:strCache>
                <c:ptCount val="1"/>
                <c:pt idx="0">
                  <c:v>Corona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AISLAMIENTOS!$BD$9:$BQ$9</c15:sqref>
                  </c15:fullRef>
                </c:ext>
              </c:extLst>
              <c:f>(AISLAMIENTOS!$BF$9,AISLAMIENTOS!$BH$9,AISLAMIENTOS!$BJ$9:$BK$9,AISLAMIENTOS!$BM$9:$BQ$9)</c:f>
              <c:strCache>
                <c:ptCount val="9"/>
                <c:pt idx="0">
                  <c:v>Colletotrichum</c:v>
                </c:pt>
                <c:pt idx="1">
                  <c:v>Macrophomina</c:v>
                </c:pt>
                <c:pt idx="2">
                  <c:v>Alternaria</c:v>
                </c:pt>
                <c:pt idx="3">
                  <c:v>Oomicetos</c:v>
                </c:pt>
                <c:pt idx="4">
                  <c:v>NO ID</c:v>
                </c:pt>
                <c:pt idx="5">
                  <c:v>Cylindrocarpon</c:v>
                </c:pt>
                <c:pt idx="6">
                  <c:v>Rhizoctonia</c:v>
                </c:pt>
                <c:pt idx="7">
                  <c:v>Neopestalotiopsis</c:v>
                </c:pt>
                <c:pt idx="8">
                  <c:v>Fusarium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AISLAMIENTOS!$BD$10:$BQ$10</c15:sqref>
                  </c15:fullRef>
                </c:ext>
              </c:extLst>
              <c:f>(AISLAMIENTOS!$BF$10,AISLAMIENTOS!$BH$10,AISLAMIENTOS!$BJ$10:$BK$10,AISLAMIENTOS!$BM$10:$BQ$10)</c:f>
              <c:numCache>
                <c:formatCode>General</c:formatCode>
                <c:ptCount val="9"/>
                <c:pt idx="0">
                  <c:v>6</c:v>
                </c:pt>
                <c:pt idx="1">
                  <c:v>20</c:v>
                </c:pt>
                <c:pt idx="2">
                  <c:v>9</c:v>
                </c:pt>
                <c:pt idx="3">
                  <c:v>10</c:v>
                </c:pt>
                <c:pt idx="4">
                  <c:v>20</c:v>
                </c:pt>
                <c:pt idx="5">
                  <c:v>9</c:v>
                </c:pt>
                <c:pt idx="6">
                  <c:v>15</c:v>
                </c:pt>
                <c:pt idx="7">
                  <c:v>209</c:v>
                </c:pt>
                <c:pt idx="8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C-49B9-A41D-294AE40B4A25}"/>
            </c:ext>
          </c:extLst>
        </c:ser>
        <c:ser>
          <c:idx val="1"/>
          <c:order val="1"/>
          <c:tx>
            <c:strRef>
              <c:f>AISLAMIENTOS!$BC$11</c:f>
              <c:strCache>
                <c:ptCount val="1"/>
                <c:pt idx="0">
                  <c:v>Raíz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AISLAMIENTOS!$BD$9:$BQ$9</c15:sqref>
                  </c15:fullRef>
                </c:ext>
              </c:extLst>
              <c:f>(AISLAMIENTOS!$BF$9,AISLAMIENTOS!$BH$9,AISLAMIENTOS!$BJ$9:$BK$9,AISLAMIENTOS!$BM$9:$BQ$9)</c:f>
              <c:strCache>
                <c:ptCount val="9"/>
                <c:pt idx="0">
                  <c:v>Colletotrichum</c:v>
                </c:pt>
                <c:pt idx="1">
                  <c:v>Macrophomina</c:v>
                </c:pt>
                <c:pt idx="2">
                  <c:v>Alternaria</c:v>
                </c:pt>
                <c:pt idx="3">
                  <c:v>Oomicetos</c:v>
                </c:pt>
                <c:pt idx="4">
                  <c:v>NO ID</c:v>
                </c:pt>
                <c:pt idx="5">
                  <c:v>Cylindrocarpon</c:v>
                </c:pt>
                <c:pt idx="6">
                  <c:v>Rhizoctonia</c:v>
                </c:pt>
                <c:pt idx="7">
                  <c:v>Neopestalotiopsis</c:v>
                </c:pt>
                <c:pt idx="8">
                  <c:v>Fusarium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AISLAMIENTOS!$BD$11:$BQ$11</c15:sqref>
                  </c15:fullRef>
                </c:ext>
              </c:extLst>
              <c:f>(AISLAMIENTOS!$BF$11,AISLAMIENTOS!$BH$11,AISLAMIENTOS!$BJ$11:$BK$11,AISLAMIENTOS!$BM$11:$BQ$11)</c:f>
              <c:numCache>
                <c:formatCode>General</c:formatCode>
                <c:ptCount val="9"/>
                <c:pt idx="0">
                  <c:v>3</c:v>
                </c:pt>
                <c:pt idx="1">
                  <c:v>8</c:v>
                </c:pt>
                <c:pt idx="2">
                  <c:v>20</c:v>
                </c:pt>
                <c:pt idx="3">
                  <c:v>29</c:v>
                </c:pt>
                <c:pt idx="4">
                  <c:v>57</c:v>
                </c:pt>
                <c:pt idx="5">
                  <c:v>66</c:v>
                </c:pt>
                <c:pt idx="6">
                  <c:v>85</c:v>
                </c:pt>
                <c:pt idx="7">
                  <c:v>138</c:v>
                </c:pt>
                <c:pt idx="8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2C-49B9-A41D-294AE40B4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2750528"/>
        <c:axId val="218312400"/>
      </c:barChart>
      <c:catAx>
        <c:axId val="732750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Grupo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218312400"/>
        <c:crosses val="autoZero"/>
        <c:auto val="1"/>
        <c:lblAlgn val="ctr"/>
        <c:lblOffset val="100"/>
        <c:noMultiLvlLbl val="0"/>
      </c:catAx>
      <c:valAx>
        <c:axId val="21831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Aislamientos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73275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0756768009874054"/>
          <c:y val="0.91127122529110405"/>
          <c:w val="0.19549138311415962"/>
          <c:h val="5.8420993221795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/>
              <a:t>frecuencia</a:t>
            </a:r>
            <a:r>
              <a:rPr lang="es-MX" baseline="0"/>
              <a:t> de grupos</a:t>
            </a:r>
            <a:endParaRPr lang="es-MX"/>
          </a:p>
        </c:rich>
      </c:tx>
      <c:layout>
        <c:manualLayout>
          <c:xMode val="edge"/>
          <c:yMode val="edge"/>
          <c:x val="0.3616111066268464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9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50C-4EB0-8233-CD31E71C90F5}"/>
              </c:ext>
            </c:extLst>
          </c:dPt>
          <c:dPt>
            <c:idx val="1"/>
            <c:bubble3D val="0"/>
            <c:explosion val="12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A50C-4EB0-8233-CD31E71C90F5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50C-4EB0-8233-CD31E71C90F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A50C-4EB0-8233-CD31E71C90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A50C-4EB0-8233-CD31E71C90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50C-4EB0-8233-CD31E71C90F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A50C-4EB0-8233-CD31E71C90F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A50C-4EB0-8233-CD31E71C90F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A50C-4EB0-8233-CD31E71C90F5}"/>
              </c:ext>
            </c:extLst>
          </c:dPt>
          <c:dLbls>
            <c:dLbl>
              <c:idx val="0"/>
              <c:layout>
                <c:manualLayout>
                  <c:x val="-8.1323283227389243E-2"/>
                  <c:y val="-0.1547266579107158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1" u="none" strike="noStrike" kern="1200" spc="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04D4E216-125A-45D0-83C5-0B85A88A22FA}" type="CATEGORYNAME">
                      <a:rPr lang="en-US"/>
                      <a:pPr>
                        <a:defRPr i="1"/>
                      </a:pPr>
                      <a:t>[NOMBRE DE CATEGORÍA]</a:t>
                    </a:fld>
                    <a:r>
                      <a:rPr lang="en-US" baseline="0"/>
                      <a:t> </a:t>
                    </a:r>
                    <a:fld id="{D097925A-5BE3-4B6A-8649-B554E02ADE43}" type="PERCENTAGE">
                      <a:rPr lang="en-US" i="0"/>
                      <a:pPr>
                        <a:defRPr i="1"/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1" u="none" strike="noStrike" kern="1200" spc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508037391331502"/>
                      <c:h val="8.457469640441092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50C-4EB0-8233-CD31E71C90F5}"/>
                </c:ext>
              </c:extLst>
            </c:dLbl>
            <c:dLbl>
              <c:idx val="1"/>
              <c:layout>
                <c:manualLayout>
                  <c:x val="0.30567666323461679"/>
                  <c:y val="-8.568858910478063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1" u="none" strike="noStrike" kern="1200" spc="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DA38E98A-9B89-494B-A8F1-BE23067451CD}" type="CATEGORYNAME">
                      <a:rPr lang="en-US"/>
                      <a:pPr>
                        <a:defRPr i="1"/>
                      </a:pPr>
                      <a:t>[NOMBRE DE CATEGORÍA]</a:t>
                    </a:fld>
                    <a:r>
                      <a:rPr lang="en-US"/>
                      <a:t> </a:t>
                    </a:r>
                    <a:fld id="{D97A127C-C009-442B-9832-6C54F0224D19}" type="PERCENTAGE">
                      <a:rPr lang="en-US" i="0"/>
                      <a:pPr>
                        <a:defRPr i="1"/>
                      </a:pPr>
                      <a:t>[PORCENTAJE]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1" u="none" strike="noStrike" kern="1200" spc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4539146931554153"/>
                      <c:h val="8.024683166057253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50C-4EB0-8233-CD31E71C90F5}"/>
                </c:ext>
              </c:extLst>
            </c:dLbl>
            <c:dLbl>
              <c:idx val="2"/>
              <c:layout>
                <c:manualLayout>
                  <c:x val="-2.3608768135375775E-2"/>
                  <c:y val="5.5259520682399525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1" u="none" strike="noStrike" kern="1200" spc="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2C293F80-19AD-432C-9586-B9E8A4224A0A}" type="CATEGORYNAME">
                      <a:rPr lang="en-US"/>
                      <a:pPr>
                        <a:defRPr i="1"/>
                      </a:pPr>
                      <a:t>[NOMBRE DE CATEGORÍA]</a:t>
                    </a:fld>
                    <a:endParaRPr lang="en-US" baseline="0"/>
                  </a:p>
                  <a:p>
                    <a:pPr>
                      <a:defRPr i="1"/>
                    </a:pPr>
                    <a:fld id="{02A798FC-3C77-4B96-8CF3-E588416C5E30}" type="PERCENTAGE">
                      <a:rPr lang="en-US" i="0"/>
                      <a:pPr>
                        <a:defRPr i="1"/>
                      </a:pPr>
                      <a:t>[PORCENTAJE]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1" u="none" strike="noStrike" kern="1200" spc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50C-4EB0-8233-CD31E71C90F5}"/>
                </c:ext>
              </c:extLst>
            </c:dLbl>
            <c:dLbl>
              <c:idx val="3"/>
              <c:layout>
                <c:manualLayout>
                  <c:x val="-3.7019168088976179E-2"/>
                  <c:y val="2.4335944817059441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1" u="none" strike="noStrike" kern="1200" spc="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C61AF8E5-DB5C-462C-B511-CE5031D70735}" type="CATEGORYNAME">
                      <a:rPr lang="en-US"/>
                      <a:pPr>
                        <a:defRPr i="1"/>
                      </a:pPr>
                      <a:t>[NOMBRE DE CATEGORÍA]</a:t>
                    </a:fld>
                    <a:endParaRPr lang="en-US" baseline="0"/>
                  </a:p>
                  <a:p>
                    <a:pPr>
                      <a:defRPr i="1"/>
                    </a:pPr>
                    <a:fld id="{56658B1F-A91E-4FC2-9F48-3C5E929AD05B}" type="PERCENTAGE">
                      <a:rPr lang="en-US" i="0"/>
                      <a:pPr>
                        <a:defRPr i="1"/>
                      </a:pPr>
                      <a:t>[PORCENTAJE]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1" u="none" strike="noStrike" kern="1200" spc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50C-4EB0-8233-CD31E71C90F5}"/>
                </c:ext>
              </c:extLst>
            </c:dLbl>
            <c:dLbl>
              <c:idx val="4"/>
              <c:layout>
                <c:manualLayout>
                  <c:x val="-0.14799041669909516"/>
                  <c:y val="-3.983428235395985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1" u="none" strike="noStrike" kern="1200" spc="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DE159AE3-64D3-4F31-94E4-BE7F91212341}" type="CATEGORYNAME">
                      <a:rPr lang="en-US" i="0"/>
                      <a:pPr>
                        <a:defRPr i="1"/>
                      </a:pPr>
                      <a:t>[NOMBRE DE CATEGORÍA]</a:t>
                    </a:fld>
                    <a:endParaRPr lang="en-US" i="0" baseline="0"/>
                  </a:p>
                  <a:p>
                    <a:pPr>
                      <a:defRPr i="1"/>
                    </a:pPr>
                    <a:fld id="{B0F8BF11-46AD-4C8F-8539-5F2827C40FBD}" type="PERCENTAGE">
                      <a:rPr lang="en-US" i="0"/>
                      <a:pPr>
                        <a:defRPr i="1"/>
                      </a:pPr>
                      <a:t>[PORCENTAJE]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1" u="none" strike="noStrike" kern="1200" spc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A50C-4EB0-8233-CD31E71C90F5}"/>
                </c:ext>
              </c:extLst>
            </c:dLbl>
            <c:dLbl>
              <c:idx val="5"/>
              <c:layout>
                <c:manualLayout>
                  <c:x val="-0.19014092885445052"/>
                  <c:y val="-0.1097684691350557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1" u="none" strike="noStrike" kern="1200" spc="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CC7C3C2D-4B91-45B0-9332-3092D0966BC3}" type="CATEGORYNAME">
                      <a:rPr lang="en-US"/>
                      <a:pPr>
                        <a:defRPr i="1"/>
                      </a:pPr>
                      <a:t>[NOMBRE DE CATEGORÍA]</a:t>
                    </a:fld>
                    <a:endParaRPr lang="en-US" baseline="0"/>
                  </a:p>
                  <a:p>
                    <a:pPr>
                      <a:defRPr i="1"/>
                    </a:pPr>
                    <a:fld id="{7A9086F8-9EF9-4083-AF8E-A50DF669D90B}" type="PERCENTAGE">
                      <a:rPr lang="en-US" i="0"/>
                      <a:pPr>
                        <a:defRPr i="1"/>
                      </a:pPr>
                      <a:t>[PORCENTAJE]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1" u="none" strike="noStrike" kern="1200" spc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A50C-4EB0-8233-CD31E71C90F5}"/>
                </c:ext>
              </c:extLst>
            </c:dLbl>
            <c:dLbl>
              <c:idx val="6"/>
              <c:layout>
                <c:manualLayout>
                  <c:x val="-7.2130177632123593E-2"/>
                  <c:y val="-8.148016324619661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1" u="none" strike="noStrike" kern="1200" spc="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20665229-991B-4C0D-B282-1EC5865376B7}" type="CATEGORYNAME">
                      <a:rPr lang="en-US"/>
                      <a:pPr>
                        <a:defRPr i="1"/>
                      </a:pPr>
                      <a:t>[NOMBRE DE CATEGORÍA]</a:t>
                    </a:fld>
                    <a:endParaRPr lang="en-US" baseline="0"/>
                  </a:p>
                  <a:p>
                    <a:pPr>
                      <a:defRPr i="1"/>
                    </a:pPr>
                    <a:fld id="{0E43DD33-3D43-426D-98CF-1DACD097E365}" type="PERCENTAGE">
                      <a:rPr lang="en-US" i="0"/>
                      <a:pPr>
                        <a:defRPr i="1"/>
                      </a:pPr>
                      <a:t>[PORCENTAJE]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1" u="none" strike="noStrike" kern="1200" spc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A50C-4EB0-8233-CD31E71C90F5}"/>
                </c:ext>
              </c:extLst>
            </c:dLbl>
            <c:dLbl>
              <c:idx val="7"/>
              <c:layout>
                <c:manualLayout>
                  <c:x val="5.242410617575631E-2"/>
                  <c:y val="-6.098649557390819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1" u="none" strike="noStrike" kern="1200" spc="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501164D8-076D-4134-A387-96E4433A0DF0}" type="CATEGORYNAME">
                      <a:rPr lang="en-US"/>
                      <a:pPr>
                        <a:defRPr i="1"/>
                      </a:pPr>
                      <a:t>[NOMBRE DE CATEGORÍA]</a:t>
                    </a:fld>
                    <a:endParaRPr lang="en-US" baseline="0"/>
                  </a:p>
                  <a:p>
                    <a:pPr>
                      <a:defRPr i="1"/>
                    </a:pPr>
                    <a:fld id="{5697A0C3-AAB8-441F-AACB-39B40BE3385D}" type="PERCENTAGE">
                      <a:rPr lang="en-US" i="0"/>
                      <a:pPr>
                        <a:defRPr i="1"/>
                      </a:pPr>
                      <a:t>[PORCENTAJE]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1" u="none" strike="noStrike" kern="1200" spc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A50C-4EB0-8233-CD31E71C90F5}"/>
                </c:ext>
              </c:extLst>
            </c:dLbl>
            <c:dLbl>
              <c:idx val="8"/>
              <c:layout>
                <c:manualLayout>
                  <c:x val="5.4655485388049645E-2"/>
                  <c:y val="-3.22040997640133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1" u="none" strike="noStrike" kern="1200" spc="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1165E3E0-3398-4259-AF51-7630C0A054A6}" type="CATEGORYNAME">
                      <a:rPr lang="en-US"/>
                      <a:pPr>
                        <a:defRPr i="1"/>
                      </a:pPr>
                      <a:t>[NOMBRE DE CATEGORÍA]</a:t>
                    </a:fld>
                    <a:endParaRPr lang="en-US" baseline="0"/>
                  </a:p>
                  <a:p>
                    <a:pPr>
                      <a:defRPr i="1"/>
                    </a:pPr>
                    <a:fld id="{13486F92-EA14-46E9-A95A-77F74E95E791}" type="PERCENTAGE">
                      <a:rPr lang="en-US" i="0"/>
                      <a:pPr>
                        <a:defRPr i="1"/>
                      </a:pPr>
                      <a:t>[PORCENTAJE]</a:t>
                    </a:fld>
                    <a:endParaRPr lang="es-ES_tradn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1" u="none" strike="noStrike" kern="1200" spc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A50C-4EB0-8233-CD31E71C90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spc="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AISLAMIENTOS!$Q$294:$AD$294</c15:sqref>
                  </c15:fullRef>
                </c:ext>
              </c:extLst>
              <c:f>(AISLAMIENTOS!$Q$294:$T$294,AISLAMIENTOS!$V$294:$X$294,AISLAMIENTOS!$Z$294,AISLAMIENTOS!$AD$294)</c:f>
              <c:strCache>
                <c:ptCount val="9"/>
                <c:pt idx="0">
                  <c:v>Neopestalotiopsis</c:v>
                </c:pt>
                <c:pt idx="1">
                  <c:v>Fusarium</c:v>
                </c:pt>
                <c:pt idx="2">
                  <c:v>Rhizoctonia</c:v>
                </c:pt>
                <c:pt idx="3">
                  <c:v>Cylindrocarpon</c:v>
                </c:pt>
                <c:pt idx="4">
                  <c:v>Oomicetos</c:v>
                </c:pt>
                <c:pt idx="5">
                  <c:v>Alternaria</c:v>
                </c:pt>
                <c:pt idx="6">
                  <c:v>Macrophomina</c:v>
                </c:pt>
                <c:pt idx="7">
                  <c:v>Colletotrichum</c:v>
                </c:pt>
                <c:pt idx="8">
                  <c:v>NO ID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AISLAMIENTOS!$Q$295:$AD$295</c15:sqref>
                  </c15:fullRef>
                </c:ext>
              </c:extLst>
              <c:f>(AISLAMIENTOS!$Q$295:$T$295,AISLAMIENTOS!$V$295:$X$295,AISLAMIENTOS!$Z$295,AISLAMIENTOS!$AD$295)</c:f>
              <c:numCache>
                <c:formatCode>General</c:formatCode>
                <c:ptCount val="9"/>
                <c:pt idx="0">
                  <c:v>347</c:v>
                </c:pt>
                <c:pt idx="1">
                  <c:v>384</c:v>
                </c:pt>
                <c:pt idx="2">
                  <c:v>100</c:v>
                </c:pt>
                <c:pt idx="3">
                  <c:v>75</c:v>
                </c:pt>
                <c:pt idx="4">
                  <c:v>39</c:v>
                </c:pt>
                <c:pt idx="5">
                  <c:v>29</c:v>
                </c:pt>
                <c:pt idx="6">
                  <c:v>28</c:v>
                </c:pt>
                <c:pt idx="7">
                  <c:v>9</c:v>
                </c:pt>
                <c:pt idx="8">
                  <c:v>77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A50C-4EB0-8233-CD31E71C90F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AISLAMIENTOS DE RAIZ Y CORONA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resumen_aislamientos!$D$154</c:f>
              <c:strCache>
                <c:ptCount val="1"/>
                <c:pt idx="0">
                  <c:v>CORONA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resumen_aislamientos!$C$155:$C$165</c:f>
              <c:strCache>
                <c:ptCount val="11"/>
                <c:pt idx="0">
                  <c:v>NO ID</c:v>
                </c:pt>
                <c:pt idx="1">
                  <c:v>Colletotrichum</c:v>
                </c:pt>
                <c:pt idx="2">
                  <c:v>Macrophomina</c:v>
                </c:pt>
                <c:pt idx="3">
                  <c:v>Trichoderma</c:v>
                </c:pt>
                <c:pt idx="4">
                  <c:v>Alternaria</c:v>
                </c:pt>
                <c:pt idx="5">
                  <c:v>Omicetes</c:v>
                </c:pt>
                <c:pt idx="6">
                  <c:v>Botrytis</c:v>
                </c:pt>
                <c:pt idx="7">
                  <c:v>Cylindrocarpon</c:v>
                </c:pt>
                <c:pt idx="8">
                  <c:v>Rhizoctonia</c:v>
                </c:pt>
                <c:pt idx="9">
                  <c:v>Neopestalotiopsis</c:v>
                </c:pt>
                <c:pt idx="10">
                  <c:v>Fusarium</c:v>
                </c:pt>
              </c:strCache>
            </c:strRef>
          </c:cat>
          <c:val>
            <c:numRef>
              <c:f>resumen_aislamientos!$D$155:$D$165</c:f>
              <c:numCache>
                <c:formatCode>General</c:formatCode>
                <c:ptCount val="11"/>
                <c:pt idx="0">
                  <c:v>19</c:v>
                </c:pt>
                <c:pt idx="1">
                  <c:v>6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8</c:v>
                </c:pt>
                <c:pt idx="8">
                  <c:v>15</c:v>
                </c:pt>
                <c:pt idx="9">
                  <c:v>191</c:v>
                </c:pt>
                <c:pt idx="1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7-42E1-BE38-CE90CBF93D2E}"/>
            </c:ext>
          </c:extLst>
        </c:ser>
        <c:ser>
          <c:idx val="1"/>
          <c:order val="1"/>
          <c:tx>
            <c:strRef>
              <c:f>resumen_aislamientos!$E$154</c:f>
              <c:strCache>
                <c:ptCount val="1"/>
                <c:pt idx="0">
                  <c:v>RAIZ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resumen_aislamientos!$C$155:$C$165</c:f>
              <c:strCache>
                <c:ptCount val="11"/>
                <c:pt idx="0">
                  <c:v>NO ID</c:v>
                </c:pt>
                <c:pt idx="1">
                  <c:v>Colletotrichum</c:v>
                </c:pt>
                <c:pt idx="2">
                  <c:v>Macrophomina</c:v>
                </c:pt>
                <c:pt idx="3">
                  <c:v>Trichoderma</c:v>
                </c:pt>
                <c:pt idx="4">
                  <c:v>Alternaria</c:v>
                </c:pt>
                <c:pt idx="5">
                  <c:v>Omicetes</c:v>
                </c:pt>
                <c:pt idx="6">
                  <c:v>Botrytis</c:v>
                </c:pt>
                <c:pt idx="7">
                  <c:v>Cylindrocarpon</c:v>
                </c:pt>
                <c:pt idx="8">
                  <c:v>Rhizoctonia</c:v>
                </c:pt>
                <c:pt idx="9">
                  <c:v>Neopestalotiopsis</c:v>
                </c:pt>
                <c:pt idx="10">
                  <c:v>Fusarium</c:v>
                </c:pt>
              </c:strCache>
            </c:strRef>
          </c:cat>
          <c:val>
            <c:numRef>
              <c:f>resumen_aislamientos!$E$155:$E$165</c:f>
              <c:numCache>
                <c:formatCode>General</c:formatCode>
                <c:ptCount val="11"/>
                <c:pt idx="0">
                  <c:v>57</c:v>
                </c:pt>
                <c:pt idx="1">
                  <c:v>1</c:v>
                </c:pt>
                <c:pt idx="2">
                  <c:v>8</c:v>
                </c:pt>
                <c:pt idx="3">
                  <c:v>18</c:v>
                </c:pt>
                <c:pt idx="4">
                  <c:v>20</c:v>
                </c:pt>
                <c:pt idx="5">
                  <c:v>29</c:v>
                </c:pt>
                <c:pt idx="6">
                  <c:v>49</c:v>
                </c:pt>
                <c:pt idx="7">
                  <c:v>62</c:v>
                </c:pt>
                <c:pt idx="8">
                  <c:v>78</c:v>
                </c:pt>
                <c:pt idx="9">
                  <c:v>127</c:v>
                </c:pt>
                <c:pt idx="10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7-42E1-BE38-CE90CBF93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55692416"/>
        <c:axId val="1955718816"/>
      </c:barChart>
      <c:catAx>
        <c:axId val="1955692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718816"/>
        <c:crosses val="autoZero"/>
        <c:auto val="1"/>
        <c:lblAlgn val="l"/>
        <c:lblOffset val="100"/>
        <c:noMultiLvlLbl val="0"/>
      </c:catAx>
      <c:valAx>
        <c:axId val="195571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69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953504700842253"/>
          <c:y val="0.91778925279402246"/>
          <c:w val="0.27537435387045617"/>
          <c:h val="6.1728819818979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Times New Roman" panose="02020603050405020304" pitchFamily="18" charset="0"/>
              </a:defRPr>
            </a:pPr>
            <a:r>
              <a:rPr lang="en-US"/>
              <a:t>MICROORGANISMOS AISLADOS</a:t>
            </a:r>
            <a:r>
              <a:rPr lang="en-US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32508413645941392"/>
          <c:y val="5.6226634955434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235560973069295"/>
          <c:y val="0.30015947113315705"/>
          <c:w val="0.75590039031434875"/>
          <c:h val="0.62261634486141681"/>
        </c:manualLayout>
      </c:layout>
      <c:pie3DChart>
        <c:varyColors val="1"/>
        <c:ser>
          <c:idx val="0"/>
          <c:order val="0"/>
          <c:tx>
            <c:strRef>
              <c:f>resumen_aislamientos!$F$171</c:f>
              <c:strCache>
                <c:ptCount val="1"/>
                <c:pt idx="0">
                  <c:v>TOTALES</c:v>
                </c:pt>
              </c:strCache>
            </c:strRef>
          </c:tx>
          <c:explosion val="7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33A-49A4-8530-EEA1065EDE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B33A-49A4-8530-EEA1065EDE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B33A-49A4-8530-EEA1065EDE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B33A-49A4-8530-EEA1065EDE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B33A-49A4-8530-EEA1065EDE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33A-49A4-8530-EEA1065EDE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B33A-49A4-8530-EEA1065EDE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33A-49A4-8530-EEA1065EDE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B33A-49A4-8530-EEA1065EDE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33A-49A4-8530-EEA1065EDED7}"/>
              </c:ext>
            </c:extLst>
          </c:dPt>
          <c:dLbls>
            <c:dLbl>
              <c:idx val="0"/>
              <c:layout>
                <c:manualLayout>
                  <c:x val="-6.6753324991237983E-2"/>
                  <c:y val="-0.168418805197289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1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444582540998489"/>
                      <c:h val="8.51833519574837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33A-49A4-8530-EEA1065EDED7}"/>
                </c:ext>
              </c:extLst>
            </c:dLbl>
            <c:dLbl>
              <c:idx val="1"/>
              <c:layout>
                <c:manualLayout>
                  <c:x val="0.1245078844061465"/>
                  <c:y val="-4.72274956214060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1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3A-49A4-8530-EEA1065EDED7}"/>
                </c:ext>
              </c:extLst>
            </c:dLbl>
            <c:dLbl>
              <c:idx val="2"/>
              <c:layout>
                <c:manualLayout>
                  <c:x val="-7.7278018391082878E-2"/>
                  <c:y val="8.8383178761738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1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33A-49A4-8530-EEA1065EDED7}"/>
                </c:ext>
              </c:extLst>
            </c:dLbl>
            <c:dLbl>
              <c:idx val="3"/>
              <c:layout>
                <c:manualLayout>
                  <c:x val="-7.1562087850990844E-2"/>
                  <c:y val="-0.1182981835697803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1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33A-49A4-8530-EEA1065EDED7}"/>
                </c:ext>
              </c:extLst>
            </c:dLbl>
            <c:dLbl>
              <c:idx val="4"/>
              <c:layout>
                <c:manualLayout>
                  <c:x val="-0.10872950075515199"/>
                  <c:y val="-2.72909476003180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1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33A-49A4-8530-EEA1065EDED7}"/>
                </c:ext>
              </c:extLst>
            </c:dLbl>
            <c:dLbl>
              <c:idx val="5"/>
              <c:layout>
                <c:manualLayout>
                  <c:x val="-0.1374278805213012"/>
                  <c:y val="-3.90976554821411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1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33A-49A4-8530-EEA1065EDED7}"/>
                </c:ext>
              </c:extLst>
            </c:dLbl>
            <c:dLbl>
              <c:idx val="6"/>
              <c:layout>
                <c:manualLayout>
                  <c:x val="-0.15482530160334321"/>
                  <c:y val="-8.01878146699275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1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33A-49A4-8530-EEA1065EDED7}"/>
                </c:ext>
              </c:extLst>
            </c:dLbl>
            <c:dLbl>
              <c:idx val="7"/>
              <c:layout>
                <c:manualLayout>
                  <c:x val="-4.337106043608796E-2"/>
                  <c:y val="-0.1222785423222751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1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33A-49A4-8530-EEA1065EDED7}"/>
                </c:ext>
              </c:extLst>
            </c:dLbl>
            <c:dLbl>
              <c:idx val="8"/>
              <c:layout>
                <c:manualLayout>
                  <c:x val="9.0658917620166285E-2"/>
                  <c:y val="-0.105955109008835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1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33A-49A4-8530-EEA1065EDED7}"/>
                </c:ext>
              </c:extLst>
            </c:dLbl>
            <c:dLbl>
              <c:idx val="9"/>
              <c:layout>
                <c:manualLayout>
                  <c:x val="0.1109162745459587"/>
                  <c:y val="-9.78735263751618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Times New Roman" panose="02020603050405020304" pitchFamily="18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33A-49A4-8530-EEA1065EDE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Times New Roman" panose="02020603050405020304" pitchFamily="18" charset="0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resumen_aislamientos!$C$172:$C$181</c:f>
              <c:strCache>
                <c:ptCount val="10"/>
                <c:pt idx="0">
                  <c:v>Neopestalotiopsis</c:v>
                </c:pt>
                <c:pt idx="1">
                  <c:v>Fusarium</c:v>
                </c:pt>
                <c:pt idx="2">
                  <c:v>Rhizoctonia</c:v>
                </c:pt>
                <c:pt idx="3">
                  <c:v>Cylindrocarpon</c:v>
                </c:pt>
                <c:pt idx="4">
                  <c:v>Botrytis</c:v>
                </c:pt>
                <c:pt idx="5">
                  <c:v>Omicetes</c:v>
                </c:pt>
                <c:pt idx="6">
                  <c:v>Alternaria</c:v>
                </c:pt>
                <c:pt idx="7">
                  <c:v>Trichoderma</c:v>
                </c:pt>
                <c:pt idx="8">
                  <c:v>Colletotrichum</c:v>
                </c:pt>
                <c:pt idx="9">
                  <c:v>NO ID</c:v>
                </c:pt>
              </c:strCache>
            </c:strRef>
          </c:cat>
          <c:val>
            <c:numRef>
              <c:f>resumen_aislamientos!$F$172:$F$181</c:f>
              <c:numCache>
                <c:formatCode>General</c:formatCode>
                <c:ptCount val="10"/>
                <c:pt idx="0">
                  <c:v>318</c:v>
                </c:pt>
                <c:pt idx="1">
                  <c:v>367</c:v>
                </c:pt>
                <c:pt idx="2">
                  <c:v>93</c:v>
                </c:pt>
                <c:pt idx="3">
                  <c:v>70</c:v>
                </c:pt>
                <c:pt idx="4">
                  <c:v>60</c:v>
                </c:pt>
                <c:pt idx="5">
                  <c:v>39</c:v>
                </c:pt>
                <c:pt idx="6">
                  <c:v>29</c:v>
                </c:pt>
                <c:pt idx="7">
                  <c:v>28</c:v>
                </c:pt>
                <c:pt idx="8">
                  <c:v>7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A-49A4-8530-EEA1065EDED7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+mn-lt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29794361-C6F8-4B80-B4E7-3401E7D2CD6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605515</xdr:colOff>
      <xdr:row>26</xdr:row>
      <xdr:rowOff>84362</xdr:rowOff>
    </xdr:from>
    <xdr:to>
      <xdr:col>19</xdr:col>
      <xdr:colOff>707569</xdr:colOff>
      <xdr:row>42</xdr:row>
      <xdr:rowOff>13606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FB77457-F4EB-29C6-EC7D-AA1ABEA61D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56915" y="5291362"/>
              <a:ext cx="6071054" cy="29772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33</xdr:col>
      <xdr:colOff>281667</xdr:colOff>
      <xdr:row>0</xdr:row>
      <xdr:rowOff>84362</xdr:rowOff>
    </xdr:from>
    <xdr:to>
      <xdr:col>46</xdr:col>
      <xdr:colOff>16329</xdr:colOff>
      <xdr:row>26</xdr:row>
      <xdr:rowOff>57148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A88034-5296-58A1-0BFB-7399FE790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638175</xdr:colOff>
      <xdr:row>28</xdr:row>
      <xdr:rowOff>70755</xdr:rowOff>
    </xdr:from>
    <xdr:to>
      <xdr:col>46</xdr:col>
      <xdr:colOff>95250</xdr:colOff>
      <xdr:row>49</xdr:row>
      <xdr:rowOff>13608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6825338-B030-AE1E-DDF3-D5D38B999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197305</xdr:colOff>
      <xdr:row>51</xdr:row>
      <xdr:rowOff>95250</xdr:rowOff>
    </xdr:from>
    <xdr:to>
      <xdr:col>46</xdr:col>
      <xdr:colOff>1</xdr:colOff>
      <xdr:row>78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6EBF554-FBA7-1790-1618-451B0A610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2</xdr:row>
      <xdr:rowOff>11206</xdr:rowOff>
    </xdr:from>
    <xdr:to>
      <xdr:col>18</xdr:col>
      <xdr:colOff>67235</xdr:colOff>
      <xdr:row>12</xdr:row>
      <xdr:rowOff>145676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1FE6546-AB86-4D5F-A6EF-B9D0AB9360C4}"/>
            </a:ext>
          </a:extLst>
        </xdr:cNvPr>
        <xdr:cNvSpPr txBox="1"/>
      </xdr:nvSpPr>
      <xdr:spPr>
        <a:xfrm>
          <a:off x="12687300" y="392206"/>
          <a:ext cx="1972235" cy="20394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/>
            <a:t>nota: La</a:t>
          </a:r>
          <a:r>
            <a:rPr lang="es-MX" sz="1600" baseline="0"/>
            <a:t> estimación se realizó con las mismas fórmulas de su formato orginal, sólo se cambio el orden de llenado de datos</a:t>
          </a:r>
          <a:endParaRPr lang="es-MX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528515</xdr:colOff>
      <xdr:row>16</xdr:row>
      <xdr:rowOff>103413</xdr:rowOff>
    </xdr:from>
    <xdr:to>
      <xdr:col>74</xdr:col>
      <xdr:colOff>544286</xdr:colOff>
      <xdr:row>38</xdr:row>
      <xdr:rowOff>102756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B4F536-645C-3BC7-2188-61AF04F9C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1552335</xdr:colOff>
      <xdr:row>295</xdr:row>
      <xdr:rowOff>166006</xdr:rowOff>
    </xdr:from>
    <xdr:to>
      <xdr:col>32</xdr:col>
      <xdr:colOff>269502</xdr:colOff>
      <xdr:row>319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B140D4-5645-782B-3B2F-F2727A72C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112058</xdr:colOff>
      <xdr:row>153</xdr:row>
      <xdr:rowOff>56029</xdr:rowOff>
    </xdr:from>
    <xdr:to>
      <xdr:col>15</xdr:col>
      <xdr:colOff>470646</xdr:colOff>
      <xdr:row>172</xdr:row>
      <xdr:rowOff>156882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6C322D-1D35-0A68-8E2E-6B21797AA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403411</xdr:colOff>
      <xdr:row>171</xdr:row>
      <xdr:rowOff>110597</xdr:rowOff>
    </xdr:from>
    <xdr:to>
      <xdr:col>15</xdr:col>
      <xdr:colOff>649941</xdr:colOff>
      <xdr:row>195</xdr:row>
      <xdr:rowOff>56029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D000AA-CBC1-F0E0-702C-F8725C842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D3975E-D90A-4633-9EF6-F4D2C0C23C85}" name="Tabla3" displayName="Tabla3" ref="B2:AN143" totalsRowShown="0">
  <autoFilter ref="B2:AN143" xr:uid="{44D3975E-D90A-4633-9EF6-F4D2C0C23C85}"/>
  <sortState xmlns:xlrd2="http://schemas.microsoft.com/office/spreadsheetml/2017/richdata2" ref="B3:AN143">
    <sortCondition ref="D2:D143"/>
  </sortState>
  <tableColumns count="39">
    <tableColumn id="1" xr3:uid="{E8DCD89B-0A98-4A4E-9F85-09432EA053F8}" name="Y"/>
    <tableColumn id="2" xr3:uid="{10ABFB09-B8E8-410C-8ECF-016D66B76E7D}" name="X"/>
    <tableColumn id="3" xr3:uid="{DFD6E23A-6313-4A1F-ABFE-DA047B2DC1DA}" name="UNIDAD DE MUESTREO"/>
    <tableColumn id="4" xr3:uid="{950B4E9B-D1F6-4C59-BC90-CB36EB06D4ED}" name="NUMERO DE PARCELA"/>
    <tableColumn id="5" xr3:uid="{40355576-B33C-424F-ACF6-C67DE39B59DD}" name="NOMBRE DE PARCELA"/>
    <tableColumn id="6" xr3:uid="{C6660F29-F4FD-4540-9C6A-BEAF1528672C}" name="VARIEDAD"/>
    <tableColumn id="7" xr3:uid="{8F6DC920-E8C9-4914-AE0A-5FF739F2CB5D}" name="TIPO DE PLANTACION"/>
    <tableColumn id="8" xr3:uid="{BFD06407-00D7-416E-9847-8A9E13CD2E41}" name="INCIDENCIA "/>
    <tableColumn id="9" xr3:uid="{3F97A8BC-9BD2-4D03-9709-32F33B2814FA}" name="SEVERIDAD"/>
    <tableColumn id="10" xr3:uid="{46D46C1E-04F0-4598-8DF8-EF930CA97ED3}" name="MORTALIDAD"/>
    <tableColumn id="11" xr3:uid="{7D4272E4-8F1E-4366-BD3B-912DEBA05CC7}" name="FECHA DE MUESTREO"/>
    <tableColumn id="14" xr3:uid="{EDEBAF7A-11C8-43F4-80B4-7395FC67BEFF}" name="CODIGO HOJA"/>
    <tableColumn id="15" xr3:uid="{68A78CB1-ECC8-40A0-A46B-9AF024CE6C7D}" name="SUPERFICIE"/>
    <tableColumn id="16" xr3:uid="{459C040B-C55A-4015-AF13-169A41E1087A}" name="DENSIDAD"/>
    <tableColumn id="17" xr3:uid="{555C3A58-D12D-4110-B83A-9BB67E7EB926}" name="FECHA DE SIEMBRA"/>
    <tableColumn id="18" xr3:uid="{7A210A55-0BAD-47DD-A81A-EB1EECA96075}" name="Columna1"/>
    <tableColumn id="19" xr3:uid="{8FCB5F89-D428-4F88-98C8-B4E140928530}" name="MODALIDAD"/>
    <tableColumn id="20" xr3:uid="{FBC42BE7-9E5D-412C-8F63-71E65EFA69A2}" name="TEMPORADA"/>
    <tableColumn id="21" xr3:uid="{41211F45-7F80-4457-904D-E43FAB875643}" name="ORIGEN DE LA PLANTA"/>
    <tableColumn id="22" xr3:uid="{E6893272-C480-46CD-94C0-FF1F394846CE}" name="PUESTA DE TUNEL"/>
    <tableColumn id="23" xr3:uid="{258598C3-B48D-4B4C-BE1C-53E3B4A318FC}" name="TIPO DE RIEGO"/>
    <tableColumn id="24" xr3:uid="{BFE5EE1F-213B-4C38-8253-F1AFC520B95B}" name="FERTILIZACION"/>
    <tableColumn id="25" xr3:uid="{F848B409-F119-4C63-82F7-468198774B99}" name="ASESORIA TECNICA"/>
    <tableColumn id="26" xr3:uid="{1923FEC7-0CFA-4E2D-84EB-51A7EB772446}" name="EMPRESA"/>
    <tableColumn id="27" xr3:uid="{A5C12478-7BAC-491D-8261-1C3443DD91E7}" name="ANTECEDENTES FITOPAT"/>
    <tableColumn id="28" xr3:uid="{9D82B563-8BE3-41F8-80D8-19094798413E}" name="TRATAMIENTO PRE"/>
    <tableColumn id="29" xr3:uid="{5E815B12-EAF5-4691-98EF-889C6372C8BB}" name="productos utilizados PRE" dataDxfId="53"/>
    <tableColumn id="40" xr3:uid="{30B639C0-85AA-43F5-BBBD-4B56CD1426DF}" name="Ingrediente pre" dataDxfId="52"/>
    <tableColumn id="30" xr3:uid="{65300EFC-AE62-4F49-A772-A4E5DFFB2655}" name="TRATAMIENTO POST" dataDxfId="51"/>
    <tableColumn id="31" xr3:uid="{7C4E1629-AC1A-4F33-AA6D-03B78773ED5C}" name="productos utilizados POST" dataDxfId="50"/>
    <tableColumn id="41" xr3:uid="{300CE7F7-1E58-44DD-8C46-CA1CE1FB82B4}" name="Ingrediente pos" dataDxfId="49"/>
    <tableColumn id="32" xr3:uid="{4C7C6DBC-D36A-4857-96CA-3FE04D305FD7}" name="fungus"/>
    <tableColumn id="33" xr3:uid="{B57111AE-15F9-4077-A974-9678372588D3}" name="Duponchelia"/>
    <tableColumn id="34" xr3:uid="{FE18118E-5DA9-4587-830A-DE2076710DA9}" name="Replante"/>
    <tableColumn id="35" xr3:uid="{0C67B5C2-3B1B-4398-BB7D-08EDBCCB1310}" name="Perdida"/>
    <tableColumn id="36" xr3:uid="{A3871C58-A852-46BF-BE1C-2E4299D43E48}" name="COSTOS EN P&amp;E"/>
    <tableColumn id="37" xr3:uid="{5BCD49AE-CE81-4271-9140-9C29E3137FA3}" name="CULTIVO ANTERIOR"/>
    <tableColumn id="38" xr3:uid="{A627D048-5250-4C12-8B36-D6E7CBFFBAD3}" name="TEXTURA"/>
    <tableColumn id="39" xr3:uid="{1C7CC72D-D9EE-4BFF-9DC4-8E7D735C5B5B}" name="HUMEDAD AL MUESTREO (1-5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671C17-241D-49A2-A8DE-7D7EE53A9BC5}" name="Tabla2" displayName="Tabla2" ref="C2:M143" totalsRowShown="0" headerRowDxfId="48" tableBorderDxfId="47">
  <autoFilter ref="C2:M143" xr:uid="{32671C17-241D-49A2-A8DE-7D7EE53A9BC5}"/>
  <sortState xmlns:xlrd2="http://schemas.microsoft.com/office/spreadsheetml/2017/richdata2" ref="C3:M143">
    <sortCondition descending="1" ref="K2:K143"/>
  </sortState>
  <tableColumns count="11">
    <tableColumn id="1" xr3:uid="{EFE0504B-1E25-441C-AA46-37E799F0AC3D}" name="Y" dataDxfId="46"/>
    <tableColumn id="2" xr3:uid="{E8108877-B424-4E73-A3E8-260AB6BA6267}" name="X"/>
    <tableColumn id="11" xr3:uid="{24FEB378-080A-4653-8DAA-9E36F8204732}" name="Columna1" dataDxfId="45">
      <calculatedColumnFormula>Tabla2[[#This Row],[UNIDAD DE MUESTREO]]</calculatedColumnFormula>
    </tableColumn>
    <tableColumn id="3" xr3:uid="{97264028-9938-42E8-A02B-87D6494023DD}" name="UNIDAD DE MUESTREO"/>
    <tableColumn id="4" xr3:uid="{153B8358-922F-4836-AAE3-A2B2BC37A9E5}" name="NUMERO DE PARCELA"/>
    <tableColumn id="5" xr3:uid="{58AB8903-0006-4A27-8526-D6D89E1A0B16}" name="NOMBRE DE PARCELA"/>
    <tableColumn id="6" xr3:uid="{3F1F4F3F-1C74-4DB8-9679-2BC67F58D885}" name="VARIEDAD"/>
    <tableColumn id="7" xr3:uid="{D06D24DE-DE03-470A-A762-0C6DBF811B08}" name="TIPO DE PLANTACION"/>
    <tableColumn id="8" xr3:uid="{A9145B49-3D68-4CE0-A84A-2DAFAFEA2EC5}" name="INCIDENCIA "/>
    <tableColumn id="9" xr3:uid="{FD287F0B-B2F3-42DE-A3EC-0AD7A08E9473}" name="SEVERIDAD"/>
    <tableColumn id="10" xr3:uid="{7F8F0637-292D-493C-8255-23716FAD9598}" name="MORTALIDAD" dataDxfId="4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FE8F2B-977D-41DF-A994-17DA69233C59}" name="Tabla7" displayName="Tabla7" ref="P3:R25" totalsRowShown="0">
  <autoFilter ref="P3:R25" xr:uid="{C3FE8F2B-977D-41DF-A994-17DA69233C59}"/>
  <sortState xmlns:xlrd2="http://schemas.microsoft.com/office/spreadsheetml/2017/richdata2" ref="P4:R25">
    <sortCondition descending="1" ref="R3:R25"/>
  </sortState>
  <tableColumns count="3">
    <tableColumn id="1" xr3:uid="{A4050664-EF9F-4112-8D7A-EC79611A1D2F}" name="NUMERO"/>
    <tableColumn id="2" xr3:uid="{1E478F97-02BC-4C00-AEBE-27FCEE349DA3}" name="VARIEDAD"/>
    <tableColumn id="3" xr3:uid="{2C4B5907-1445-4654-A928-11D9F7206E06}" name="FRECUENCIA">
      <calculatedColumnFormula>COUNTIFS(Tabla2[VARIEDAD],Q4)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A6EE0A-9BC1-4DCC-BB2A-72A22F220238}" name="Tabla5" displayName="Tabla5" ref="AB66:AE70" totalsRowShown="0">
  <autoFilter ref="AB66:AE70" xr:uid="{A7A6EE0A-9BC1-4DCC-BB2A-72A22F220238}"/>
  <sortState xmlns:xlrd2="http://schemas.microsoft.com/office/spreadsheetml/2017/richdata2" ref="AB67:AE70">
    <sortCondition descending="1" ref="AE66:AE70"/>
  </sortState>
  <tableColumns count="4">
    <tableColumn id="1" xr3:uid="{F392A5BF-F928-4E00-A965-84B6DA50A1AD}" name="Columna1"/>
    <tableColumn id="2" xr3:uid="{89FE6ADE-A619-46EB-8A0E-B1398BADCC7A}" name="INCIDENCIA " dataDxfId="43"/>
    <tableColumn id="3" xr3:uid="{BEA0BC37-DC6B-4FAC-AA2C-C9383DD5E457}" name="SEVERIDAD" dataDxfId="42"/>
    <tableColumn id="4" xr3:uid="{C4D272F6-9D11-4392-B38A-52DCB1AE9BE4}" name="MORTALIDAD" dataDxfId="4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6F84AA9-53E7-4B7E-8FD7-58276B70523E}" name="Tabla12" displayName="Tabla12" ref="AC77:AF89" totalsRowShown="0">
  <autoFilter ref="AC77:AF89" xr:uid="{16F84AA9-53E7-4B7E-8FD7-58276B70523E}"/>
  <sortState xmlns:xlrd2="http://schemas.microsoft.com/office/spreadsheetml/2017/richdata2" ref="AC78:AF89">
    <sortCondition descending="1" ref="AF77:AF89"/>
  </sortState>
  <tableColumns count="4">
    <tableColumn id="1" xr3:uid="{E3170448-5CC0-4508-9C61-C27BD5EDEACF}" name="Columna1"/>
    <tableColumn id="2" xr3:uid="{FF44C590-E99D-4FBE-84A6-AB6C855792F5}" name="Incidencia"/>
    <tableColumn id="3" xr3:uid="{470A7E27-1D21-46C6-9E2A-3CCB389288CC}" name="Severidad"/>
    <tableColumn id="4" xr3:uid="{67DF7F8A-5A67-4357-8B7A-5473B39A4EC2}" name="Mortalidad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5D3251-72B5-4A93-B09E-7B0DEE5649F6}" name="Tabla213" displayName="Tabla213" ref="M4:AD286" totalsRowShown="0" headerRowDxfId="40">
  <autoFilter ref="M4:AD286" xr:uid="{595D3251-72B5-4A93-B09E-7B0DEE5649F6}"/>
  <sortState xmlns:xlrd2="http://schemas.microsoft.com/office/spreadsheetml/2017/richdata2" ref="M5:AD286">
    <sortCondition ref="M4:M286"/>
  </sortState>
  <tableColumns count="18">
    <tableColumn id="1" xr3:uid="{2C6CA318-0351-449E-B2A3-E38E9CD2596A}" name="Num. Parcela"/>
    <tableColumn id="2" xr3:uid="{AA0EEFB5-85C7-4387-BF16-7DA392C2361E}" name="Nom. Parcela"/>
    <tableColumn id="3" xr3:uid="{34EAA6E4-E96F-4032-B7F8-51137FDDA8FB}" name="Variedad"/>
    <tableColumn id="5" xr3:uid="{92CE4C57-DB7F-4D23-984D-AF80A8E065B9}" name="Organo"/>
    <tableColumn id="6" xr3:uid="{36B4D8D2-9A95-4D6A-BC8C-9E31153BC3A2}" name="Neopestalotiopsis" dataDxfId="39">
      <calculatedColumnFormula>COUNTIFS($H$4:$H$1201,Tabla213[[#Headers],[Neopestalotiopsis]], $G$4:$G$1201,Tabla213[[#This Row],[Organo]], $B$4:$B$1201,M5)</calculatedColumnFormula>
    </tableColumn>
    <tableColumn id="7" xr3:uid="{CE40D85C-9F55-492D-894B-AE017CEE2F67}" name="Fusarium" dataDxfId="38">
      <calculatedColumnFormula>COUNTIFS($H$4:$H$1201,Tabla213[[#Headers],[Fusarium]], $G$4:$G$1201,Tabla213[[#This Row],[Organo]], $B$4:$B$1201,M5)</calculatedColumnFormula>
    </tableColumn>
    <tableColumn id="8" xr3:uid="{D84CFB10-A67F-443D-8892-546E8B6DC30B}" name="Cylindrocarpon" dataDxfId="37">
      <calculatedColumnFormula>COUNTIFS($H$4:$H$1201,Tabla213[[#Headers],[Cylindrocarpon]], $G$4:$G$1201,Tabla213[[#This Row],[Organo]], $B$4:$B$1201,M5)</calculatedColumnFormula>
    </tableColumn>
    <tableColumn id="9" xr3:uid="{08C436E0-584C-4981-8B28-133DA5270B09}" name="Macrophomina" dataDxfId="36">
      <calculatedColumnFormula>COUNTIFS($H$4:$H$1201,Tabla213[[#Headers],[Macrophomina]], $G$4:$G$1201,Tabla213[[#This Row],[Organo]], $B$4:$B$1201,M5)</calculatedColumnFormula>
    </tableColumn>
    <tableColumn id="11" xr3:uid="{7DFC0933-266B-4A15-83D6-394A60A8099C}" name="Rhizoctonia" dataDxfId="35">
      <calculatedColumnFormula>COUNTIFS($H$4:$H$1201,Tabla213[[#Headers],[Rhizoctonia]], $G$4:$G$1201,Tabla213[[#This Row],[Organo]], $B$4:$B$1201,M5)</calculatedColumnFormula>
    </tableColumn>
    <tableColumn id="12" xr3:uid="{11F1627A-DEDE-43D0-B992-9E544AFFB6DB}" name="Phytophthora" dataDxfId="34"/>
    <tableColumn id="13" xr3:uid="{20D55ABF-7776-4296-803A-6ECD0B5F7B61}" name="Alternaria" dataDxfId="33">
      <calculatedColumnFormula>COUNTIFS($H$4:$H$1201,Tabla213[[#Headers],[Alternaria]], $G$4:$G$1201,Tabla213[[#This Row],[Organo]], $B$4:$B$1201,M5)</calculatedColumnFormula>
    </tableColumn>
    <tableColumn id="10" xr3:uid="{5E337A50-17EB-4BD7-902D-89B8A3433E56}" name="Botrytis" dataDxfId="32">
      <calculatedColumnFormula>COUNTIFS($H$4:$H$1201,Tabla213[[#Headers],[Botrytis]], $G$4:$G$1201,Tabla213[[#This Row],[Organo]], $B$4:$B$1201,M5)</calculatedColumnFormula>
    </tableColumn>
    <tableColumn id="15" xr3:uid="{CFF9DF07-1559-4B13-850D-EA359F00D8DD}" name="Colletotrichum" dataDxfId="31">
      <calculatedColumnFormula>COUNTIFS($H$4:$H$1201,Tabla213[[#Headers],[Colletotrichum]], $G$4:$G$1201,Tabla213[[#This Row],[Organo]], $B$4:$B$1201,M5)</calculatedColumnFormula>
    </tableColumn>
    <tableColumn id="16" xr3:uid="{2C0150D4-77C8-433C-B8FE-1F04173498FF}" name="Aspergillus" dataDxfId="30">
      <calculatedColumnFormula>COUNTIFS($H$4:$H$1201,Tabla213[[#Headers],[Aspergillus]], $G$4:$G$1201,Tabla213[[#This Row],[Organo]], $B$4:$B$1201,M5)</calculatedColumnFormula>
    </tableColumn>
    <tableColumn id="4" xr3:uid="{5DCD664F-F9C1-439B-B0C6-CDC6B6517D07}" name="NO ID" dataDxfId="29">
      <calculatedColumnFormula>COUNTIFS($H$4:$H$1201,Tabla213[[#Headers],[NO ID]], $G$4:$G$1201,Tabla213[[#This Row],[Organo]], $B$4:$B$1201,M5)</calculatedColumnFormula>
    </tableColumn>
    <tableColumn id="14" xr3:uid="{A6202F8D-59DE-4639-9EB5-4782D833ECBD}" name="Trichoderma" dataDxfId="28">
      <calculatedColumnFormula>COUNTIFS($H$4:$H$1201,Tabla213[[#Headers],[Trichoderma]], $G$4:$G$1201,Tabla213[[#This Row],[Organo]], $B$4:$B$1201,M5)</calculatedColumnFormula>
    </tableColumn>
    <tableColumn id="17" xr3:uid="{04C3DA0C-7971-481B-93C7-BB207CA13A20}" name="Rizophus" dataDxfId="27">
      <calculatedColumnFormula>COUNTIFS($H$4:$H$1201,Tabla213[[#Headers],[Rizophus]], $G$4:$G$1201,Tabla213[[#This Row],[Organo]], $B$4:$B$1201,M5)</calculatedColumnFormula>
    </tableColumn>
    <tableColumn id="18" xr3:uid="{83F7BA7F-383B-4BE7-9EDB-D7EC04881975}" name="FALTANTES" dataDxfId="26">
      <calculatedColumnFormula>COUNTIFS($H$4:$H$1201,Tabla213[[#Headers],[FALTANTES]], $G$4:$G$1201,Tabla213[[#This Row],[Organo]], $B$4:$B$1201,M5)</calculatedColumnFormula>
    </tableColumn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87C2BC-A249-4867-AB2A-5C6C67BE0A1B}" name="Tabla314" displayName="Tabla314" ref="A4:K1201" totalsRowShown="0" dataDxfId="25" tableBorderDxfId="24">
  <autoFilter ref="A4:K1201" xr:uid="{2E87C2BC-A249-4867-AB2A-5C6C67BE0A1B}"/>
  <sortState xmlns:xlrd2="http://schemas.microsoft.com/office/spreadsheetml/2017/richdata2" ref="A5:K1201">
    <sortCondition ref="B4:B1201"/>
  </sortState>
  <tableColumns count="11">
    <tableColumn id="1" xr3:uid="{80121F36-81E7-469F-9C49-A3ADED6CC39C}" name="NUMERO REAL" dataDxfId="23"/>
    <tableColumn id="2" xr3:uid="{5673F48A-0952-44BE-979A-457A08B29A04}" name="NUMERO DE PARCELA" dataDxfId="22"/>
    <tableColumn id="3" xr3:uid="{C12D8E1D-5AFE-483E-8405-DD93F8DF0126}" name="NOMBRE DE PARCELA" dataDxfId="21"/>
    <tableColumn id="4" xr3:uid="{5B7C9092-EE90-454E-A95B-4574A4C743A6}" name="ZONA DE MUESTREO" dataDxfId="20"/>
    <tableColumn id="5" xr3:uid="{DD5852BB-9E49-4D4D-8FE8-CB30EF370DEC}" name="VARIEDAD" dataDxfId="19"/>
    <tableColumn id="6" xr3:uid="{63D91DA0-409E-4C51-8089-77064D17DF2F}" name="PLANTA" dataDxfId="18"/>
    <tableColumn id="7" xr3:uid="{67A8174D-8E28-44AB-947E-E6C57CC205A9}" name="ORGANO" dataDxfId="17"/>
    <tableColumn id="11" xr3:uid="{BEC13916-812A-4342-AA0C-75B57BAE5D4E}" name="GENERO" dataDxfId="16"/>
    <tableColumn id="8" xr3:uid="{2E35B203-97C3-4466-9ACD-0349E9BB4BA2}" name="MICROORGANISMO IDENTIFICADO" dataDxfId="15"/>
    <tableColumn id="9" xr3:uid="{D1CA380A-EFAD-4F9E-88FF-173DE55411F9}" name="NUMERO DE CAJA" dataDxfId="14"/>
    <tableColumn id="10" xr3:uid="{C0F7B08D-EC4A-4D2B-9C2E-64195A06D346}" name="ESTADO DE RESPALDO" dataDxfId="13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AA1AEB-DD84-4DB9-991A-1E3AF9692045}" name="Tabla2132" displayName="Tabla2132" ref="AK4:AZ286" totalsRowShown="0" headerRowDxfId="12">
  <autoFilter ref="AK4:AZ286" xr:uid="{EFAA1AEB-DD84-4DB9-991A-1E3AF9692045}"/>
  <sortState xmlns:xlrd2="http://schemas.microsoft.com/office/spreadsheetml/2017/richdata2" ref="AK5:AV286">
    <sortCondition ref="AK4:AK286"/>
  </sortState>
  <tableColumns count="16">
    <tableColumn id="1" xr3:uid="{A1A3ABEB-CE87-4FE2-A886-4E18D19FD71D}" name="Num. Parcela"/>
    <tableColumn id="2" xr3:uid="{CEFC1440-AB2A-402D-A72A-3490A60B7181}" name="Nom. Parcela"/>
    <tableColumn id="3" xr3:uid="{DD4773C3-9D2A-42B5-96FF-A451148A46E6}" name="Variedad"/>
    <tableColumn id="5" xr3:uid="{8F679029-EC79-43AC-9523-EFF05036FC8A}" name="Organo"/>
    <tableColumn id="6" xr3:uid="{C926F1B3-2BAA-42FE-8E73-8861D3F59284}" name="Neopestalotiopsis" dataDxfId="11"/>
    <tableColumn id="7" xr3:uid="{F8F92CB1-F8D0-48E4-8295-101A3C43B983}" name="Fusarium" dataDxfId="10"/>
    <tableColumn id="8" xr3:uid="{887A78E2-F75A-4F88-9EF9-3EFA0533181B}" name="Cylindrocarpon" dataDxfId="9"/>
    <tableColumn id="9" xr3:uid="{17778C2F-55EC-4619-94D3-DAFDFE3D5416}" name="Macrophomina" dataDxfId="8"/>
    <tableColumn id="11" xr3:uid="{DBBF31FF-21FF-4A65-A65A-7F833D27BC5A}" name="Rhizoctonia" dataDxfId="7"/>
    <tableColumn id="12" xr3:uid="{378B03AD-0204-4E6F-A558-0DB9C60932AA}" name="Omicetes" dataDxfId="6"/>
    <tableColumn id="13" xr3:uid="{2417C627-5C90-4AAA-BAC0-459459A96FEB}" name="Alternaria" dataDxfId="5"/>
    <tableColumn id="10" xr3:uid="{AD3EBF2A-E0D9-4260-97CF-3E365CF52966}" name="Botrytis" dataDxfId="4"/>
    <tableColumn id="15" xr3:uid="{F3D1DE03-3C5F-4A7B-9455-C36119E9EA99}" name="Coletotrichum" dataDxfId="3"/>
    <tableColumn id="16" xr3:uid="{CF8D8802-1985-4597-974A-56AB57026FD1}" name="ASPERGILLUS" dataDxfId="2"/>
    <tableColumn id="4" xr3:uid="{E52A833F-7E64-4049-B0C0-9881A16F2275}" name="NO ID" dataDxfId="1"/>
    <tableColumn id="14" xr3:uid="{07F1F05F-521D-49C2-AA61-0A6320553288}" name="Trichoderma" dataDxfId="0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031D55F-47B0-42AD-87D4-6817A4D7DB31}" name="Tabla11" displayName="Tabla11" ref="BE13:BG27" totalsRowShown="0">
  <autoFilter ref="BE13:BG27" xr:uid="{D031D55F-47B0-42AD-87D4-6817A4D7DB31}"/>
  <sortState xmlns:xlrd2="http://schemas.microsoft.com/office/spreadsheetml/2017/richdata2" ref="BE14:BG27">
    <sortCondition ref="BG13:BG27"/>
  </sortState>
  <tableColumns count="3">
    <tableColumn id="1" xr3:uid="{D8B50DF3-646E-476B-A9E4-67D876264495}" name="genero"/>
    <tableColumn id="2" xr3:uid="{6BE744B2-0B0D-41AA-BB23-F1B576471E66}" name="Corona"/>
    <tableColumn id="3" xr3:uid="{9DD688B6-5130-4864-9E04-A9719A73B460}" name="Raíz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97699EE-DAD3-45C0-8EA5-7CAD961C39BD}" name="Tabla13" displayName="Tabla13" ref="AH294:AI308" totalsRowShown="0">
  <autoFilter ref="AH294:AI308" xr:uid="{197699EE-DAD3-45C0-8EA5-7CAD961C39BD}"/>
  <sortState xmlns:xlrd2="http://schemas.microsoft.com/office/spreadsheetml/2017/richdata2" ref="AH295:AI308">
    <sortCondition descending="1" ref="AI294:AI308"/>
  </sortState>
  <tableColumns count="2">
    <tableColumn id="1" xr3:uid="{E737FFDE-BEF2-461F-8CC6-BE63AAC90446}" name="Columna1"/>
    <tableColumn id="2" xr3:uid="{D487AC6A-90CA-41EF-9855-29335A012D85}" name="Columna2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3D83D9-28C5-4A77-8255-07F50DF1BB9B}" name="Tabla9" displayName="Tabla9" ref="C154:F169" totalsRowShown="0">
  <autoFilter ref="C154:F169" xr:uid="{4C3D83D9-28C5-4A77-8255-07F50DF1BB9B}"/>
  <sortState xmlns:xlrd2="http://schemas.microsoft.com/office/spreadsheetml/2017/richdata2" ref="C155:F169">
    <sortCondition ref="E154:E169"/>
  </sortState>
  <tableColumns count="4">
    <tableColumn id="1" xr3:uid="{93135E3F-FFB0-4A53-8717-FDBC9EBACCFF}" name="MICROORGANISMO"/>
    <tableColumn id="2" xr3:uid="{7C142E95-5E5C-4985-8B34-19C6C6B930BD}" name="CORONA"/>
    <tableColumn id="3" xr3:uid="{ADEB7462-53FC-4177-8CD8-C6690BF3738B}" name="RAIZ"/>
    <tableColumn id="4" xr3:uid="{92D40899-5CF2-4ECF-B33F-C8CB331232B6}" name="TOTALES">
      <calculatedColumnFormula>SUM(D155:E155)</calculatedColumnFormula>
    </tableColumn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D3402C-351A-4FB6-BAA1-11F004D80AD2}" name="Tabla911" displayName="Tabla911" ref="C171:F185" totalsRowShown="0">
  <autoFilter ref="C171:F185" xr:uid="{50D3402C-351A-4FB6-BAA1-11F004D80AD2}"/>
  <sortState xmlns:xlrd2="http://schemas.microsoft.com/office/spreadsheetml/2017/richdata2" ref="C172:F185">
    <sortCondition descending="1" ref="D154:D168"/>
  </sortState>
  <tableColumns count="4">
    <tableColumn id="1" xr3:uid="{170B5278-E6D5-4356-BB14-8BD1491995AF}" name="MICROORGANISMO"/>
    <tableColumn id="2" xr3:uid="{DB401CD2-DAE4-42B2-AD0B-AB69D2ABCD4D}" name="CORONA"/>
    <tableColumn id="3" xr3:uid="{FCDF0291-906F-4E80-A3DA-C8BADEC143CD}" name="RAIZ"/>
    <tableColumn id="4" xr3:uid="{68441732-1D1B-49BE-B817-117D3740409B}" name="TOTALES">
      <calculatedColumnFormula>SUM(D172:E172)</calculatedColumnFormula>
    </tableColumn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2BBBAA-EDA9-434B-8D32-CE928950C890}" name="Tabla19" displayName="Tabla19" ref="B22:S304" totalsRowShown="0">
  <autoFilter ref="B22:S304" xr:uid="{292BBBAA-EDA9-434B-8D32-CE928950C890}"/>
  <tableColumns count="18">
    <tableColumn id="1" xr3:uid="{167B4EE8-4C50-48D1-8B84-4A4A8243382E}" name="Num. Parcela"/>
    <tableColumn id="2" xr3:uid="{9256F52B-B4A0-4AAD-B1DD-CDC9839F0E7D}" name="Nom. Parcela"/>
    <tableColumn id="3" xr3:uid="{E45EBEE2-8A28-49B1-991C-9AF51FE45D34}" name="Variedad"/>
    <tableColumn id="4" xr3:uid="{10D47756-5D75-48D1-9576-B0BFC30F6415}" name="Organo"/>
    <tableColumn id="5" xr3:uid="{83790AB4-5B28-4DD3-B05C-1366B515927C}" name="Neopestalotiopsis"/>
    <tableColumn id="6" xr3:uid="{24C64BA5-05F2-41C9-84CB-703F06BB32B5}" name="Fusarium"/>
    <tableColumn id="7" xr3:uid="{7EF27BBD-920E-47B2-8D97-1AD73437AC00}" name="Cylindrocarpon"/>
    <tableColumn id="8" xr3:uid="{3D69F76D-6742-4FF5-BA57-757A3B068708}" name="Macrophomina"/>
    <tableColumn id="9" xr3:uid="{F9A551D8-B09F-4AA8-9BDA-C82DBDBCFC0F}" name="Rhizoctonia"/>
    <tableColumn id="10" xr3:uid="{B439F66A-7E4E-4876-83EB-B4F3166DE187}" name="Omicetes"/>
    <tableColumn id="11" xr3:uid="{A22BE211-0B28-49FF-B84B-71AD20E4A4A6}" name="Alternaria"/>
    <tableColumn id="12" xr3:uid="{A84D8273-BC38-429F-A8A8-2262BEC9DA78}" name="Botrytis"/>
    <tableColumn id="13" xr3:uid="{B31A3022-A615-4208-9218-EFC97548D7C0}" name="Colletotrichum"/>
    <tableColumn id="14" xr3:uid="{08DC0947-DB9F-4892-89DA-A635AFD767F9}" name="ASPERGILLUS"/>
    <tableColumn id="15" xr3:uid="{04EC9EC1-573B-4C65-A84E-0ECC42DF5DD8}" name="NO ID"/>
    <tableColumn id="16" xr3:uid="{1591274A-E649-4C87-A859-FDBAF2A97AEE}" name="Trichoderma"/>
    <tableColumn id="17" xr3:uid="{C110A356-5392-4E96-B8B5-61AB29152478}" name="RIZOPHUS"/>
    <tableColumn id="18" xr3:uid="{724FF1B2-8F38-44BE-9F72-548632324691}" name="FALTAN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DEA3-2823-4567-B7E1-922891C603FC}">
  <dimension ref="B2:AN147"/>
  <sheetViews>
    <sheetView topLeftCell="AE1" zoomScale="85" zoomScaleNormal="85" workbookViewId="0">
      <selection activeCell="N9" sqref="N9"/>
    </sheetView>
  </sheetViews>
  <sheetFormatPr baseColWidth="10" defaultRowHeight="15" x14ac:dyDescent="0.2"/>
  <cols>
    <col min="17" max="17" width="43.5" bestFit="1" customWidth="1"/>
    <col min="18" max="18" width="29.33203125" bestFit="1" customWidth="1"/>
    <col min="28" max="28" width="23" style="62" customWidth="1"/>
    <col min="29" max="29" width="29.83203125" style="62" customWidth="1"/>
    <col min="30" max="30" width="11.5" style="62"/>
    <col min="31" max="31" width="27" style="62" customWidth="1"/>
    <col min="32" max="32" width="11.6640625" style="62" customWidth="1"/>
  </cols>
  <sheetData>
    <row r="2" spans="2:40" ht="32" x14ac:dyDescent="0.2"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t="s">
        <v>107</v>
      </c>
      <c r="L2" t="s">
        <v>434</v>
      </c>
      <c r="M2" t="s">
        <v>435</v>
      </c>
      <c r="N2" t="s">
        <v>436</v>
      </c>
      <c r="O2" t="s">
        <v>437</v>
      </c>
      <c r="P2" t="s">
        <v>438</v>
      </c>
      <c r="Q2" t="s">
        <v>715</v>
      </c>
      <c r="R2" t="s">
        <v>439</v>
      </c>
      <c r="S2" t="s">
        <v>440</v>
      </c>
      <c r="T2" t="s">
        <v>441</v>
      </c>
      <c r="U2" t="s">
        <v>442</v>
      </c>
      <c r="V2" t="s">
        <v>443</v>
      </c>
      <c r="W2" t="s">
        <v>444</v>
      </c>
      <c r="X2" t="s">
        <v>445</v>
      </c>
      <c r="Y2" t="s">
        <v>446</v>
      </c>
      <c r="Z2" t="s">
        <v>447</v>
      </c>
      <c r="AA2" t="s">
        <v>448</v>
      </c>
      <c r="AB2" s="62" t="s">
        <v>449</v>
      </c>
      <c r="AC2" s="62" t="s">
        <v>763</v>
      </c>
      <c r="AD2" s="62" t="s">
        <v>450</v>
      </c>
      <c r="AE2" s="62" t="s">
        <v>451</v>
      </c>
      <c r="AF2" s="62" t="s">
        <v>764</v>
      </c>
      <c r="AG2" t="s">
        <v>452</v>
      </c>
      <c r="AH2" t="s">
        <v>453</v>
      </c>
      <c r="AI2" t="s">
        <v>454</v>
      </c>
      <c r="AJ2" t="s">
        <v>455</v>
      </c>
      <c r="AK2" t="s">
        <v>456</v>
      </c>
      <c r="AL2" t="s">
        <v>457</v>
      </c>
      <c r="AM2" t="s">
        <v>458</v>
      </c>
      <c r="AN2" t="s">
        <v>459</v>
      </c>
    </row>
    <row r="3" spans="2:40" ht="16" x14ac:dyDescent="0.2">
      <c r="B3">
        <v>20.627238999999999</v>
      </c>
      <c r="C3">
        <v>-101.49383</v>
      </c>
      <c r="D3" t="s">
        <v>133</v>
      </c>
      <c r="E3">
        <v>79</v>
      </c>
      <c r="F3" t="s">
        <v>703</v>
      </c>
      <c r="G3" t="s">
        <v>114</v>
      </c>
      <c r="H3" t="s">
        <v>137</v>
      </c>
      <c r="I3">
        <v>0</v>
      </c>
      <c r="J3">
        <v>0</v>
      </c>
      <c r="K3">
        <v>0</v>
      </c>
      <c r="L3" t="s">
        <v>343</v>
      </c>
      <c r="M3" t="s">
        <v>348</v>
      </c>
      <c r="N3">
        <v>0.1</v>
      </c>
      <c r="O3">
        <v>7000</v>
      </c>
      <c r="P3" t="s">
        <v>349</v>
      </c>
      <c r="Q3" t="s">
        <v>114</v>
      </c>
      <c r="R3" t="s">
        <v>143</v>
      </c>
      <c r="S3" t="s">
        <v>144</v>
      </c>
      <c r="T3" t="s">
        <v>282</v>
      </c>
      <c r="U3" t="s">
        <v>283</v>
      </c>
      <c r="V3" t="s">
        <v>189</v>
      </c>
      <c r="X3" t="s">
        <v>97</v>
      </c>
      <c r="Y3" t="s">
        <v>346</v>
      </c>
      <c r="AA3" t="s">
        <v>302</v>
      </c>
      <c r="AB3" s="62" t="s">
        <v>350</v>
      </c>
      <c r="AC3" s="62" t="s">
        <v>490</v>
      </c>
      <c r="AD3" s="62" t="s">
        <v>97</v>
      </c>
      <c r="AE3" s="62" t="s">
        <v>350</v>
      </c>
      <c r="AF3" s="62" t="s">
        <v>490</v>
      </c>
      <c r="AL3" t="s">
        <v>267</v>
      </c>
    </row>
    <row r="4" spans="2:40" ht="16" x14ac:dyDescent="0.2">
      <c r="B4">
        <v>20.614415000000001</v>
      </c>
      <c r="C4">
        <v>-101.483031</v>
      </c>
      <c r="D4" t="s">
        <v>133</v>
      </c>
      <c r="E4">
        <v>81</v>
      </c>
      <c r="F4" t="s">
        <v>69</v>
      </c>
      <c r="G4" t="s">
        <v>114</v>
      </c>
      <c r="H4" t="s">
        <v>137</v>
      </c>
      <c r="I4">
        <v>0</v>
      </c>
      <c r="J4">
        <v>0</v>
      </c>
      <c r="K4">
        <v>0</v>
      </c>
      <c r="L4" t="s">
        <v>343</v>
      </c>
      <c r="M4" t="s">
        <v>354</v>
      </c>
      <c r="N4">
        <v>0.2</v>
      </c>
      <c r="O4">
        <v>10000</v>
      </c>
      <c r="P4" t="s">
        <v>355</v>
      </c>
      <c r="Q4" t="s">
        <v>114</v>
      </c>
      <c r="R4" t="s">
        <v>143</v>
      </c>
      <c r="S4" t="s">
        <v>144</v>
      </c>
      <c r="T4" t="s">
        <v>295</v>
      </c>
      <c r="U4" t="s">
        <v>356</v>
      </c>
      <c r="V4" t="s">
        <v>189</v>
      </c>
      <c r="X4" t="s">
        <v>97</v>
      </c>
      <c r="Y4" t="s">
        <v>346</v>
      </c>
      <c r="AA4" t="s">
        <v>302</v>
      </c>
      <c r="AB4" s="62" t="s">
        <v>350</v>
      </c>
      <c r="AC4" s="62" t="s">
        <v>490</v>
      </c>
      <c r="AD4" s="62" t="s">
        <v>97</v>
      </c>
      <c r="AE4" s="62" t="s">
        <v>350</v>
      </c>
      <c r="AF4" s="62" t="s">
        <v>490</v>
      </c>
      <c r="AL4" t="s">
        <v>267</v>
      </c>
    </row>
    <row r="5" spans="2:40" ht="32" x14ac:dyDescent="0.2">
      <c r="B5">
        <v>20.620169000000001</v>
      </c>
      <c r="C5">
        <v>-101.480011</v>
      </c>
      <c r="D5" t="s">
        <v>133</v>
      </c>
      <c r="E5">
        <v>82</v>
      </c>
      <c r="F5" t="s">
        <v>60</v>
      </c>
      <c r="G5" t="s">
        <v>114</v>
      </c>
      <c r="H5" t="s">
        <v>137</v>
      </c>
      <c r="I5">
        <v>0</v>
      </c>
      <c r="J5">
        <v>0</v>
      </c>
      <c r="K5">
        <v>0</v>
      </c>
      <c r="L5" t="s">
        <v>343</v>
      </c>
      <c r="M5" t="s">
        <v>357</v>
      </c>
      <c r="N5">
        <v>0.25</v>
      </c>
      <c r="O5">
        <v>8000</v>
      </c>
      <c r="P5" t="s">
        <v>358</v>
      </c>
      <c r="Q5" t="s">
        <v>114</v>
      </c>
      <c r="R5" t="s">
        <v>143</v>
      </c>
      <c r="S5" t="s">
        <v>144</v>
      </c>
      <c r="T5" t="s">
        <v>295</v>
      </c>
      <c r="U5" t="s">
        <v>283</v>
      </c>
      <c r="V5" t="s">
        <v>189</v>
      </c>
      <c r="X5" t="s">
        <v>97</v>
      </c>
      <c r="Y5" t="s">
        <v>346</v>
      </c>
      <c r="AA5" t="s">
        <v>302</v>
      </c>
      <c r="AB5" s="62" t="s">
        <v>359</v>
      </c>
      <c r="AC5" s="62" t="s">
        <v>765</v>
      </c>
      <c r="AD5" s="62" t="s">
        <v>97</v>
      </c>
      <c r="AE5" s="62" t="s">
        <v>359</v>
      </c>
      <c r="AF5" s="62" t="s">
        <v>765</v>
      </c>
      <c r="AL5" t="s">
        <v>267</v>
      </c>
    </row>
    <row r="6" spans="2:40" x14ac:dyDescent="0.2">
      <c r="B6">
        <v>20.6312</v>
      </c>
      <c r="C6">
        <v>-101.493407</v>
      </c>
      <c r="D6" t="s">
        <v>133</v>
      </c>
      <c r="E6">
        <v>85</v>
      </c>
      <c r="F6" t="s">
        <v>72</v>
      </c>
      <c r="G6" t="s">
        <v>114</v>
      </c>
      <c r="H6" t="s">
        <v>137</v>
      </c>
      <c r="I6">
        <v>0</v>
      </c>
      <c r="J6">
        <v>0</v>
      </c>
      <c r="K6">
        <v>0</v>
      </c>
      <c r="L6" t="s">
        <v>343</v>
      </c>
      <c r="M6" t="s">
        <v>366</v>
      </c>
      <c r="N6">
        <v>0.1</v>
      </c>
      <c r="O6">
        <v>10000</v>
      </c>
      <c r="P6" t="s">
        <v>367</v>
      </c>
      <c r="Q6" t="s">
        <v>114</v>
      </c>
      <c r="R6" t="s">
        <v>143</v>
      </c>
      <c r="S6" t="s">
        <v>144</v>
      </c>
      <c r="T6" t="s">
        <v>282</v>
      </c>
      <c r="U6" t="s">
        <v>283</v>
      </c>
      <c r="V6" t="s">
        <v>189</v>
      </c>
      <c r="X6" t="s">
        <v>97</v>
      </c>
      <c r="Y6" t="s">
        <v>346</v>
      </c>
    </row>
    <row r="7" spans="2:40" ht="64" x14ac:dyDescent="0.2">
      <c r="B7">
        <v>20.769704999999998</v>
      </c>
      <c r="C7">
        <v>-101.356098</v>
      </c>
      <c r="D7" t="s">
        <v>133</v>
      </c>
      <c r="E7">
        <v>87</v>
      </c>
      <c r="F7" t="s">
        <v>49</v>
      </c>
      <c r="G7" t="s">
        <v>119</v>
      </c>
      <c r="H7" t="s">
        <v>137</v>
      </c>
      <c r="I7">
        <v>0</v>
      </c>
      <c r="J7">
        <v>0</v>
      </c>
      <c r="K7">
        <v>0</v>
      </c>
      <c r="L7" t="s">
        <v>370</v>
      </c>
      <c r="M7" t="s">
        <v>371</v>
      </c>
      <c r="N7">
        <v>0.34</v>
      </c>
      <c r="O7">
        <v>5800</v>
      </c>
      <c r="P7" t="s">
        <v>372</v>
      </c>
      <c r="Q7" t="s">
        <v>373</v>
      </c>
      <c r="R7" t="s">
        <v>143</v>
      </c>
      <c r="S7" t="s">
        <v>144</v>
      </c>
      <c r="T7" t="s">
        <v>374</v>
      </c>
      <c r="U7" t="s">
        <v>283</v>
      </c>
      <c r="V7" t="s">
        <v>147</v>
      </c>
      <c r="X7" t="s">
        <v>97</v>
      </c>
      <c r="Y7" t="s">
        <v>346</v>
      </c>
      <c r="Z7" t="s">
        <v>375</v>
      </c>
      <c r="AA7" t="s">
        <v>302</v>
      </c>
      <c r="AB7" s="62" t="s">
        <v>376</v>
      </c>
      <c r="AC7" s="62" t="s">
        <v>768</v>
      </c>
      <c r="AD7" s="62" t="s">
        <v>97</v>
      </c>
      <c r="AE7" s="62" t="s">
        <v>377</v>
      </c>
      <c r="AF7" s="62" t="s">
        <v>767</v>
      </c>
    </row>
    <row r="8" spans="2:40" ht="16" x14ac:dyDescent="0.2">
      <c r="B8">
        <v>20.622441999999999</v>
      </c>
      <c r="C8">
        <v>-101.48090999999999</v>
      </c>
      <c r="D8" t="s">
        <v>133</v>
      </c>
      <c r="E8">
        <v>83</v>
      </c>
      <c r="F8" t="s">
        <v>70</v>
      </c>
      <c r="G8" t="s">
        <v>114</v>
      </c>
      <c r="H8" t="s">
        <v>137</v>
      </c>
      <c r="I8">
        <v>0.4</v>
      </c>
      <c r="J8">
        <v>0.12000000000000002</v>
      </c>
      <c r="K8">
        <v>0</v>
      </c>
      <c r="L8" t="s">
        <v>343</v>
      </c>
      <c r="M8" t="s">
        <v>360</v>
      </c>
      <c r="N8">
        <v>0.03</v>
      </c>
      <c r="O8">
        <v>20000</v>
      </c>
      <c r="P8" t="s">
        <v>361</v>
      </c>
      <c r="Q8" t="s">
        <v>362</v>
      </c>
      <c r="R8" t="s">
        <v>143</v>
      </c>
      <c r="S8" t="s">
        <v>144</v>
      </c>
      <c r="T8" t="s">
        <v>363</v>
      </c>
      <c r="U8" t="s">
        <v>283</v>
      </c>
      <c r="V8" t="s">
        <v>189</v>
      </c>
      <c r="X8" t="s">
        <v>97</v>
      </c>
      <c r="Y8" t="s">
        <v>346</v>
      </c>
      <c r="AA8" t="s">
        <v>157</v>
      </c>
      <c r="AD8" s="62" t="s">
        <v>97</v>
      </c>
      <c r="AE8" s="62" t="s">
        <v>364</v>
      </c>
      <c r="AF8" s="62" t="s">
        <v>769</v>
      </c>
      <c r="AL8" t="s">
        <v>267</v>
      </c>
    </row>
    <row r="9" spans="2:40" ht="16" x14ac:dyDescent="0.2">
      <c r="B9">
        <v>20.58541</v>
      </c>
      <c r="C9">
        <v>-101.400468</v>
      </c>
      <c r="D9" t="s">
        <v>133</v>
      </c>
      <c r="E9">
        <v>89</v>
      </c>
      <c r="F9" t="s">
        <v>75</v>
      </c>
      <c r="G9" t="s">
        <v>130</v>
      </c>
      <c r="H9" t="s">
        <v>137</v>
      </c>
      <c r="I9">
        <v>0.6</v>
      </c>
      <c r="J9">
        <v>0.12000000000000002</v>
      </c>
      <c r="K9">
        <v>0</v>
      </c>
      <c r="L9" t="s">
        <v>370</v>
      </c>
      <c r="M9" t="s">
        <v>380</v>
      </c>
      <c r="N9">
        <v>0.1</v>
      </c>
      <c r="O9">
        <v>10000</v>
      </c>
      <c r="P9" t="s">
        <v>381</v>
      </c>
      <c r="Q9" t="s">
        <v>130</v>
      </c>
      <c r="R9" t="s">
        <v>143</v>
      </c>
      <c r="S9" t="s">
        <v>144</v>
      </c>
      <c r="T9" t="s">
        <v>295</v>
      </c>
      <c r="U9" t="s">
        <v>283</v>
      </c>
      <c r="V9" t="s">
        <v>189</v>
      </c>
      <c r="X9" t="s">
        <v>97</v>
      </c>
      <c r="Y9" t="s">
        <v>346</v>
      </c>
      <c r="AA9" t="s">
        <v>157</v>
      </c>
      <c r="AD9" s="62" t="s">
        <v>97</v>
      </c>
      <c r="AE9" s="62" t="s">
        <v>350</v>
      </c>
      <c r="AF9" s="62" t="s">
        <v>490</v>
      </c>
      <c r="AL9" t="s">
        <v>267</v>
      </c>
    </row>
    <row r="10" spans="2:40" ht="16" x14ac:dyDescent="0.2">
      <c r="B10">
        <v>20.587098000000001</v>
      </c>
      <c r="C10">
        <v>-101.39999</v>
      </c>
      <c r="D10" t="s">
        <v>133</v>
      </c>
      <c r="E10">
        <v>88</v>
      </c>
      <c r="F10" t="s">
        <v>74</v>
      </c>
      <c r="G10" t="s">
        <v>135</v>
      </c>
      <c r="H10" t="s">
        <v>137</v>
      </c>
      <c r="I10">
        <v>2</v>
      </c>
      <c r="J10">
        <v>2</v>
      </c>
      <c r="K10">
        <v>2</v>
      </c>
      <c r="L10" t="s">
        <v>370</v>
      </c>
      <c r="M10" t="s">
        <v>378</v>
      </c>
      <c r="N10">
        <v>0.1</v>
      </c>
      <c r="O10">
        <v>10000</v>
      </c>
      <c r="P10" t="s">
        <v>379</v>
      </c>
      <c r="Q10" t="s">
        <v>135</v>
      </c>
      <c r="R10" t="s">
        <v>143</v>
      </c>
      <c r="S10" t="s">
        <v>144</v>
      </c>
      <c r="T10" t="s">
        <v>295</v>
      </c>
      <c r="U10" t="s">
        <v>283</v>
      </c>
      <c r="V10" t="s">
        <v>189</v>
      </c>
      <c r="X10" t="s">
        <v>97</v>
      </c>
      <c r="Y10" t="s">
        <v>346</v>
      </c>
      <c r="AA10" t="s">
        <v>157</v>
      </c>
      <c r="AD10" s="62" t="s">
        <v>97</v>
      </c>
      <c r="AE10" s="62" t="s">
        <v>350</v>
      </c>
      <c r="AF10" s="62" t="s">
        <v>490</v>
      </c>
      <c r="AL10" t="s">
        <v>267</v>
      </c>
    </row>
    <row r="11" spans="2:40" ht="16" x14ac:dyDescent="0.2">
      <c r="B11">
        <v>20.583618999999999</v>
      </c>
      <c r="C11">
        <v>-101.40659100000001</v>
      </c>
      <c r="D11" t="s">
        <v>133</v>
      </c>
      <c r="E11">
        <v>86</v>
      </c>
      <c r="F11" t="s">
        <v>73</v>
      </c>
      <c r="G11" t="s">
        <v>136</v>
      </c>
      <c r="H11" t="s">
        <v>137</v>
      </c>
      <c r="I11">
        <v>2.8</v>
      </c>
      <c r="J11">
        <v>0.56000000000000005</v>
      </c>
      <c r="K11">
        <v>0</v>
      </c>
      <c r="L11" t="s">
        <v>343</v>
      </c>
      <c r="M11" t="s">
        <v>368</v>
      </c>
      <c r="N11">
        <v>0.06</v>
      </c>
      <c r="O11">
        <v>16000</v>
      </c>
      <c r="P11" t="s">
        <v>369</v>
      </c>
      <c r="Q11" t="s">
        <v>136</v>
      </c>
      <c r="R11" t="s">
        <v>143</v>
      </c>
      <c r="S11" t="s">
        <v>144</v>
      </c>
      <c r="T11" t="s">
        <v>295</v>
      </c>
      <c r="U11" t="s">
        <v>283</v>
      </c>
      <c r="V11" t="s">
        <v>189</v>
      </c>
      <c r="X11" t="s">
        <v>97</v>
      </c>
      <c r="Y11" t="s">
        <v>346</v>
      </c>
      <c r="AA11" t="s">
        <v>157</v>
      </c>
      <c r="AD11" s="62" t="s">
        <v>97</v>
      </c>
      <c r="AE11" s="62" t="s">
        <v>350</v>
      </c>
      <c r="AF11" s="62" t="s">
        <v>490</v>
      </c>
      <c r="AL11" t="s">
        <v>267</v>
      </c>
    </row>
    <row r="12" spans="2:40" x14ac:dyDescent="0.2">
      <c r="B12">
        <v>20.588294999999999</v>
      </c>
      <c r="C12">
        <v>-101.405829</v>
      </c>
      <c r="D12" t="s">
        <v>133</v>
      </c>
      <c r="E12">
        <v>90</v>
      </c>
      <c r="F12" t="s">
        <v>76</v>
      </c>
      <c r="G12" t="s">
        <v>118</v>
      </c>
      <c r="H12" t="s">
        <v>137</v>
      </c>
      <c r="I12">
        <v>3</v>
      </c>
      <c r="J12">
        <v>2.04</v>
      </c>
      <c r="K12">
        <v>1.8</v>
      </c>
      <c r="L12" t="s">
        <v>370</v>
      </c>
      <c r="M12" t="s">
        <v>382</v>
      </c>
      <c r="N12">
        <v>0.06</v>
      </c>
      <c r="O12">
        <v>8500</v>
      </c>
      <c r="Q12" t="s">
        <v>118</v>
      </c>
      <c r="R12" t="s">
        <v>143</v>
      </c>
      <c r="S12" t="s">
        <v>144</v>
      </c>
      <c r="U12" t="s">
        <v>283</v>
      </c>
    </row>
    <row r="13" spans="2:40" ht="16" x14ac:dyDescent="0.2">
      <c r="B13">
        <v>20.798483999999998</v>
      </c>
      <c r="C13">
        <v>-101.336741</v>
      </c>
      <c r="D13" t="s">
        <v>133</v>
      </c>
      <c r="E13">
        <v>96</v>
      </c>
      <c r="F13" t="s">
        <v>81</v>
      </c>
      <c r="G13" t="s">
        <v>125</v>
      </c>
      <c r="H13" t="s">
        <v>137</v>
      </c>
      <c r="I13">
        <v>3</v>
      </c>
      <c r="J13">
        <v>3</v>
      </c>
      <c r="K13">
        <v>3</v>
      </c>
      <c r="L13" t="s">
        <v>388</v>
      </c>
      <c r="M13" t="s">
        <v>399</v>
      </c>
      <c r="N13">
        <v>0.25</v>
      </c>
      <c r="O13">
        <v>10000</v>
      </c>
      <c r="P13" t="s">
        <v>400</v>
      </c>
      <c r="Q13" t="s">
        <v>125</v>
      </c>
      <c r="R13" t="s">
        <v>143</v>
      </c>
      <c r="S13" t="s">
        <v>144</v>
      </c>
      <c r="T13" t="s">
        <v>191</v>
      </c>
      <c r="U13" t="s">
        <v>283</v>
      </c>
      <c r="V13" t="s">
        <v>189</v>
      </c>
      <c r="X13" t="s">
        <v>97</v>
      </c>
      <c r="Y13" t="s">
        <v>346</v>
      </c>
      <c r="AA13" t="s">
        <v>302</v>
      </c>
      <c r="AB13" s="62" t="s">
        <v>401</v>
      </c>
      <c r="AC13" s="62" t="s">
        <v>770</v>
      </c>
      <c r="AD13" s="62" t="s">
        <v>97</v>
      </c>
      <c r="AE13" s="62" t="s">
        <v>350</v>
      </c>
      <c r="AF13" s="62" t="s">
        <v>490</v>
      </c>
      <c r="AL13" t="s">
        <v>402</v>
      </c>
    </row>
    <row r="14" spans="2:40" ht="32" x14ac:dyDescent="0.2">
      <c r="B14">
        <v>20.802332</v>
      </c>
      <c r="C14">
        <v>-101.346537</v>
      </c>
      <c r="D14" t="s">
        <v>133</v>
      </c>
      <c r="E14">
        <v>97</v>
      </c>
      <c r="F14" t="s">
        <v>82</v>
      </c>
      <c r="G14" t="s">
        <v>126</v>
      </c>
      <c r="H14" t="s">
        <v>137</v>
      </c>
      <c r="I14">
        <v>4.4000000000000004</v>
      </c>
      <c r="J14">
        <v>3.8</v>
      </c>
      <c r="K14">
        <v>3.4</v>
      </c>
      <c r="L14" t="s">
        <v>388</v>
      </c>
      <c r="M14" t="s">
        <v>403</v>
      </c>
      <c r="N14">
        <v>0.06</v>
      </c>
      <c r="O14">
        <v>16000</v>
      </c>
      <c r="P14" t="s">
        <v>404</v>
      </c>
      <c r="Q14" t="s">
        <v>126</v>
      </c>
      <c r="R14" t="s">
        <v>143</v>
      </c>
      <c r="S14" t="s">
        <v>144</v>
      </c>
      <c r="T14" t="s">
        <v>295</v>
      </c>
      <c r="U14" t="s">
        <v>283</v>
      </c>
      <c r="V14" t="s">
        <v>189</v>
      </c>
      <c r="AA14" t="s">
        <v>302</v>
      </c>
      <c r="AB14" s="62" t="s">
        <v>405</v>
      </c>
    </row>
    <row r="15" spans="2:40" ht="16" x14ac:dyDescent="0.2">
      <c r="B15">
        <v>20.720842999999999</v>
      </c>
      <c r="C15">
        <v>-101.345713</v>
      </c>
      <c r="D15" t="s">
        <v>133</v>
      </c>
      <c r="E15">
        <v>78</v>
      </c>
      <c r="F15" t="s">
        <v>66</v>
      </c>
      <c r="G15" t="s">
        <v>126</v>
      </c>
      <c r="H15" t="s">
        <v>110</v>
      </c>
      <c r="I15">
        <v>5.4</v>
      </c>
      <c r="J15">
        <v>5.24</v>
      </c>
      <c r="K15">
        <v>5.2</v>
      </c>
      <c r="L15" t="s">
        <v>343</v>
      </c>
      <c r="M15" t="s">
        <v>344</v>
      </c>
      <c r="N15">
        <v>0.5</v>
      </c>
      <c r="O15">
        <v>6000</v>
      </c>
      <c r="P15" t="s">
        <v>345</v>
      </c>
      <c r="Q15" t="s">
        <v>126</v>
      </c>
      <c r="R15" t="s">
        <v>143</v>
      </c>
      <c r="S15" t="s">
        <v>144</v>
      </c>
      <c r="T15" t="s">
        <v>338</v>
      </c>
      <c r="U15" t="s">
        <v>283</v>
      </c>
      <c r="V15" t="s">
        <v>189</v>
      </c>
      <c r="X15" t="s">
        <v>97</v>
      </c>
      <c r="Y15" t="s">
        <v>346</v>
      </c>
      <c r="Z15" t="s">
        <v>215</v>
      </c>
      <c r="AA15" t="s">
        <v>97</v>
      </c>
      <c r="AB15" s="62" t="s">
        <v>347</v>
      </c>
      <c r="AL15" t="s">
        <v>267</v>
      </c>
    </row>
    <row r="16" spans="2:40" ht="32" x14ac:dyDescent="0.2">
      <c r="B16">
        <v>20.767547</v>
      </c>
      <c r="C16">
        <v>-101.360462</v>
      </c>
      <c r="D16" t="s">
        <v>133</v>
      </c>
      <c r="E16">
        <v>94.2</v>
      </c>
      <c r="F16" t="s">
        <v>707</v>
      </c>
      <c r="G16" t="s">
        <v>126</v>
      </c>
      <c r="H16" t="s">
        <v>110</v>
      </c>
      <c r="I16">
        <v>5.8</v>
      </c>
      <c r="J16">
        <v>3.7600000000000002</v>
      </c>
      <c r="K16">
        <v>2.8</v>
      </c>
      <c r="L16" t="s">
        <v>388</v>
      </c>
      <c r="M16" t="s">
        <v>391</v>
      </c>
      <c r="N16">
        <v>0.5</v>
      </c>
      <c r="O16">
        <v>11000</v>
      </c>
      <c r="P16" t="s">
        <v>720</v>
      </c>
      <c r="Q16" t="s">
        <v>126</v>
      </c>
      <c r="R16" t="s">
        <v>393</v>
      </c>
      <c r="S16" t="s">
        <v>144</v>
      </c>
      <c r="T16" t="s">
        <v>394</v>
      </c>
      <c r="U16" t="s">
        <v>283</v>
      </c>
      <c r="V16" t="s">
        <v>189</v>
      </c>
      <c r="X16" t="s">
        <v>97</v>
      </c>
      <c r="Y16" t="s">
        <v>346</v>
      </c>
      <c r="AA16" t="s">
        <v>302</v>
      </c>
      <c r="AB16" s="62" t="s">
        <v>359</v>
      </c>
      <c r="AC16" s="62" t="s">
        <v>765</v>
      </c>
      <c r="AD16" s="62" t="s">
        <v>97</v>
      </c>
      <c r="AE16" s="62" t="s">
        <v>359</v>
      </c>
      <c r="AF16" s="62" t="s">
        <v>765</v>
      </c>
      <c r="AL16" t="s">
        <v>267</v>
      </c>
    </row>
    <row r="17" spans="2:38" ht="16" x14ac:dyDescent="0.2">
      <c r="B17">
        <v>20.616054999999999</v>
      </c>
      <c r="C17">
        <v>-101.47708799999999</v>
      </c>
      <c r="D17" t="s">
        <v>133</v>
      </c>
      <c r="E17">
        <v>84</v>
      </c>
      <c r="F17" t="s">
        <v>71</v>
      </c>
      <c r="G17" t="s">
        <v>114</v>
      </c>
      <c r="H17" t="s">
        <v>137</v>
      </c>
      <c r="I17">
        <v>6.6</v>
      </c>
      <c r="J17">
        <v>3.2399999999999998</v>
      </c>
      <c r="K17">
        <v>2.4</v>
      </c>
      <c r="L17" t="s">
        <v>343</v>
      </c>
      <c r="M17" t="s">
        <v>365</v>
      </c>
      <c r="N17">
        <v>0.06</v>
      </c>
      <c r="O17">
        <v>8500</v>
      </c>
      <c r="P17" t="s">
        <v>352</v>
      </c>
      <c r="Q17" t="s">
        <v>114</v>
      </c>
      <c r="R17" t="s">
        <v>143</v>
      </c>
      <c r="S17" t="s">
        <v>144</v>
      </c>
      <c r="T17" t="s">
        <v>353</v>
      </c>
      <c r="U17" t="s">
        <v>283</v>
      </c>
      <c r="V17" t="s">
        <v>189</v>
      </c>
      <c r="X17" t="s">
        <v>97</v>
      </c>
      <c r="Y17" t="s">
        <v>346</v>
      </c>
      <c r="Z17" t="s">
        <v>155</v>
      </c>
      <c r="AA17" t="s">
        <v>302</v>
      </c>
      <c r="AB17" s="62" t="s">
        <v>350</v>
      </c>
      <c r="AC17" s="62" t="s">
        <v>490</v>
      </c>
      <c r="AD17" s="62" t="s">
        <v>97</v>
      </c>
      <c r="AE17" s="62" t="s">
        <v>350</v>
      </c>
      <c r="AF17" s="62" t="s">
        <v>490</v>
      </c>
      <c r="AL17" t="s">
        <v>267</v>
      </c>
    </row>
    <row r="18" spans="2:38" ht="16" x14ac:dyDescent="0.2">
      <c r="B18">
        <v>20.831773599999998</v>
      </c>
      <c r="C18">
        <v>-101.36178580000001</v>
      </c>
      <c r="D18" t="s">
        <v>133</v>
      </c>
      <c r="E18">
        <v>106.2</v>
      </c>
      <c r="F18" t="s">
        <v>714</v>
      </c>
      <c r="G18" t="s">
        <v>125</v>
      </c>
      <c r="H18" t="s">
        <v>110</v>
      </c>
      <c r="I18">
        <v>6.8</v>
      </c>
      <c r="J18">
        <v>4.16</v>
      </c>
      <c r="K18">
        <v>1.2</v>
      </c>
      <c r="L18" t="s">
        <v>388</v>
      </c>
      <c r="M18" t="s">
        <v>424</v>
      </c>
      <c r="N18">
        <v>2.5000000000000001E-2</v>
      </c>
      <c r="O18">
        <v>20000</v>
      </c>
      <c r="P18" t="s">
        <v>413</v>
      </c>
      <c r="Q18" t="s">
        <v>721</v>
      </c>
      <c r="R18" t="s">
        <v>143</v>
      </c>
      <c r="S18" t="s">
        <v>144</v>
      </c>
      <c r="T18" t="s">
        <v>282</v>
      </c>
      <c r="U18" t="s">
        <v>283</v>
      </c>
      <c r="V18" t="s">
        <v>189</v>
      </c>
      <c r="X18" t="s">
        <v>97</v>
      </c>
      <c r="Y18" t="s">
        <v>346</v>
      </c>
      <c r="AA18" t="s">
        <v>157</v>
      </c>
      <c r="AD18" s="62" t="s">
        <v>157</v>
      </c>
      <c r="AI18">
        <v>0</v>
      </c>
      <c r="AL18" t="s">
        <v>402</v>
      </c>
    </row>
    <row r="19" spans="2:38" ht="16" x14ac:dyDescent="0.2">
      <c r="B19">
        <v>20.974211</v>
      </c>
      <c r="C19">
        <v>-101.345771</v>
      </c>
      <c r="D19" t="s">
        <v>133</v>
      </c>
      <c r="E19">
        <v>95.1</v>
      </c>
      <c r="F19" t="s">
        <v>709</v>
      </c>
      <c r="G19" t="s">
        <v>126</v>
      </c>
      <c r="H19" t="s">
        <v>137</v>
      </c>
      <c r="I19">
        <v>7</v>
      </c>
      <c r="J19">
        <v>4.16</v>
      </c>
      <c r="K19">
        <v>3</v>
      </c>
      <c r="L19" t="s">
        <v>388</v>
      </c>
      <c r="M19" t="s">
        <v>396</v>
      </c>
      <c r="N19">
        <v>0.1</v>
      </c>
      <c r="O19">
        <v>10000</v>
      </c>
      <c r="P19" t="s">
        <v>397</v>
      </c>
      <c r="Q19" t="s">
        <v>126</v>
      </c>
      <c r="R19" t="s">
        <v>143</v>
      </c>
      <c r="S19" t="s">
        <v>144</v>
      </c>
      <c r="T19" t="s">
        <v>394</v>
      </c>
      <c r="U19" t="s">
        <v>283</v>
      </c>
      <c r="V19" t="s">
        <v>189</v>
      </c>
      <c r="X19" t="s">
        <v>97</v>
      </c>
      <c r="Y19" t="s">
        <v>346</v>
      </c>
      <c r="AA19" t="s">
        <v>302</v>
      </c>
      <c r="AB19" s="62" t="s">
        <v>350</v>
      </c>
      <c r="AC19" s="62" t="s">
        <v>490</v>
      </c>
      <c r="AD19" s="62" t="s">
        <v>97</v>
      </c>
      <c r="AE19" s="62" t="s">
        <v>398</v>
      </c>
      <c r="AF19" s="62" t="s">
        <v>490</v>
      </c>
      <c r="AL19" t="s">
        <v>267</v>
      </c>
    </row>
    <row r="20" spans="2:38" ht="16" x14ac:dyDescent="0.2">
      <c r="B20">
        <v>20.81925</v>
      </c>
      <c r="C20">
        <v>-101.350193</v>
      </c>
      <c r="D20" t="s">
        <v>133</v>
      </c>
      <c r="E20">
        <v>99</v>
      </c>
      <c r="F20" t="s">
        <v>711</v>
      </c>
      <c r="G20" t="s">
        <v>126</v>
      </c>
      <c r="H20" t="s">
        <v>137</v>
      </c>
      <c r="I20">
        <v>7</v>
      </c>
      <c r="J20">
        <v>4.04</v>
      </c>
      <c r="K20">
        <v>2.8</v>
      </c>
      <c r="L20" t="s">
        <v>388</v>
      </c>
      <c r="M20" t="s">
        <v>410</v>
      </c>
      <c r="N20">
        <v>0.08</v>
      </c>
      <c r="O20">
        <v>12500</v>
      </c>
      <c r="P20" t="s">
        <v>400</v>
      </c>
      <c r="Q20" t="s">
        <v>126</v>
      </c>
      <c r="R20" t="s">
        <v>143</v>
      </c>
      <c r="S20" t="s">
        <v>144</v>
      </c>
      <c r="T20" t="s">
        <v>394</v>
      </c>
      <c r="U20" t="s">
        <v>283</v>
      </c>
      <c r="V20" t="s">
        <v>189</v>
      </c>
      <c r="X20" t="s">
        <v>97</v>
      </c>
      <c r="Y20" t="s">
        <v>346</v>
      </c>
      <c r="AA20" t="s">
        <v>157</v>
      </c>
      <c r="AD20" s="62" t="s">
        <v>97</v>
      </c>
      <c r="AE20" s="62" t="s">
        <v>350</v>
      </c>
      <c r="AF20" s="62" t="s">
        <v>490</v>
      </c>
    </row>
    <row r="21" spans="2:38" ht="32" x14ac:dyDescent="0.2">
      <c r="B21">
        <v>20.818978000000001</v>
      </c>
      <c r="C21">
        <v>-101.332172</v>
      </c>
      <c r="D21" t="s">
        <v>133</v>
      </c>
      <c r="E21">
        <v>109</v>
      </c>
      <c r="F21" t="s">
        <v>94</v>
      </c>
      <c r="G21" t="s">
        <v>126</v>
      </c>
      <c r="H21" t="s">
        <v>137</v>
      </c>
      <c r="I21">
        <v>7.6</v>
      </c>
      <c r="J21">
        <v>7.0400000000000009</v>
      </c>
      <c r="K21">
        <v>6.8</v>
      </c>
      <c r="L21" t="s">
        <v>388</v>
      </c>
      <c r="M21" t="s">
        <v>430</v>
      </c>
      <c r="N21">
        <v>0.06</v>
      </c>
      <c r="O21">
        <v>25000</v>
      </c>
      <c r="P21" t="s">
        <v>431</v>
      </c>
      <c r="Q21" t="s">
        <v>126</v>
      </c>
      <c r="S21" t="s">
        <v>144</v>
      </c>
      <c r="T21" t="s">
        <v>129</v>
      </c>
      <c r="U21" t="s">
        <v>283</v>
      </c>
      <c r="V21" t="s">
        <v>189</v>
      </c>
      <c r="X21" t="s">
        <v>97</v>
      </c>
      <c r="Y21" t="s">
        <v>346</v>
      </c>
      <c r="AA21" t="s">
        <v>97</v>
      </c>
      <c r="AB21" s="62" t="s">
        <v>405</v>
      </c>
      <c r="AD21" s="62" t="s">
        <v>157</v>
      </c>
      <c r="AL21" t="s">
        <v>432</v>
      </c>
    </row>
    <row r="22" spans="2:38" ht="32" x14ac:dyDescent="0.2">
      <c r="B22">
        <v>20.766971999999999</v>
      </c>
      <c r="C22">
        <v>-101.36639599999999</v>
      </c>
      <c r="D22" t="s">
        <v>133</v>
      </c>
      <c r="E22">
        <v>94.3</v>
      </c>
      <c r="F22" t="s">
        <v>708</v>
      </c>
      <c r="G22" t="s">
        <v>114</v>
      </c>
      <c r="H22" t="s">
        <v>137</v>
      </c>
      <c r="I22">
        <v>8</v>
      </c>
      <c r="J22">
        <v>8</v>
      </c>
      <c r="K22">
        <v>8</v>
      </c>
      <c r="L22" t="s">
        <v>388</v>
      </c>
      <c r="M22" t="s">
        <v>391</v>
      </c>
      <c r="N22">
        <v>0.5</v>
      </c>
      <c r="O22">
        <v>11000</v>
      </c>
      <c r="P22" t="s">
        <v>720</v>
      </c>
      <c r="Q22" t="s">
        <v>114</v>
      </c>
      <c r="R22" t="s">
        <v>393</v>
      </c>
      <c r="S22" t="s">
        <v>144</v>
      </c>
      <c r="T22" t="s">
        <v>394</v>
      </c>
      <c r="U22" t="s">
        <v>283</v>
      </c>
      <c r="V22" t="s">
        <v>189</v>
      </c>
      <c r="X22" t="s">
        <v>97</v>
      </c>
      <c r="Y22" t="s">
        <v>346</v>
      </c>
      <c r="AA22" t="s">
        <v>302</v>
      </c>
      <c r="AB22" s="62" t="s">
        <v>359</v>
      </c>
      <c r="AC22" s="62" t="s">
        <v>765</v>
      </c>
      <c r="AD22" s="62" t="s">
        <v>97</v>
      </c>
      <c r="AE22" s="62" t="s">
        <v>359</v>
      </c>
      <c r="AF22" s="62" t="s">
        <v>765</v>
      </c>
      <c r="AL22" t="s">
        <v>267</v>
      </c>
    </row>
    <row r="23" spans="2:38" ht="64" x14ac:dyDescent="0.2">
      <c r="B23">
        <v>20.818342000000001</v>
      </c>
      <c r="C23">
        <v>-101.339924</v>
      </c>
      <c r="D23" t="s">
        <v>133</v>
      </c>
      <c r="E23">
        <v>105</v>
      </c>
      <c r="F23" t="s">
        <v>90</v>
      </c>
      <c r="G23" t="s">
        <v>126</v>
      </c>
      <c r="H23" t="s">
        <v>137</v>
      </c>
      <c r="I23">
        <v>8</v>
      </c>
      <c r="J23">
        <v>7.76</v>
      </c>
      <c r="K23">
        <v>7.6</v>
      </c>
      <c r="L23" t="s">
        <v>388</v>
      </c>
      <c r="M23" t="s">
        <v>420</v>
      </c>
      <c r="N23">
        <v>0.2</v>
      </c>
      <c r="O23">
        <v>15000</v>
      </c>
      <c r="P23" t="s">
        <v>421</v>
      </c>
      <c r="Q23" t="s">
        <v>126</v>
      </c>
      <c r="R23" t="s">
        <v>143</v>
      </c>
      <c r="S23" t="s">
        <v>144</v>
      </c>
      <c r="T23" t="s">
        <v>422</v>
      </c>
      <c r="U23" t="s">
        <v>283</v>
      </c>
      <c r="V23" t="s">
        <v>189</v>
      </c>
      <c r="X23" t="s">
        <v>97</v>
      </c>
      <c r="Y23" t="s">
        <v>346</v>
      </c>
      <c r="AA23" t="s">
        <v>157</v>
      </c>
      <c r="AD23" s="62" t="s">
        <v>97</v>
      </c>
      <c r="AE23" s="62" t="s">
        <v>423</v>
      </c>
      <c r="AF23" s="62" t="s">
        <v>767</v>
      </c>
      <c r="AI23">
        <v>0</v>
      </c>
    </row>
    <row r="24" spans="2:38" ht="16" x14ac:dyDescent="0.2">
      <c r="B24">
        <v>20.771369</v>
      </c>
      <c r="C24">
        <v>-101.349383</v>
      </c>
      <c r="D24" t="s">
        <v>133</v>
      </c>
      <c r="E24">
        <v>93.1</v>
      </c>
      <c r="F24" t="s">
        <v>704</v>
      </c>
      <c r="G24" t="s">
        <v>119</v>
      </c>
      <c r="H24" t="s">
        <v>137</v>
      </c>
      <c r="I24">
        <v>8.6</v>
      </c>
      <c r="J24">
        <v>3.2399999999999998</v>
      </c>
      <c r="K24">
        <v>1.6</v>
      </c>
      <c r="L24" t="s">
        <v>388</v>
      </c>
      <c r="M24" t="s">
        <v>389</v>
      </c>
      <c r="N24">
        <v>0.25</v>
      </c>
      <c r="O24">
        <v>8000</v>
      </c>
      <c r="P24" t="s">
        <v>379</v>
      </c>
      <c r="Q24" t="s">
        <v>119</v>
      </c>
      <c r="R24" t="s">
        <v>143</v>
      </c>
      <c r="S24" t="s">
        <v>144</v>
      </c>
      <c r="T24" t="s">
        <v>282</v>
      </c>
      <c r="U24" t="s">
        <v>283</v>
      </c>
      <c r="V24" t="s">
        <v>189</v>
      </c>
      <c r="X24" t="s">
        <v>97</v>
      </c>
      <c r="Y24" t="s">
        <v>346</v>
      </c>
      <c r="AA24" t="s">
        <v>302</v>
      </c>
      <c r="AB24" s="62" t="s">
        <v>390</v>
      </c>
      <c r="AC24" s="62" t="s">
        <v>766</v>
      </c>
      <c r="AI24">
        <v>0.2</v>
      </c>
      <c r="AL24" t="s">
        <v>267</v>
      </c>
    </row>
    <row r="25" spans="2:38" ht="16" x14ac:dyDescent="0.2">
      <c r="B25">
        <v>20.583696</v>
      </c>
      <c r="C25">
        <v>-101.413878</v>
      </c>
      <c r="D25" t="s">
        <v>133</v>
      </c>
      <c r="E25">
        <v>91</v>
      </c>
      <c r="F25" t="s">
        <v>77</v>
      </c>
      <c r="G25" t="s">
        <v>114</v>
      </c>
      <c r="H25" t="s">
        <v>137</v>
      </c>
      <c r="I25">
        <v>10.199999999999999</v>
      </c>
      <c r="J25">
        <v>4.12</v>
      </c>
      <c r="K25">
        <v>2.6</v>
      </c>
      <c r="L25" t="s">
        <v>370</v>
      </c>
      <c r="M25" t="s">
        <v>383</v>
      </c>
      <c r="N25">
        <v>0.35</v>
      </c>
      <c r="O25">
        <v>11000</v>
      </c>
      <c r="P25" t="s">
        <v>384</v>
      </c>
      <c r="Q25" t="s">
        <v>385</v>
      </c>
      <c r="R25" t="s">
        <v>143</v>
      </c>
      <c r="S25" t="s">
        <v>144</v>
      </c>
      <c r="T25" t="s">
        <v>295</v>
      </c>
      <c r="U25" t="s">
        <v>283</v>
      </c>
      <c r="V25" t="s">
        <v>189</v>
      </c>
      <c r="X25" t="s">
        <v>97</v>
      </c>
      <c r="Y25" t="s">
        <v>346</v>
      </c>
      <c r="AA25" t="s">
        <v>302</v>
      </c>
      <c r="AB25" s="62" t="s">
        <v>386</v>
      </c>
      <c r="AC25" s="62" t="s">
        <v>773</v>
      </c>
      <c r="AL25" t="s">
        <v>267</v>
      </c>
    </row>
    <row r="26" spans="2:38" ht="16" x14ac:dyDescent="0.2">
      <c r="B26">
        <v>20.806660999999998</v>
      </c>
      <c r="C26">
        <v>-101.344807</v>
      </c>
      <c r="D26" t="s">
        <v>133</v>
      </c>
      <c r="E26">
        <v>101</v>
      </c>
      <c r="F26" t="s">
        <v>86</v>
      </c>
      <c r="G26" t="s">
        <v>126</v>
      </c>
      <c r="H26" t="s">
        <v>137</v>
      </c>
      <c r="I26">
        <v>10.4</v>
      </c>
      <c r="J26">
        <v>9.2799999999999994</v>
      </c>
      <c r="K26">
        <v>9</v>
      </c>
      <c r="L26" t="s">
        <v>388</v>
      </c>
      <c r="M26" t="s">
        <v>412</v>
      </c>
      <c r="N26">
        <v>0.08</v>
      </c>
      <c r="O26">
        <v>18000</v>
      </c>
      <c r="P26" t="s">
        <v>413</v>
      </c>
      <c r="Q26" t="s">
        <v>126</v>
      </c>
      <c r="R26" t="s">
        <v>143</v>
      </c>
      <c r="S26" t="s">
        <v>144</v>
      </c>
      <c r="T26" t="s">
        <v>394</v>
      </c>
      <c r="U26" t="s">
        <v>283</v>
      </c>
      <c r="V26" t="s">
        <v>189</v>
      </c>
      <c r="X26" t="s">
        <v>97</v>
      </c>
      <c r="Y26" t="s">
        <v>346</v>
      </c>
      <c r="AA26" t="s">
        <v>157</v>
      </c>
      <c r="AD26" s="62" t="s">
        <v>97</v>
      </c>
      <c r="AE26" s="62" t="s">
        <v>350</v>
      </c>
      <c r="AF26" s="62" t="s">
        <v>490</v>
      </c>
      <c r="AI26">
        <v>0</v>
      </c>
    </row>
    <row r="27" spans="2:38" ht="16" x14ac:dyDescent="0.2">
      <c r="B27">
        <v>20.60117</v>
      </c>
      <c r="C27">
        <v>-101.41410999999999</v>
      </c>
      <c r="D27" t="s">
        <v>133</v>
      </c>
      <c r="E27">
        <v>92</v>
      </c>
      <c r="F27" t="s">
        <v>78</v>
      </c>
      <c r="G27" t="s">
        <v>114</v>
      </c>
      <c r="H27" t="s">
        <v>137</v>
      </c>
      <c r="I27">
        <v>10.8</v>
      </c>
      <c r="J27">
        <v>3.2800000000000002</v>
      </c>
      <c r="K27">
        <v>1.4</v>
      </c>
      <c r="L27" t="s">
        <v>370</v>
      </c>
      <c r="M27" t="s">
        <v>387</v>
      </c>
      <c r="N27">
        <v>0.35</v>
      </c>
      <c r="O27">
        <v>11000</v>
      </c>
      <c r="P27" t="s">
        <v>384</v>
      </c>
      <c r="Q27" t="s">
        <v>385</v>
      </c>
      <c r="R27" t="s">
        <v>143</v>
      </c>
      <c r="S27" t="s">
        <v>144</v>
      </c>
      <c r="T27" t="s">
        <v>295</v>
      </c>
      <c r="U27" t="s">
        <v>283</v>
      </c>
      <c r="V27" t="s">
        <v>189</v>
      </c>
      <c r="X27" t="s">
        <v>97</v>
      </c>
      <c r="Y27" t="s">
        <v>346</v>
      </c>
      <c r="AA27" t="s">
        <v>302</v>
      </c>
      <c r="AB27" s="62" t="s">
        <v>386</v>
      </c>
      <c r="AC27" s="62" t="s">
        <v>773</v>
      </c>
    </row>
    <row r="28" spans="2:38" ht="16" x14ac:dyDescent="0.2">
      <c r="B28">
        <v>20.618905000000002</v>
      </c>
      <c r="C28">
        <v>-101.487482</v>
      </c>
      <c r="D28" t="s">
        <v>133</v>
      </c>
      <c r="E28">
        <v>80</v>
      </c>
      <c r="F28" t="s">
        <v>68</v>
      </c>
      <c r="G28" t="s">
        <v>114</v>
      </c>
      <c r="H28" t="s">
        <v>137</v>
      </c>
      <c r="I28">
        <v>11.4</v>
      </c>
      <c r="J28">
        <v>2.44</v>
      </c>
      <c r="K28">
        <v>0.2</v>
      </c>
      <c r="L28" t="s">
        <v>343</v>
      </c>
      <c r="M28" t="s">
        <v>351</v>
      </c>
      <c r="N28">
        <v>0.1</v>
      </c>
      <c r="O28">
        <v>5000</v>
      </c>
      <c r="P28" t="s">
        <v>352</v>
      </c>
      <c r="Q28" t="s">
        <v>114</v>
      </c>
      <c r="R28" t="s">
        <v>143</v>
      </c>
      <c r="S28" t="s">
        <v>144</v>
      </c>
      <c r="T28" t="s">
        <v>353</v>
      </c>
      <c r="U28" t="s">
        <v>283</v>
      </c>
      <c r="V28" t="s">
        <v>189</v>
      </c>
      <c r="X28" t="s">
        <v>97</v>
      </c>
      <c r="Y28" t="s">
        <v>346</v>
      </c>
      <c r="AA28" t="s">
        <v>302</v>
      </c>
      <c r="AB28" s="62" t="s">
        <v>350</v>
      </c>
      <c r="AC28" s="62" t="s">
        <v>490</v>
      </c>
      <c r="AD28" s="62" t="s">
        <v>97</v>
      </c>
      <c r="AE28" s="62" t="s">
        <v>350</v>
      </c>
      <c r="AF28" s="62" t="s">
        <v>490</v>
      </c>
      <c r="AL28" t="s">
        <v>267</v>
      </c>
    </row>
    <row r="29" spans="2:38" ht="16" x14ac:dyDescent="0.2">
      <c r="B29">
        <v>20.771343999999999</v>
      </c>
      <c r="C29">
        <v>-101.34874000000001</v>
      </c>
      <c r="D29" t="s">
        <v>133</v>
      </c>
      <c r="E29">
        <v>93.2</v>
      </c>
      <c r="F29" t="s">
        <v>705</v>
      </c>
      <c r="G29" t="s">
        <v>126</v>
      </c>
      <c r="H29" t="s">
        <v>137</v>
      </c>
      <c r="I29">
        <v>11.8</v>
      </c>
      <c r="J29">
        <v>10.040000000000001</v>
      </c>
      <c r="K29">
        <v>9.6</v>
      </c>
      <c r="L29" t="s">
        <v>388</v>
      </c>
      <c r="M29" t="s">
        <v>389</v>
      </c>
      <c r="N29">
        <v>0.25</v>
      </c>
      <c r="O29">
        <v>8000</v>
      </c>
      <c r="P29" t="s">
        <v>719</v>
      </c>
      <c r="Q29" t="s">
        <v>126</v>
      </c>
      <c r="R29" t="s">
        <v>143</v>
      </c>
      <c r="S29" t="s">
        <v>144</v>
      </c>
      <c r="T29" t="s">
        <v>282</v>
      </c>
      <c r="U29" t="s">
        <v>283</v>
      </c>
      <c r="V29" t="s">
        <v>189</v>
      </c>
      <c r="X29" t="s">
        <v>97</v>
      </c>
      <c r="Y29" t="s">
        <v>346</v>
      </c>
      <c r="AA29" t="s">
        <v>302</v>
      </c>
      <c r="AB29" s="62" t="s">
        <v>390</v>
      </c>
      <c r="AC29" s="62" t="s">
        <v>766</v>
      </c>
      <c r="AI29">
        <v>0.2</v>
      </c>
      <c r="AL29" t="s">
        <v>267</v>
      </c>
    </row>
    <row r="30" spans="2:38" ht="16" x14ac:dyDescent="0.2">
      <c r="B30">
        <v>20.830828</v>
      </c>
      <c r="C30">
        <v>-101.361791</v>
      </c>
      <c r="D30" t="s">
        <v>133</v>
      </c>
      <c r="E30">
        <v>106.1</v>
      </c>
      <c r="F30" t="s">
        <v>92</v>
      </c>
      <c r="G30" t="s">
        <v>126</v>
      </c>
      <c r="H30" t="s">
        <v>137</v>
      </c>
      <c r="I30">
        <v>12.2</v>
      </c>
      <c r="J30">
        <v>12.2</v>
      </c>
      <c r="K30">
        <v>12.2</v>
      </c>
      <c r="L30" t="s">
        <v>388</v>
      </c>
      <c r="M30" t="s">
        <v>424</v>
      </c>
      <c r="N30">
        <v>2.5000000000000001E-2</v>
      </c>
      <c r="O30">
        <v>20000</v>
      </c>
      <c r="P30" t="s">
        <v>413</v>
      </c>
      <c r="Q30" t="s">
        <v>126</v>
      </c>
      <c r="R30" t="s">
        <v>143</v>
      </c>
      <c r="S30" t="s">
        <v>144</v>
      </c>
      <c r="T30" t="s">
        <v>282</v>
      </c>
      <c r="U30" t="s">
        <v>283</v>
      </c>
      <c r="V30" t="s">
        <v>189</v>
      </c>
      <c r="X30" t="s">
        <v>97</v>
      </c>
      <c r="Y30" t="s">
        <v>346</v>
      </c>
      <c r="AA30" t="s">
        <v>157</v>
      </c>
      <c r="AD30" s="62" t="s">
        <v>157</v>
      </c>
      <c r="AI30">
        <v>0</v>
      </c>
      <c r="AL30" t="s">
        <v>402</v>
      </c>
    </row>
    <row r="31" spans="2:38" x14ac:dyDescent="0.2">
      <c r="B31">
        <v>20.644326599999999</v>
      </c>
      <c r="C31">
        <v>-101.41902880000001</v>
      </c>
      <c r="D31" t="s">
        <v>133</v>
      </c>
      <c r="E31">
        <v>25</v>
      </c>
      <c r="F31" t="s">
        <v>21</v>
      </c>
      <c r="G31" t="s">
        <v>126</v>
      </c>
      <c r="H31" t="s">
        <v>110</v>
      </c>
      <c r="I31">
        <v>15.6</v>
      </c>
      <c r="J31">
        <v>12.240000000000002</v>
      </c>
      <c r="K31">
        <v>8.6</v>
      </c>
      <c r="L31" t="s">
        <v>188</v>
      </c>
      <c r="Q31" t="s">
        <v>126</v>
      </c>
      <c r="R31" t="s">
        <v>143</v>
      </c>
      <c r="S31" t="s">
        <v>144</v>
      </c>
      <c r="V31" t="s">
        <v>147</v>
      </c>
      <c r="W31" t="s">
        <v>148</v>
      </c>
      <c r="Z31" t="s">
        <v>155</v>
      </c>
      <c r="AG31" t="s">
        <v>97</v>
      </c>
      <c r="AH31" t="s">
        <v>157</v>
      </c>
      <c r="AI31">
        <v>0</v>
      </c>
    </row>
    <row r="32" spans="2:38" ht="32" x14ac:dyDescent="0.2">
      <c r="B32">
        <v>20.832645599999999</v>
      </c>
      <c r="C32">
        <v>-101.36142940000001</v>
      </c>
      <c r="D32" t="s">
        <v>133</v>
      </c>
      <c r="E32">
        <v>107</v>
      </c>
      <c r="F32" t="s">
        <v>713</v>
      </c>
      <c r="G32" t="s">
        <v>126</v>
      </c>
      <c r="H32" t="s">
        <v>137</v>
      </c>
      <c r="I32">
        <v>18.399999999999999</v>
      </c>
      <c r="J32">
        <v>18.399999999999999</v>
      </c>
      <c r="K32">
        <v>18.399999999999999</v>
      </c>
      <c r="L32" t="s">
        <v>388</v>
      </c>
      <c r="M32" t="s">
        <v>425</v>
      </c>
      <c r="N32">
        <v>0.05</v>
      </c>
      <c r="O32">
        <v>20000</v>
      </c>
      <c r="P32" t="s">
        <v>426</v>
      </c>
      <c r="Q32" t="s">
        <v>126</v>
      </c>
      <c r="R32" t="s">
        <v>143</v>
      </c>
      <c r="S32" t="s">
        <v>144</v>
      </c>
      <c r="T32" t="s">
        <v>394</v>
      </c>
      <c r="U32" t="s">
        <v>283</v>
      </c>
      <c r="V32" t="s">
        <v>147</v>
      </c>
      <c r="X32" t="s">
        <v>97</v>
      </c>
      <c r="Y32" t="s">
        <v>346</v>
      </c>
      <c r="AA32" t="s">
        <v>157</v>
      </c>
      <c r="AD32" s="62" t="s">
        <v>97</v>
      </c>
      <c r="AE32" s="62" t="s">
        <v>417</v>
      </c>
      <c r="AF32" s="62" t="s">
        <v>771</v>
      </c>
      <c r="AL32" t="s">
        <v>419</v>
      </c>
    </row>
    <row r="33" spans="2:38" ht="32" x14ac:dyDescent="0.2">
      <c r="B33">
        <v>20.820125999999998</v>
      </c>
      <c r="C33">
        <v>-101.340324</v>
      </c>
      <c r="D33" t="s">
        <v>133</v>
      </c>
      <c r="E33">
        <v>104</v>
      </c>
      <c r="F33" t="s">
        <v>89</v>
      </c>
      <c r="G33" t="s">
        <v>126</v>
      </c>
      <c r="H33" t="s">
        <v>137</v>
      </c>
      <c r="I33">
        <v>19.399999999999999</v>
      </c>
      <c r="J33">
        <v>19.399999999999999</v>
      </c>
      <c r="K33">
        <v>19.399999999999999</v>
      </c>
      <c r="L33" t="s">
        <v>388</v>
      </c>
      <c r="M33" t="s">
        <v>418</v>
      </c>
      <c r="N33">
        <v>0.09</v>
      </c>
      <c r="O33">
        <v>11000</v>
      </c>
      <c r="P33" t="s">
        <v>384</v>
      </c>
      <c r="Q33" t="s">
        <v>126</v>
      </c>
      <c r="R33" t="s">
        <v>143</v>
      </c>
      <c r="S33" t="s">
        <v>144</v>
      </c>
      <c r="T33" t="s">
        <v>295</v>
      </c>
      <c r="U33" t="s">
        <v>283</v>
      </c>
      <c r="V33" t="s">
        <v>189</v>
      </c>
      <c r="X33" t="s">
        <v>97</v>
      </c>
      <c r="Y33" t="s">
        <v>346</v>
      </c>
      <c r="AA33" t="s">
        <v>97</v>
      </c>
      <c r="AB33" s="62" t="s">
        <v>347</v>
      </c>
      <c r="AD33" s="62" t="s">
        <v>97</v>
      </c>
      <c r="AE33" s="62" t="s">
        <v>417</v>
      </c>
      <c r="AF33" s="62" t="s">
        <v>771</v>
      </c>
      <c r="AI33">
        <v>0</v>
      </c>
      <c r="AL33" t="s">
        <v>419</v>
      </c>
    </row>
    <row r="34" spans="2:38" x14ac:dyDescent="0.2">
      <c r="B34">
        <v>20.606214000000001</v>
      </c>
      <c r="C34">
        <v>-101.43516200000001</v>
      </c>
      <c r="D34" t="s">
        <v>133</v>
      </c>
      <c r="E34">
        <v>28</v>
      </c>
      <c r="F34" t="s">
        <v>24</v>
      </c>
      <c r="G34" t="s">
        <v>131</v>
      </c>
      <c r="H34" t="s">
        <v>110</v>
      </c>
      <c r="I34">
        <v>21.2</v>
      </c>
      <c r="J34">
        <v>18.28</v>
      </c>
      <c r="K34">
        <v>16.2</v>
      </c>
      <c r="L34" t="s">
        <v>188</v>
      </c>
      <c r="Q34" t="s">
        <v>131</v>
      </c>
    </row>
    <row r="35" spans="2:38" x14ac:dyDescent="0.2">
      <c r="B35">
        <v>20.624690300000001</v>
      </c>
      <c r="C35">
        <v>-101.4194432</v>
      </c>
      <c r="D35" t="s">
        <v>133</v>
      </c>
      <c r="E35">
        <v>27</v>
      </c>
      <c r="F35" t="s">
        <v>23</v>
      </c>
      <c r="G35" t="s">
        <v>126</v>
      </c>
      <c r="H35" t="s">
        <v>110</v>
      </c>
      <c r="I35">
        <v>22</v>
      </c>
      <c r="J35">
        <v>18.36</v>
      </c>
      <c r="K35">
        <v>14</v>
      </c>
      <c r="L35" t="s">
        <v>188</v>
      </c>
      <c r="Q35" t="s">
        <v>126</v>
      </c>
      <c r="AI35">
        <v>0</v>
      </c>
    </row>
    <row r="36" spans="2:38" x14ac:dyDescent="0.2">
      <c r="B36">
        <v>20.5939458</v>
      </c>
      <c r="C36">
        <v>-101.4135752</v>
      </c>
      <c r="D36" t="s">
        <v>133</v>
      </c>
      <c r="E36">
        <v>31</v>
      </c>
      <c r="F36" t="s">
        <v>27</v>
      </c>
      <c r="G36" t="s">
        <v>126</v>
      </c>
      <c r="H36" t="s">
        <v>110</v>
      </c>
      <c r="I36">
        <v>24.6</v>
      </c>
      <c r="J36">
        <v>19.28</v>
      </c>
      <c r="K36">
        <v>14.6</v>
      </c>
      <c r="L36" t="s">
        <v>188</v>
      </c>
      <c r="O36">
        <v>18000</v>
      </c>
      <c r="Q36" t="s">
        <v>126</v>
      </c>
      <c r="R36" t="s">
        <v>143</v>
      </c>
      <c r="S36" t="s">
        <v>144</v>
      </c>
      <c r="AA36" t="s">
        <v>97</v>
      </c>
      <c r="AG36" t="s">
        <v>157</v>
      </c>
      <c r="AH36" t="s">
        <v>157</v>
      </c>
      <c r="AI36">
        <v>0</v>
      </c>
    </row>
    <row r="37" spans="2:38" x14ac:dyDescent="0.2">
      <c r="B37">
        <v>20.624362399999999</v>
      </c>
      <c r="C37">
        <v>-101.41951229999999</v>
      </c>
      <c r="D37" t="s">
        <v>133</v>
      </c>
      <c r="E37">
        <v>26</v>
      </c>
      <c r="F37" t="s">
        <v>22</v>
      </c>
      <c r="G37" t="s">
        <v>134</v>
      </c>
      <c r="H37" t="s">
        <v>110</v>
      </c>
      <c r="I37">
        <v>25.6</v>
      </c>
      <c r="J37">
        <v>22.080000000000002</v>
      </c>
      <c r="K37">
        <v>18.2</v>
      </c>
      <c r="L37" t="s">
        <v>188</v>
      </c>
      <c r="Q37" t="s">
        <v>134</v>
      </c>
      <c r="AI37">
        <v>0</v>
      </c>
    </row>
    <row r="38" spans="2:38" x14ac:dyDescent="0.2">
      <c r="B38">
        <v>20.606797700000001</v>
      </c>
      <c r="C38">
        <v>-101.4353457</v>
      </c>
      <c r="D38" t="s">
        <v>133</v>
      </c>
      <c r="E38">
        <v>29</v>
      </c>
      <c r="F38" t="s">
        <v>25</v>
      </c>
      <c r="G38" t="s">
        <v>135</v>
      </c>
      <c r="H38" t="s">
        <v>110</v>
      </c>
      <c r="I38">
        <v>26.6</v>
      </c>
      <c r="J38">
        <v>21.560000000000002</v>
      </c>
      <c r="K38">
        <v>16.2</v>
      </c>
      <c r="L38" t="s">
        <v>188</v>
      </c>
      <c r="O38">
        <v>55000</v>
      </c>
      <c r="Q38" t="s">
        <v>135</v>
      </c>
      <c r="R38" t="s">
        <v>175</v>
      </c>
      <c r="S38" t="s">
        <v>144</v>
      </c>
      <c r="V38" t="s">
        <v>147</v>
      </c>
      <c r="W38" t="s">
        <v>148</v>
      </c>
      <c r="AA38" t="s">
        <v>97</v>
      </c>
      <c r="AG38" t="s">
        <v>97</v>
      </c>
      <c r="AH38" t="s">
        <v>97</v>
      </c>
      <c r="AI38">
        <v>10</v>
      </c>
    </row>
    <row r="39" spans="2:38" ht="16" x14ac:dyDescent="0.2">
      <c r="B39">
        <v>20.801172999999999</v>
      </c>
      <c r="C39">
        <v>-101.351084</v>
      </c>
      <c r="D39" t="s">
        <v>133</v>
      </c>
      <c r="E39">
        <v>100</v>
      </c>
      <c r="F39" t="s">
        <v>85</v>
      </c>
      <c r="G39" t="s">
        <v>126</v>
      </c>
      <c r="H39" t="s">
        <v>137</v>
      </c>
      <c r="I39">
        <v>28.4</v>
      </c>
      <c r="J39">
        <v>28.119999999999997</v>
      </c>
      <c r="K39">
        <v>28</v>
      </c>
      <c r="L39" t="s">
        <v>388</v>
      </c>
      <c r="M39" t="s">
        <v>411</v>
      </c>
      <c r="N39">
        <v>0.03</v>
      </c>
      <c r="O39">
        <v>30000</v>
      </c>
      <c r="P39" t="s">
        <v>400</v>
      </c>
      <c r="Q39" t="s">
        <v>126</v>
      </c>
      <c r="R39" t="s">
        <v>143</v>
      </c>
      <c r="S39" t="s">
        <v>144</v>
      </c>
      <c r="U39" t="s">
        <v>283</v>
      </c>
      <c r="V39" t="s">
        <v>189</v>
      </c>
      <c r="X39" t="s">
        <v>97</v>
      </c>
      <c r="Y39" t="s">
        <v>346</v>
      </c>
      <c r="AA39" t="s">
        <v>157</v>
      </c>
      <c r="AD39" s="62" t="s">
        <v>97</v>
      </c>
      <c r="AE39" s="62" t="s">
        <v>350</v>
      </c>
      <c r="AF39" s="62" t="s">
        <v>490</v>
      </c>
      <c r="AI39">
        <v>0</v>
      </c>
    </row>
    <row r="40" spans="2:38" x14ac:dyDescent="0.2">
      <c r="B40">
        <v>20.81917</v>
      </c>
      <c r="C40">
        <v>-101.33309199999999</v>
      </c>
      <c r="D40" t="s">
        <v>133</v>
      </c>
      <c r="E40">
        <v>110</v>
      </c>
      <c r="F40" t="s">
        <v>95</v>
      </c>
      <c r="G40" t="s">
        <v>126</v>
      </c>
      <c r="H40" t="s">
        <v>137</v>
      </c>
      <c r="I40">
        <v>29.4</v>
      </c>
      <c r="J40">
        <v>29.32</v>
      </c>
      <c r="K40">
        <v>29.2</v>
      </c>
      <c r="L40" t="s">
        <v>388</v>
      </c>
      <c r="M40" t="s">
        <v>433</v>
      </c>
      <c r="Q40" t="s">
        <v>126</v>
      </c>
    </row>
    <row r="41" spans="2:38" ht="16" x14ac:dyDescent="0.2">
      <c r="B41">
        <v>20.792698000000001</v>
      </c>
      <c r="C41">
        <v>-101.34546899999999</v>
      </c>
      <c r="D41" t="s">
        <v>133</v>
      </c>
      <c r="E41">
        <v>95.2</v>
      </c>
      <c r="F41" t="s">
        <v>710</v>
      </c>
      <c r="G41" t="s">
        <v>126</v>
      </c>
      <c r="H41" t="s">
        <v>110</v>
      </c>
      <c r="I41">
        <v>30.8</v>
      </c>
      <c r="J41">
        <v>17.559999999999999</v>
      </c>
      <c r="K41">
        <v>8.8000000000000007</v>
      </c>
      <c r="L41" t="s">
        <v>388</v>
      </c>
      <c r="M41" t="s">
        <v>396</v>
      </c>
      <c r="N41">
        <v>0.1</v>
      </c>
      <c r="O41">
        <v>10000</v>
      </c>
      <c r="P41" t="s">
        <v>397</v>
      </c>
      <c r="Q41" t="s">
        <v>126</v>
      </c>
      <c r="R41" t="s">
        <v>143</v>
      </c>
      <c r="S41" t="s">
        <v>144</v>
      </c>
      <c r="T41" t="s">
        <v>394</v>
      </c>
      <c r="U41" t="s">
        <v>283</v>
      </c>
      <c r="V41" t="s">
        <v>189</v>
      </c>
      <c r="X41" t="s">
        <v>97</v>
      </c>
      <c r="Y41" t="s">
        <v>346</v>
      </c>
      <c r="AA41" t="s">
        <v>302</v>
      </c>
      <c r="AB41" s="62" t="s">
        <v>350</v>
      </c>
      <c r="AC41" s="62" t="s">
        <v>490</v>
      </c>
      <c r="AD41" s="62" t="s">
        <v>97</v>
      </c>
      <c r="AE41" s="62" t="s">
        <v>398</v>
      </c>
      <c r="AF41" s="62" t="s">
        <v>490</v>
      </c>
      <c r="AL41" t="s">
        <v>267</v>
      </c>
    </row>
    <row r="42" spans="2:38" ht="16" x14ac:dyDescent="0.2">
      <c r="B42">
        <v>20.820340000000002</v>
      </c>
      <c r="C42">
        <v>-101.34195</v>
      </c>
      <c r="D42" t="s">
        <v>133</v>
      </c>
      <c r="E42">
        <v>103</v>
      </c>
      <c r="F42" t="s">
        <v>712</v>
      </c>
      <c r="G42" t="s">
        <v>126</v>
      </c>
      <c r="H42" t="s">
        <v>137</v>
      </c>
      <c r="I42">
        <v>31.6</v>
      </c>
      <c r="J42">
        <v>31.439999999999998</v>
      </c>
      <c r="K42">
        <v>31.4</v>
      </c>
      <c r="L42" t="s">
        <v>388</v>
      </c>
      <c r="M42" t="s">
        <v>415</v>
      </c>
      <c r="N42">
        <v>0.08</v>
      </c>
      <c r="O42">
        <v>25000</v>
      </c>
      <c r="P42" t="s">
        <v>416</v>
      </c>
      <c r="Q42" t="s">
        <v>126</v>
      </c>
      <c r="R42" t="s">
        <v>143</v>
      </c>
      <c r="S42" t="s">
        <v>144</v>
      </c>
      <c r="T42" t="s">
        <v>295</v>
      </c>
      <c r="U42" t="s">
        <v>283</v>
      </c>
      <c r="V42" t="s">
        <v>189</v>
      </c>
      <c r="X42" t="s">
        <v>97</v>
      </c>
      <c r="Y42" t="s">
        <v>346</v>
      </c>
      <c r="AA42" t="s">
        <v>302</v>
      </c>
      <c r="AB42" s="62" t="s">
        <v>417</v>
      </c>
      <c r="AC42" s="62" t="s">
        <v>771</v>
      </c>
      <c r="AD42" s="62" t="s">
        <v>97</v>
      </c>
      <c r="AE42" s="62" t="s">
        <v>350</v>
      </c>
      <c r="AF42" s="62" t="s">
        <v>490</v>
      </c>
      <c r="AI42">
        <v>0</v>
      </c>
      <c r="AL42" t="s">
        <v>409</v>
      </c>
    </row>
    <row r="43" spans="2:38" ht="32" x14ac:dyDescent="0.2">
      <c r="B43">
        <v>20.821937999999999</v>
      </c>
      <c r="C43">
        <v>-101.33495000000001</v>
      </c>
      <c r="D43" t="s">
        <v>133</v>
      </c>
      <c r="E43">
        <v>108</v>
      </c>
      <c r="F43" t="s">
        <v>93</v>
      </c>
      <c r="G43" t="s">
        <v>126</v>
      </c>
      <c r="H43" t="s">
        <v>137</v>
      </c>
      <c r="I43">
        <v>32.4</v>
      </c>
      <c r="J43">
        <v>31.639999999999997</v>
      </c>
      <c r="K43">
        <v>31</v>
      </c>
      <c r="L43" t="s">
        <v>388</v>
      </c>
      <c r="M43" t="s">
        <v>427</v>
      </c>
      <c r="N43">
        <v>4.4999999999999998E-2</v>
      </c>
      <c r="O43">
        <v>44000</v>
      </c>
      <c r="P43" t="s">
        <v>428</v>
      </c>
      <c r="Q43" t="s">
        <v>126</v>
      </c>
      <c r="S43" t="s">
        <v>144</v>
      </c>
      <c r="U43" t="s">
        <v>283</v>
      </c>
      <c r="V43" t="s">
        <v>189</v>
      </c>
      <c r="X43" t="s">
        <v>226</v>
      </c>
      <c r="Y43" t="s">
        <v>346</v>
      </c>
      <c r="AA43" t="s">
        <v>429</v>
      </c>
      <c r="AD43" s="62" t="s">
        <v>289</v>
      </c>
      <c r="AL43" t="s">
        <v>267</v>
      </c>
    </row>
    <row r="44" spans="2:38" x14ac:dyDescent="0.2">
      <c r="B44">
        <v>20.582831899999999</v>
      </c>
      <c r="C44">
        <v>-101.4066665</v>
      </c>
      <c r="D44" t="s">
        <v>133</v>
      </c>
      <c r="E44">
        <v>34</v>
      </c>
      <c r="F44" t="s">
        <v>30</v>
      </c>
      <c r="G44" t="s">
        <v>126</v>
      </c>
      <c r="H44" t="s">
        <v>110</v>
      </c>
      <c r="I44">
        <v>33.200000000000003</v>
      </c>
      <c r="J44">
        <v>26.6</v>
      </c>
      <c r="K44">
        <v>19.399999999999999</v>
      </c>
      <c r="L44" t="s">
        <v>188</v>
      </c>
      <c r="Q44" t="s">
        <v>126</v>
      </c>
    </row>
    <row r="45" spans="2:38" x14ac:dyDescent="0.2">
      <c r="B45">
        <v>20.591409800000001</v>
      </c>
      <c r="C45">
        <v>-101.42056169999999</v>
      </c>
      <c r="D45" t="s">
        <v>133</v>
      </c>
      <c r="E45">
        <v>30</v>
      </c>
      <c r="F45" t="s">
        <v>26</v>
      </c>
      <c r="G45" t="s">
        <v>126</v>
      </c>
      <c r="H45" t="s">
        <v>110</v>
      </c>
      <c r="I45">
        <v>33.4</v>
      </c>
      <c r="J45">
        <v>24.04</v>
      </c>
      <c r="K45">
        <v>13</v>
      </c>
      <c r="L45" t="s">
        <v>188</v>
      </c>
      <c r="N45">
        <v>38</v>
      </c>
      <c r="O45">
        <v>26000</v>
      </c>
      <c r="Q45" t="s">
        <v>126</v>
      </c>
      <c r="R45" t="s">
        <v>143</v>
      </c>
      <c r="S45" t="s">
        <v>144</v>
      </c>
      <c r="V45" t="s">
        <v>147</v>
      </c>
      <c r="W45" t="s">
        <v>148</v>
      </c>
      <c r="AA45" t="s">
        <v>97</v>
      </c>
      <c r="AG45" t="s">
        <v>97</v>
      </c>
      <c r="AH45" t="s">
        <v>97</v>
      </c>
      <c r="AI45">
        <v>0</v>
      </c>
    </row>
    <row r="46" spans="2:38" x14ac:dyDescent="0.2">
      <c r="B46">
        <v>20.5838915</v>
      </c>
      <c r="C46">
        <v>-101.4070718</v>
      </c>
      <c r="D46" t="s">
        <v>133</v>
      </c>
      <c r="E46">
        <v>33</v>
      </c>
      <c r="F46" t="s">
        <v>29</v>
      </c>
      <c r="G46" t="s">
        <v>126</v>
      </c>
      <c r="H46" t="s">
        <v>110</v>
      </c>
      <c r="I46">
        <v>34.799999999999997</v>
      </c>
      <c r="J46">
        <v>22.720000000000002</v>
      </c>
      <c r="K46">
        <v>11.8</v>
      </c>
      <c r="L46" t="s">
        <v>188</v>
      </c>
      <c r="O46">
        <v>90000</v>
      </c>
      <c r="Q46" t="s">
        <v>126</v>
      </c>
      <c r="R46" t="s">
        <v>143</v>
      </c>
      <c r="S46" t="s">
        <v>144</v>
      </c>
      <c r="V46" t="s">
        <v>189</v>
      </c>
      <c r="W46" t="s">
        <v>190</v>
      </c>
      <c r="AA46" t="s">
        <v>157</v>
      </c>
      <c r="AG46" t="s">
        <v>157</v>
      </c>
      <c r="AH46" t="s">
        <v>157</v>
      </c>
      <c r="AI46">
        <v>0</v>
      </c>
    </row>
    <row r="47" spans="2:38" x14ac:dyDescent="0.2">
      <c r="B47">
        <v>20.58400799</v>
      </c>
      <c r="C47">
        <v>-101.40580749999999</v>
      </c>
      <c r="D47" t="s">
        <v>133</v>
      </c>
      <c r="E47">
        <v>32</v>
      </c>
      <c r="F47" t="s">
        <v>28</v>
      </c>
      <c r="G47" t="s">
        <v>136</v>
      </c>
      <c r="H47" t="s">
        <v>110</v>
      </c>
      <c r="I47">
        <v>35.6</v>
      </c>
      <c r="J47">
        <v>30.76</v>
      </c>
      <c r="K47">
        <v>25</v>
      </c>
      <c r="L47" t="s">
        <v>188</v>
      </c>
      <c r="Q47" t="s">
        <v>136</v>
      </c>
    </row>
    <row r="48" spans="2:38" ht="32" x14ac:dyDescent="0.2">
      <c r="B48">
        <v>20.769235999999999</v>
      </c>
      <c r="C48">
        <v>-101.36295699999999</v>
      </c>
      <c r="D48" t="s">
        <v>133</v>
      </c>
      <c r="E48">
        <v>94.1</v>
      </c>
      <c r="F48" t="s">
        <v>706</v>
      </c>
      <c r="G48" t="s">
        <v>114</v>
      </c>
      <c r="H48" t="s">
        <v>137</v>
      </c>
      <c r="I48">
        <v>39.200000000000003</v>
      </c>
      <c r="J48">
        <v>29.720000000000006</v>
      </c>
      <c r="K48">
        <v>22</v>
      </c>
      <c r="L48" t="s">
        <v>388</v>
      </c>
      <c r="M48" t="s">
        <v>391</v>
      </c>
      <c r="N48">
        <v>0.5</v>
      </c>
      <c r="O48">
        <v>11000</v>
      </c>
      <c r="P48" t="s">
        <v>392</v>
      </c>
      <c r="Q48" t="s">
        <v>114</v>
      </c>
      <c r="R48" t="s">
        <v>393</v>
      </c>
      <c r="S48" t="s">
        <v>144</v>
      </c>
      <c r="T48" t="s">
        <v>394</v>
      </c>
      <c r="U48" t="s">
        <v>283</v>
      </c>
      <c r="V48" t="s">
        <v>189</v>
      </c>
      <c r="X48" t="s">
        <v>97</v>
      </c>
      <c r="Y48" t="s">
        <v>346</v>
      </c>
      <c r="AA48" t="s">
        <v>302</v>
      </c>
      <c r="AB48" s="62" t="s">
        <v>359</v>
      </c>
      <c r="AC48" s="62" t="s">
        <v>765</v>
      </c>
      <c r="AD48" s="62" t="s">
        <v>97</v>
      </c>
      <c r="AE48" s="62" t="s">
        <v>359</v>
      </c>
      <c r="AF48" s="62" t="s">
        <v>765</v>
      </c>
      <c r="AL48" t="s">
        <v>267</v>
      </c>
    </row>
    <row r="49" spans="2:38" ht="16" x14ac:dyDescent="0.2">
      <c r="B49">
        <v>20.806785000000001</v>
      </c>
      <c r="C49">
        <v>-101.341779</v>
      </c>
      <c r="D49" t="s">
        <v>133</v>
      </c>
      <c r="E49">
        <v>102</v>
      </c>
      <c r="F49" t="s">
        <v>87</v>
      </c>
      <c r="G49" t="s">
        <v>126</v>
      </c>
      <c r="H49" t="s">
        <v>137</v>
      </c>
      <c r="I49">
        <v>49.6</v>
      </c>
      <c r="J49">
        <v>49.6</v>
      </c>
      <c r="K49">
        <v>49.6</v>
      </c>
      <c r="L49" t="s">
        <v>388</v>
      </c>
      <c r="M49" t="s">
        <v>414</v>
      </c>
      <c r="N49">
        <v>0.08</v>
      </c>
      <c r="O49">
        <v>18000</v>
      </c>
      <c r="P49" t="s">
        <v>413</v>
      </c>
      <c r="Q49" t="s">
        <v>126</v>
      </c>
      <c r="R49" t="s">
        <v>143</v>
      </c>
      <c r="S49" t="s">
        <v>144</v>
      </c>
      <c r="T49" t="s">
        <v>395</v>
      </c>
      <c r="U49" t="s">
        <v>283</v>
      </c>
      <c r="V49" t="s">
        <v>189</v>
      </c>
      <c r="X49" t="s">
        <v>97</v>
      </c>
      <c r="Y49" t="s">
        <v>346</v>
      </c>
      <c r="AA49" t="s">
        <v>157</v>
      </c>
      <c r="AD49" s="62" t="s">
        <v>97</v>
      </c>
      <c r="AE49" s="62" t="s">
        <v>350</v>
      </c>
      <c r="AF49" s="62" t="s">
        <v>490</v>
      </c>
      <c r="AI49">
        <v>0</v>
      </c>
    </row>
    <row r="50" spans="2:38" ht="16" x14ac:dyDescent="0.2">
      <c r="B50">
        <v>20.804821</v>
      </c>
      <c r="C50">
        <v>-101.345344</v>
      </c>
      <c r="D50" t="s">
        <v>133</v>
      </c>
      <c r="E50">
        <v>98</v>
      </c>
      <c r="F50" t="s">
        <v>83</v>
      </c>
      <c r="G50" t="s">
        <v>126</v>
      </c>
      <c r="H50" t="s">
        <v>137</v>
      </c>
      <c r="I50">
        <v>50.4</v>
      </c>
      <c r="J50">
        <v>50.4</v>
      </c>
      <c r="K50">
        <v>50.4</v>
      </c>
      <c r="L50" t="s">
        <v>388</v>
      </c>
      <c r="M50" t="s">
        <v>406</v>
      </c>
      <c r="N50">
        <v>0.25</v>
      </c>
      <c r="O50">
        <v>4000</v>
      </c>
      <c r="P50" t="s">
        <v>407</v>
      </c>
      <c r="Q50" t="s">
        <v>126</v>
      </c>
      <c r="R50" t="s">
        <v>143</v>
      </c>
      <c r="S50" t="s">
        <v>144</v>
      </c>
      <c r="T50" t="s">
        <v>191</v>
      </c>
      <c r="U50" t="s">
        <v>283</v>
      </c>
      <c r="V50" t="s">
        <v>189</v>
      </c>
      <c r="X50" t="s">
        <v>97</v>
      </c>
      <c r="Y50" t="s">
        <v>346</v>
      </c>
      <c r="AA50" t="s">
        <v>157</v>
      </c>
      <c r="AD50" s="62" t="s">
        <v>97</v>
      </c>
      <c r="AE50" s="62" t="s">
        <v>408</v>
      </c>
      <c r="AF50" s="62" t="s">
        <v>490</v>
      </c>
      <c r="AL50" t="s">
        <v>409</v>
      </c>
    </row>
    <row r="51" spans="2:38" x14ac:dyDescent="0.2">
      <c r="B51">
        <v>20.056356000000001</v>
      </c>
      <c r="C51">
        <v>-100.515424</v>
      </c>
      <c r="D51" t="s">
        <v>129</v>
      </c>
      <c r="E51">
        <v>60</v>
      </c>
      <c r="F51" t="s">
        <v>48</v>
      </c>
      <c r="G51" t="s">
        <v>116</v>
      </c>
      <c r="H51" t="s">
        <v>110</v>
      </c>
      <c r="I51">
        <v>6</v>
      </c>
      <c r="J51">
        <v>3.7600000000000002</v>
      </c>
      <c r="K51">
        <v>1</v>
      </c>
      <c r="L51" t="s">
        <v>246</v>
      </c>
      <c r="M51" t="s">
        <v>256</v>
      </c>
      <c r="P51" t="s">
        <v>257</v>
      </c>
      <c r="Q51" t="s">
        <v>258</v>
      </c>
      <c r="R51" t="s">
        <v>153</v>
      </c>
      <c r="S51" t="s">
        <v>144</v>
      </c>
      <c r="T51" t="s">
        <v>191</v>
      </c>
      <c r="X51" t="s">
        <v>157</v>
      </c>
    </row>
    <row r="52" spans="2:38" ht="96" x14ac:dyDescent="0.2">
      <c r="B52">
        <v>19.789237</v>
      </c>
      <c r="C52">
        <v>-100.437485</v>
      </c>
      <c r="D52" t="s">
        <v>129</v>
      </c>
      <c r="E52">
        <v>76.099999999999994</v>
      </c>
      <c r="F52" t="s">
        <v>700</v>
      </c>
      <c r="G52" t="s">
        <v>131</v>
      </c>
      <c r="H52" t="s">
        <v>110</v>
      </c>
      <c r="I52">
        <v>6.4</v>
      </c>
      <c r="J52">
        <v>2.7600000000000002</v>
      </c>
      <c r="K52">
        <v>1</v>
      </c>
      <c r="L52" t="s">
        <v>329</v>
      </c>
      <c r="M52" t="s">
        <v>330</v>
      </c>
      <c r="N52">
        <v>35</v>
      </c>
      <c r="P52" t="s">
        <v>306</v>
      </c>
      <c r="Q52" t="s">
        <v>131</v>
      </c>
      <c r="R52" t="s">
        <v>331</v>
      </c>
      <c r="S52" t="s">
        <v>144</v>
      </c>
      <c r="U52" t="s">
        <v>272</v>
      </c>
      <c r="V52" t="s">
        <v>147</v>
      </c>
      <c r="W52" t="s">
        <v>148</v>
      </c>
      <c r="X52" t="s">
        <v>97</v>
      </c>
      <c r="Z52" t="s">
        <v>301</v>
      </c>
      <c r="AA52" t="s">
        <v>302</v>
      </c>
      <c r="AB52" s="62" t="s">
        <v>332</v>
      </c>
      <c r="AC52" s="62" t="s">
        <v>776</v>
      </c>
      <c r="AD52" s="62" t="s">
        <v>97</v>
      </c>
      <c r="AE52" s="62" t="s">
        <v>333</v>
      </c>
      <c r="AF52" s="62" t="s">
        <v>779</v>
      </c>
      <c r="AG52" t="s">
        <v>97</v>
      </c>
      <c r="AL52" t="s">
        <v>267</v>
      </c>
    </row>
    <row r="53" spans="2:38" ht="112" x14ac:dyDescent="0.2">
      <c r="B53">
        <v>20.054212</v>
      </c>
      <c r="C53">
        <v>-100.76432800000001</v>
      </c>
      <c r="D53" t="s">
        <v>129</v>
      </c>
      <c r="E53">
        <v>74.2</v>
      </c>
      <c r="F53" t="s">
        <v>699</v>
      </c>
      <c r="G53" t="s">
        <v>131</v>
      </c>
      <c r="H53" t="s">
        <v>110</v>
      </c>
      <c r="I53">
        <v>9.6</v>
      </c>
      <c r="J53">
        <v>7</v>
      </c>
      <c r="K53">
        <v>4.8</v>
      </c>
      <c r="L53" t="s">
        <v>322</v>
      </c>
      <c r="M53" t="s">
        <v>315</v>
      </c>
      <c r="O53">
        <v>120000</v>
      </c>
      <c r="P53" t="s">
        <v>316</v>
      </c>
      <c r="Q53" t="s">
        <v>131</v>
      </c>
      <c r="S53" t="s">
        <v>144</v>
      </c>
      <c r="U53" t="s">
        <v>317</v>
      </c>
      <c r="V53" t="s">
        <v>147</v>
      </c>
      <c r="W53" t="s">
        <v>148</v>
      </c>
      <c r="X53" t="s">
        <v>97</v>
      </c>
      <c r="Z53" t="s">
        <v>318</v>
      </c>
      <c r="AA53" t="s">
        <v>302</v>
      </c>
      <c r="AB53" s="62" t="s">
        <v>319</v>
      </c>
      <c r="AC53" s="62" t="s">
        <v>776</v>
      </c>
      <c r="AD53" s="62" t="s">
        <v>97</v>
      </c>
      <c r="AE53" s="62" t="s">
        <v>320</v>
      </c>
      <c r="AF53" s="62" t="s">
        <v>781</v>
      </c>
      <c r="AG53" t="s">
        <v>97</v>
      </c>
      <c r="AH53" t="s">
        <v>97</v>
      </c>
      <c r="AL53" t="s">
        <v>321</v>
      </c>
    </row>
    <row r="54" spans="2:38" x14ac:dyDescent="0.2">
      <c r="B54">
        <v>20.014372999999999</v>
      </c>
      <c r="C54">
        <v>-100.548134</v>
      </c>
      <c r="D54" t="s">
        <v>129</v>
      </c>
      <c r="E54">
        <v>63</v>
      </c>
      <c r="F54" t="s">
        <v>51</v>
      </c>
      <c r="G54" t="s">
        <v>118</v>
      </c>
      <c r="H54" t="s">
        <v>110</v>
      </c>
      <c r="I54">
        <v>11.2</v>
      </c>
      <c r="J54">
        <v>7.6400000000000006</v>
      </c>
      <c r="K54">
        <v>4.5</v>
      </c>
      <c r="L54" t="s">
        <v>246</v>
      </c>
      <c r="M54" t="s">
        <v>268</v>
      </c>
      <c r="Q54" t="s">
        <v>118</v>
      </c>
    </row>
    <row r="55" spans="2:38" ht="80" x14ac:dyDescent="0.2">
      <c r="B55">
        <v>19.806605999999999</v>
      </c>
      <c r="C55">
        <v>-100.441805</v>
      </c>
      <c r="D55" t="s">
        <v>129</v>
      </c>
      <c r="E55">
        <v>76.3</v>
      </c>
      <c r="F55" t="s">
        <v>702</v>
      </c>
      <c r="G55" t="s">
        <v>114</v>
      </c>
      <c r="H55" t="s">
        <v>110</v>
      </c>
      <c r="I55">
        <v>12.2</v>
      </c>
      <c r="J55">
        <v>8.4400000000000013</v>
      </c>
      <c r="K55">
        <v>5.4</v>
      </c>
      <c r="L55" t="s">
        <v>335</v>
      </c>
      <c r="M55" t="s">
        <v>330</v>
      </c>
      <c r="N55">
        <v>35</v>
      </c>
      <c r="P55" t="s">
        <v>306</v>
      </c>
      <c r="Q55" t="s">
        <v>114</v>
      </c>
      <c r="R55" t="s">
        <v>331</v>
      </c>
      <c r="S55" t="s">
        <v>144</v>
      </c>
      <c r="U55" t="s">
        <v>272</v>
      </c>
      <c r="V55" t="s">
        <v>147</v>
      </c>
      <c r="W55" t="s">
        <v>148</v>
      </c>
      <c r="X55" t="s">
        <v>97</v>
      </c>
      <c r="Z55" t="s">
        <v>301</v>
      </c>
      <c r="AA55" t="s">
        <v>302</v>
      </c>
      <c r="AB55" s="62" t="s">
        <v>332</v>
      </c>
      <c r="AC55" s="62" t="s">
        <v>776</v>
      </c>
      <c r="AD55" s="62" t="s">
        <v>97</v>
      </c>
      <c r="AE55" s="62" t="s">
        <v>333</v>
      </c>
      <c r="AF55" s="62" t="s">
        <v>783</v>
      </c>
      <c r="AG55" t="s">
        <v>97</v>
      </c>
      <c r="AL55" t="s">
        <v>267</v>
      </c>
    </row>
    <row r="56" spans="2:38" ht="96" x14ac:dyDescent="0.2">
      <c r="B56">
        <v>19.789237</v>
      </c>
      <c r="C56">
        <v>-100.437485</v>
      </c>
      <c r="D56" t="s">
        <v>129</v>
      </c>
      <c r="E56">
        <v>76.2</v>
      </c>
      <c r="F56" t="s">
        <v>701</v>
      </c>
      <c r="G56" t="s">
        <v>114</v>
      </c>
      <c r="H56" t="s">
        <v>110</v>
      </c>
      <c r="I56">
        <v>13.4</v>
      </c>
      <c r="J56">
        <v>6.16</v>
      </c>
      <c r="K56">
        <v>1.6</v>
      </c>
      <c r="L56" t="s">
        <v>334</v>
      </c>
      <c r="M56" t="s">
        <v>330</v>
      </c>
      <c r="N56">
        <v>35</v>
      </c>
      <c r="P56" t="s">
        <v>306</v>
      </c>
      <c r="Q56" t="s">
        <v>114</v>
      </c>
      <c r="R56" t="s">
        <v>331</v>
      </c>
      <c r="S56" t="s">
        <v>144</v>
      </c>
      <c r="U56" t="s">
        <v>272</v>
      </c>
      <c r="V56" t="s">
        <v>147</v>
      </c>
      <c r="W56" t="s">
        <v>148</v>
      </c>
      <c r="X56" t="s">
        <v>97</v>
      </c>
      <c r="Z56" t="s">
        <v>301</v>
      </c>
      <c r="AA56" t="s">
        <v>302</v>
      </c>
      <c r="AB56" s="62" t="s">
        <v>332</v>
      </c>
      <c r="AC56" s="62" t="s">
        <v>776</v>
      </c>
      <c r="AD56" s="62" t="s">
        <v>97</v>
      </c>
      <c r="AE56" s="62" t="s">
        <v>333</v>
      </c>
      <c r="AF56" s="62" t="s">
        <v>784</v>
      </c>
      <c r="AG56" t="s">
        <v>97</v>
      </c>
      <c r="AL56" t="s">
        <v>267</v>
      </c>
    </row>
    <row r="57" spans="2:38" x14ac:dyDescent="0.2">
      <c r="B57">
        <v>19.967600999999998</v>
      </c>
      <c r="C57">
        <v>-100.51347699999999</v>
      </c>
      <c r="D57" t="s">
        <v>129</v>
      </c>
      <c r="E57">
        <v>68</v>
      </c>
      <c r="F57" t="s">
        <v>56</v>
      </c>
      <c r="G57" t="s">
        <v>114</v>
      </c>
      <c r="H57" t="s">
        <v>110</v>
      </c>
      <c r="I57">
        <v>17</v>
      </c>
      <c r="J57">
        <v>9.0400000000000009</v>
      </c>
      <c r="K57">
        <v>2.6</v>
      </c>
      <c r="L57" t="s">
        <v>278</v>
      </c>
      <c r="M57" t="s">
        <v>285</v>
      </c>
      <c r="N57">
        <v>14</v>
      </c>
      <c r="O57">
        <v>60000</v>
      </c>
      <c r="P57" t="s">
        <v>271</v>
      </c>
      <c r="Q57" t="s">
        <v>114</v>
      </c>
      <c r="S57" t="s">
        <v>144</v>
      </c>
      <c r="T57" t="s">
        <v>266</v>
      </c>
      <c r="U57" t="s">
        <v>286</v>
      </c>
      <c r="V57" t="s">
        <v>147</v>
      </c>
      <c r="W57" t="s">
        <v>148</v>
      </c>
      <c r="X57" t="s">
        <v>97</v>
      </c>
      <c r="AG57" t="s">
        <v>97</v>
      </c>
      <c r="AH57" t="s">
        <v>97</v>
      </c>
    </row>
    <row r="58" spans="2:38" ht="48" x14ac:dyDescent="0.2">
      <c r="B58">
        <v>19.878226999999999</v>
      </c>
      <c r="C58">
        <v>-100.304166</v>
      </c>
      <c r="D58" t="s">
        <v>129</v>
      </c>
      <c r="E58">
        <v>75</v>
      </c>
      <c r="F58" t="s">
        <v>63</v>
      </c>
      <c r="G58" t="s">
        <v>134</v>
      </c>
      <c r="H58" t="s">
        <v>110</v>
      </c>
      <c r="I58">
        <v>17.399999999999999</v>
      </c>
      <c r="J58">
        <v>8.6799999999999979</v>
      </c>
      <c r="K58">
        <v>2.2000000000000002</v>
      </c>
      <c r="L58" t="s">
        <v>323</v>
      </c>
      <c r="M58" t="s">
        <v>324</v>
      </c>
      <c r="O58">
        <v>80000</v>
      </c>
      <c r="P58" t="s">
        <v>271</v>
      </c>
      <c r="Q58" t="s">
        <v>132</v>
      </c>
      <c r="R58" t="s">
        <v>325</v>
      </c>
      <c r="S58" t="s">
        <v>144</v>
      </c>
      <c r="T58" t="s">
        <v>326</v>
      </c>
      <c r="U58" t="s">
        <v>300</v>
      </c>
      <c r="V58" t="s">
        <v>147</v>
      </c>
      <c r="W58" t="s">
        <v>148</v>
      </c>
      <c r="X58" t="s">
        <v>97</v>
      </c>
      <c r="Z58" t="s">
        <v>301</v>
      </c>
      <c r="AA58" t="s">
        <v>302</v>
      </c>
      <c r="AB58" s="62" t="s">
        <v>327</v>
      </c>
      <c r="AC58" s="62" t="s">
        <v>785</v>
      </c>
      <c r="AD58" s="62" t="s">
        <v>97</v>
      </c>
      <c r="AE58" s="62" t="s">
        <v>328</v>
      </c>
      <c r="AF58" s="62" t="s">
        <v>778</v>
      </c>
      <c r="AG58" t="s">
        <v>97</v>
      </c>
      <c r="AL58" t="s">
        <v>291</v>
      </c>
    </row>
    <row r="59" spans="2:38" ht="32" x14ac:dyDescent="0.2">
      <c r="B59">
        <v>19.932216</v>
      </c>
      <c r="C59">
        <v>-100.48929699999999</v>
      </c>
      <c r="D59" t="s">
        <v>129</v>
      </c>
      <c r="E59">
        <v>66</v>
      </c>
      <c r="F59" t="s">
        <v>54</v>
      </c>
      <c r="G59" t="s">
        <v>114</v>
      </c>
      <c r="H59" t="s">
        <v>110</v>
      </c>
      <c r="I59">
        <v>19.8</v>
      </c>
      <c r="J59">
        <v>13.959999999999999</v>
      </c>
      <c r="K59">
        <v>10.199999999999999</v>
      </c>
      <c r="L59" t="s">
        <v>269</v>
      </c>
      <c r="M59" t="s">
        <v>277</v>
      </c>
      <c r="Q59" t="s">
        <v>114</v>
      </c>
      <c r="T59" t="s">
        <v>275</v>
      </c>
      <c r="AD59" s="62" t="s">
        <v>97</v>
      </c>
      <c r="AE59" s="62" t="s">
        <v>276</v>
      </c>
      <c r="AF59" s="62" t="s">
        <v>787</v>
      </c>
    </row>
    <row r="60" spans="2:38" ht="128" x14ac:dyDescent="0.2">
      <c r="B60">
        <v>20.033556000000001</v>
      </c>
      <c r="C60">
        <v>-100.52203900000001</v>
      </c>
      <c r="D60" t="s">
        <v>129</v>
      </c>
      <c r="E60">
        <v>58</v>
      </c>
      <c r="F60" t="s">
        <v>46</v>
      </c>
      <c r="G60" t="s">
        <v>111</v>
      </c>
      <c r="H60" t="s">
        <v>110</v>
      </c>
      <c r="I60">
        <v>21</v>
      </c>
      <c r="J60">
        <v>11.280000000000001</v>
      </c>
      <c r="K60">
        <v>6.6</v>
      </c>
      <c r="L60" t="s">
        <v>246</v>
      </c>
      <c r="M60" t="s">
        <v>248</v>
      </c>
      <c r="P60" t="s">
        <v>249</v>
      </c>
      <c r="Q60" t="s">
        <v>111</v>
      </c>
      <c r="R60" t="s">
        <v>250</v>
      </c>
      <c r="S60" t="s">
        <v>144</v>
      </c>
      <c r="T60" t="s">
        <v>251</v>
      </c>
      <c r="U60" t="s">
        <v>146</v>
      </c>
      <c r="X60" t="s">
        <v>97</v>
      </c>
      <c r="Z60" t="s">
        <v>252</v>
      </c>
      <c r="AD60" s="62" t="s">
        <v>97</v>
      </c>
      <c r="AE60" s="62" t="s">
        <v>253</v>
      </c>
      <c r="AF60" s="62" t="s">
        <v>788</v>
      </c>
      <c r="AG60" t="s">
        <v>97</v>
      </c>
      <c r="AH60" t="s">
        <v>157</v>
      </c>
    </row>
    <row r="61" spans="2:38" x14ac:dyDescent="0.2">
      <c r="B61">
        <v>20.036999999999999</v>
      </c>
      <c r="C61">
        <v>-100.52</v>
      </c>
      <c r="D61" t="s">
        <v>129</v>
      </c>
      <c r="E61">
        <v>59</v>
      </c>
      <c r="F61" t="s">
        <v>47</v>
      </c>
      <c r="G61" t="s">
        <v>114</v>
      </c>
      <c r="H61" t="s">
        <v>110</v>
      </c>
      <c r="I61">
        <v>24.8</v>
      </c>
      <c r="J61">
        <v>12.48</v>
      </c>
      <c r="K61">
        <v>5.8</v>
      </c>
      <c r="L61" t="s">
        <v>246</v>
      </c>
      <c r="M61" t="s">
        <v>254</v>
      </c>
      <c r="Q61" t="s">
        <v>255</v>
      </c>
      <c r="R61" t="s">
        <v>250</v>
      </c>
      <c r="S61" t="s">
        <v>144</v>
      </c>
      <c r="T61" t="s">
        <v>251</v>
      </c>
      <c r="Z61" t="s">
        <v>252</v>
      </c>
      <c r="AG61" t="s">
        <v>97</v>
      </c>
      <c r="AH61" t="s">
        <v>97</v>
      </c>
    </row>
    <row r="62" spans="2:38" ht="32" x14ac:dyDescent="0.2">
      <c r="B62">
        <v>19.908975999999999</v>
      </c>
      <c r="C62">
        <v>-100.390362</v>
      </c>
      <c r="D62" t="s">
        <v>129</v>
      </c>
      <c r="E62">
        <v>65</v>
      </c>
      <c r="F62" t="s">
        <v>53</v>
      </c>
      <c r="G62" t="s">
        <v>131</v>
      </c>
      <c r="H62" t="s">
        <v>110</v>
      </c>
      <c r="I62">
        <v>30.4</v>
      </c>
      <c r="J62">
        <v>20.559999999999995</v>
      </c>
      <c r="K62">
        <v>11.2</v>
      </c>
      <c r="L62" t="s">
        <v>269</v>
      </c>
      <c r="M62" t="s">
        <v>274</v>
      </c>
      <c r="Q62" t="s">
        <v>131</v>
      </c>
      <c r="T62" t="s">
        <v>275</v>
      </c>
      <c r="AD62" s="62" t="s">
        <v>97</v>
      </c>
      <c r="AE62" s="62" t="s">
        <v>276</v>
      </c>
      <c r="AF62" s="62" t="s">
        <v>787</v>
      </c>
    </row>
    <row r="63" spans="2:38" ht="32" x14ac:dyDescent="0.2">
      <c r="B63">
        <v>19.917223</v>
      </c>
      <c r="C63">
        <v>-100.44297</v>
      </c>
      <c r="D63" t="s">
        <v>129</v>
      </c>
      <c r="E63">
        <v>73</v>
      </c>
      <c r="F63" t="s">
        <v>62</v>
      </c>
      <c r="G63" t="s">
        <v>131</v>
      </c>
      <c r="H63" t="s">
        <v>110</v>
      </c>
      <c r="I63">
        <v>32</v>
      </c>
      <c r="J63">
        <v>16.12</v>
      </c>
      <c r="K63">
        <v>2</v>
      </c>
      <c r="L63" t="s">
        <v>278</v>
      </c>
      <c r="M63" t="s">
        <v>309</v>
      </c>
      <c r="N63">
        <v>1.25</v>
      </c>
      <c r="O63">
        <v>45000</v>
      </c>
      <c r="P63" t="s">
        <v>310</v>
      </c>
      <c r="Q63" t="s">
        <v>311</v>
      </c>
      <c r="R63" t="s">
        <v>143</v>
      </c>
      <c r="S63" t="s">
        <v>144</v>
      </c>
      <c r="T63" t="s">
        <v>289</v>
      </c>
      <c r="U63" t="s">
        <v>312</v>
      </c>
      <c r="V63" t="s">
        <v>147</v>
      </c>
      <c r="W63" t="s">
        <v>148</v>
      </c>
      <c r="X63" t="s">
        <v>97</v>
      </c>
      <c r="Z63" t="s">
        <v>155</v>
      </c>
      <c r="AD63" s="62" t="s">
        <v>226</v>
      </c>
      <c r="AE63" s="62" t="s">
        <v>313</v>
      </c>
      <c r="AF63" s="62" t="s">
        <v>775</v>
      </c>
      <c r="AG63" t="s">
        <v>97</v>
      </c>
      <c r="AI63">
        <v>0.4</v>
      </c>
      <c r="AK63">
        <v>0.6</v>
      </c>
      <c r="AL63" t="s">
        <v>267</v>
      </c>
    </row>
    <row r="64" spans="2:38" ht="128" x14ac:dyDescent="0.2">
      <c r="B64">
        <v>19.908975999999999</v>
      </c>
      <c r="C64">
        <v>-100.39036299999999</v>
      </c>
      <c r="D64" t="s">
        <v>129</v>
      </c>
      <c r="E64">
        <v>64</v>
      </c>
      <c r="F64" t="s">
        <v>52</v>
      </c>
      <c r="G64" t="s">
        <v>114</v>
      </c>
      <c r="H64" t="s">
        <v>110</v>
      </c>
      <c r="I64">
        <v>34.4</v>
      </c>
      <c r="J64">
        <v>21.72</v>
      </c>
      <c r="K64">
        <v>11.4</v>
      </c>
      <c r="L64" t="s">
        <v>269</v>
      </c>
      <c r="M64" t="s">
        <v>270</v>
      </c>
      <c r="O64">
        <v>150000</v>
      </c>
      <c r="P64" t="s">
        <v>271</v>
      </c>
      <c r="Q64" t="s">
        <v>114</v>
      </c>
      <c r="T64" t="s">
        <v>129</v>
      </c>
      <c r="U64" t="s">
        <v>272</v>
      </c>
      <c r="AD64" s="62" t="s">
        <v>97</v>
      </c>
      <c r="AE64" s="62" t="s">
        <v>273</v>
      </c>
      <c r="AF64" s="62" t="s">
        <v>789</v>
      </c>
      <c r="AG64" t="s">
        <v>97</v>
      </c>
    </row>
    <row r="65" spans="2:40" ht="96" x14ac:dyDescent="0.2">
      <c r="B65">
        <v>19.953457</v>
      </c>
      <c r="C65">
        <v>-100.43791899999999</v>
      </c>
      <c r="D65" t="s">
        <v>129</v>
      </c>
      <c r="E65">
        <v>70</v>
      </c>
      <c r="F65" t="s">
        <v>58</v>
      </c>
      <c r="G65" t="s">
        <v>114</v>
      </c>
      <c r="H65" t="s">
        <v>110</v>
      </c>
      <c r="I65">
        <v>37</v>
      </c>
      <c r="J65">
        <v>17.079999999999998</v>
      </c>
      <c r="K65">
        <v>3.2</v>
      </c>
      <c r="L65" t="s">
        <v>278</v>
      </c>
      <c r="M65" t="s">
        <v>292</v>
      </c>
      <c r="N65">
        <v>1</v>
      </c>
      <c r="O65">
        <v>100000</v>
      </c>
      <c r="P65" t="s">
        <v>293</v>
      </c>
      <c r="Q65" t="s">
        <v>294</v>
      </c>
      <c r="R65" t="s">
        <v>143</v>
      </c>
      <c r="S65" t="s">
        <v>144</v>
      </c>
      <c r="T65" t="s">
        <v>295</v>
      </c>
      <c r="U65" t="s">
        <v>283</v>
      </c>
      <c r="V65" t="s">
        <v>147</v>
      </c>
      <c r="W65" t="s">
        <v>148</v>
      </c>
      <c r="X65" t="s">
        <v>97</v>
      </c>
      <c r="Y65" t="s">
        <v>42</v>
      </c>
      <c r="Z65" t="s">
        <v>155</v>
      </c>
      <c r="AD65" s="62" t="s">
        <v>97</v>
      </c>
      <c r="AE65" s="62" t="s">
        <v>296</v>
      </c>
      <c r="AF65" s="62" t="s">
        <v>790</v>
      </c>
      <c r="AG65" t="s">
        <v>97</v>
      </c>
      <c r="AH65" t="s">
        <v>157</v>
      </c>
      <c r="AL65" t="s">
        <v>267</v>
      </c>
    </row>
    <row r="66" spans="2:40" x14ac:dyDescent="0.2">
      <c r="B66">
        <v>20.037233000000001</v>
      </c>
      <c r="C66">
        <v>-100.539064</v>
      </c>
      <c r="D66" t="s">
        <v>129</v>
      </c>
      <c r="E66">
        <v>62</v>
      </c>
      <c r="F66" t="s">
        <v>50</v>
      </c>
      <c r="G66" t="s">
        <v>126</v>
      </c>
      <c r="H66" t="s">
        <v>110</v>
      </c>
      <c r="I66">
        <v>38.6</v>
      </c>
      <c r="J66">
        <v>20.72</v>
      </c>
      <c r="K66">
        <v>12</v>
      </c>
      <c r="L66" t="s">
        <v>246</v>
      </c>
      <c r="M66" t="s">
        <v>264</v>
      </c>
      <c r="N66">
        <v>1.7</v>
      </c>
      <c r="P66" t="s">
        <v>265</v>
      </c>
      <c r="Q66" t="s">
        <v>126</v>
      </c>
      <c r="R66" t="s">
        <v>143</v>
      </c>
      <c r="S66" t="s">
        <v>144</v>
      </c>
      <c r="T66" t="s">
        <v>266</v>
      </c>
      <c r="X66" t="s">
        <v>157</v>
      </c>
      <c r="AG66" t="s">
        <v>97</v>
      </c>
      <c r="AH66" t="s">
        <v>97</v>
      </c>
      <c r="AL66" t="s">
        <v>267</v>
      </c>
    </row>
    <row r="67" spans="2:40" x14ac:dyDescent="0.2">
      <c r="B67">
        <v>20.002875</v>
      </c>
      <c r="C67">
        <v>-100.52784800000001</v>
      </c>
      <c r="D67" t="s">
        <v>129</v>
      </c>
      <c r="E67">
        <v>57</v>
      </c>
      <c r="F67" t="s">
        <v>45</v>
      </c>
      <c r="G67" t="s">
        <v>130</v>
      </c>
      <c r="H67" t="s">
        <v>110</v>
      </c>
      <c r="I67">
        <v>49.8</v>
      </c>
      <c r="J67">
        <v>28.72</v>
      </c>
      <c r="K67">
        <v>11.6</v>
      </c>
      <c r="L67" t="s">
        <v>246</v>
      </c>
      <c r="M67" t="s">
        <v>247</v>
      </c>
      <c r="P67" t="s">
        <v>208</v>
      </c>
      <c r="Q67" t="s">
        <v>130</v>
      </c>
    </row>
    <row r="68" spans="2:40" ht="176" x14ac:dyDescent="0.2">
      <c r="B68">
        <v>19.914746999999998</v>
      </c>
      <c r="C68">
        <v>-100.36165699999999</v>
      </c>
      <c r="D68" t="s">
        <v>129</v>
      </c>
      <c r="E68">
        <v>77</v>
      </c>
      <c r="F68" t="s">
        <v>65</v>
      </c>
      <c r="G68" t="s">
        <v>114</v>
      </c>
      <c r="H68" t="s">
        <v>110</v>
      </c>
      <c r="I68">
        <v>53.2</v>
      </c>
      <c r="J68">
        <v>47.92</v>
      </c>
      <c r="K68">
        <v>33.200000000000003</v>
      </c>
      <c r="L68" t="s">
        <v>314</v>
      </c>
      <c r="M68" t="s">
        <v>336</v>
      </c>
      <c r="O68">
        <v>28000</v>
      </c>
      <c r="P68" t="s">
        <v>337</v>
      </c>
      <c r="Q68" t="s">
        <v>307</v>
      </c>
      <c r="R68" t="s">
        <v>331</v>
      </c>
      <c r="S68" t="s">
        <v>144</v>
      </c>
      <c r="T68" t="s">
        <v>338</v>
      </c>
      <c r="U68" t="s">
        <v>339</v>
      </c>
      <c r="V68" t="s">
        <v>147</v>
      </c>
      <c r="W68" t="s">
        <v>148</v>
      </c>
      <c r="X68" t="s">
        <v>97</v>
      </c>
      <c r="Z68" t="s">
        <v>301</v>
      </c>
      <c r="AA68" t="s">
        <v>302</v>
      </c>
      <c r="AB68" s="62" t="s">
        <v>340</v>
      </c>
      <c r="AC68" s="62" t="s">
        <v>774</v>
      </c>
      <c r="AD68" s="62" t="s">
        <v>97</v>
      </c>
      <c r="AE68" s="62" t="s">
        <v>341</v>
      </c>
      <c r="AF68" s="62" t="s">
        <v>791</v>
      </c>
      <c r="AG68" t="s">
        <v>97</v>
      </c>
      <c r="AL68" t="s">
        <v>342</v>
      </c>
    </row>
    <row r="69" spans="2:40" ht="64" x14ac:dyDescent="0.2">
      <c r="B69">
        <v>19.968854</v>
      </c>
      <c r="C69">
        <v>-100.469402</v>
      </c>
      <c r="D69" t="s">
        <v>129</v>
      </c>
      <c r="E69">
        <v>71</v>
      </c>
      <c r="F69" t="s">
        <v>59</v>
      </c>
      <c r="G69" t="s">
        <v>114</v>
      </c>
      <c r="H69" t="s">
        <v>110</v>
      </c>
      <c r="I69">
        <v>53.8</v>
      </c>
      <c r="J69">
        <v>53.8</v>
      </c>
      <c r="K69">
        <v>53.8</v>
      </c>
      <c r="L69" t="s">
        <v>278</v>
      </c>
      <c r="M69" t="s">
        <v>297</v>
      </c>
      <c r="N69">
        <v>1</v>
      </c>
      <c r="O69">
        <v>50000</v>
      </c>
      <c r="P69" t="s">
        <v>298</v>
      </c>
      <c r="Q69" t="s">
        <v>114</v>
      </c>
      <c r="R69" t="s">
        <v>143</v>
      </c>
      <c r="S69" t="s">
        <v>144</v>
      </c>
      <c r="T69" t="s">
        <v>299</v>
      </c>
      <c r="U69" t="s">
        <v>300</v>
      </c>
      <c r="V69" t="s">
        <v>147</v>
      </c>
      <c r="W69" t="s">
        <v>148</v>
      </c>
      <c r="X69" t="s">
        <v>97</v>
      </c>
      <c r="Y69" t="s">
        <v>42</v>
      </c>
      <c r="Z69" t="s">
        <v>301</v>
      </c>
      <c r="AA69" t="s">
        <v>302</v>
      </c>
      <c r="AB69" s="62" t="s">
        <v>303</v>
      </c>
      <c r="AC69" s="62" t="s">
        <v>792</v>
      </c>
      <c r="AD69" s="62" t="s">
        <v>97</v>
      </c>
      <c r="AE69" s="62" t="s">
        <v>304</v>
      </c>
      <c r="AF69" s="62" t="s">
        <v>777</v>
      </c>
      <c r="AG69" t="s">
        <v>97</v>
      </c>
      <c r="AH69" t="s">
        <v>157</v>
      </c>
      <c r="AL69" t="s">
        <v>291</v>
      </c>
    </row>
    <row r="70" spans="2:40" ht="64" x14ac:dyDescent="0.2">
      <c r="B70">
        <v>19.962547000000001</v>
      </c>
      <c r="C70">
        <v>-100.471812</v>
      </c>
      <c r="D70" t="s">
        <v>129</v>
      </c>
      <c r="E70">
        <v>69</v>
      </c>
      <c r="F70" t="s">
        <v>57</v>
      </c>
      <c r="G70" t="s">
        <v>131</v>
      </c>
      <c r="H70" t="s">
        <v>110</v>
      </c>
      <c r="I70">
        <v>56.2</v>
      </c>
      <c r="J70">
        <v>37.68</v>
      </c>
      <c r="K70">
        <v>15.4</v>
      </c>
      <c r="L70" t="s">
        <v>278</v>
      </c>
      <c r="M70" t="s">
        <v>287</v>
      </c>
      <c r="N70">
        <v>3</v>
      </c>
      <c r="O70">
        <v>100000</v>
      </c>
      <c r="P70" t="s">
        <v>288</v>
      </c>
      <c r="Q70" t="s">
        <v>131</v>
      </c>
      <c r="R70" t="s">
        <v>143</v>
      </c>
      <c r="S70" t="s">
        <v>144</v>
      </c>
      <c r="T70" t="s">
        <v>289</v>
      </c>
      <c r="U70" t="s">
        <v>283</v>
      </c>
      <c r="V70" t="s">
        <v>147</v>
      </c>
      <c r="W70" t="s">
        <v>148</v>
      </c>
      <c r="X70" t="s">
        <v>97</v>
      </c>
      <c r="Y70" t="s">
        <v>42</v>
      </c>
      <c r="Z70" t="s">
        <v>235</v>
      </c>
      <c r="AA70" t="s">
        <v>157</v>
      </c>
      <c r="AD70" s="62" t="s">
        <v>97</v>
      </c>
      <c r="AE70" s="62" t="s">
        <v>290</v>
      </c>
      <c r="AF70" s="62" t="s">
        <v>793</v>
      </c>
      <c r="AG70" t="s">
        <v>97</v>
      </c>
      <c r="AH70" t="s">
        <v>97</v>
      </c>
      <c r="AL70" t="s">
        <v>291</v>
      </c>
    </row>
    <row r="71" spans="2:40" ht="32" x14ac:dyDescent="0.2">
      <c r="B71">
        <v>19.938984000000001</v>
      </c>
      <c r="C71">
        <v>-100.50803999999999</v>
      </c>
      <c r="D71" t="s">
        <v>129</v>
      </c>
      <c r="E71">
        <v>67</v>
      </c>
      <c r="F71" t="s">
        <v>55</v>
      </c>
      <c r="G71" t="s">
        <v>114</v>
      </c>
      <c r="H71" t="s">
        <v>110</v>
      </c>
      <c r="I71">
        <v>61.4</v>
      </c>
      <c r="J71">
        <v>53.08</v>
      </c>
      <c r="K71">
        <v>41.8</v>
      </c>
      <c r="L71" t="s">
        <v>278</v>
      </c>
      <c r="M71" t="s">
        <v>279</v>
      </c>
      <c r="N71">
        <v>3</v>
      </c>
      <c r="O71">
        <v>50000</v>
      </c>
      <c r="P71" t="s">
        <v>280</v>
      </c>
      <c r="Q71" t="s">
        <v>281</v>
      </c>
      <c r="R71" t="s">
        <v>153</v>
      </c>
      <c r="S71" t="s">
        <v>144</v>
      </c>
      <c r="T71" t="s">
        <v>282</v>
      </c>
      <c r="U71" t="s">
        <v>283</v>
      </c>
      <c r="V71" t="s">
        <v>147</v>
      </c>
      <c r="X71" t="s">
        <v>157</v>
      </c>
      <c r="AD71" s="62" t="s">
        <v>97</v>
      </c>
      <c r="AE71" s="62" t="s">
        <v>284</v>
      </c>
      <c r="AF71" s="62" t="s">
        <v>786</v>
      </c>
      <c r="AG71" t="s">
        <v>97</v>
      </c>
      <c r="AL71" t="s">
        <v>267</v>
      </c>
    </row>
    <row r="72" spans="2:40" ht="80" x14ac:dyDescent="0.2">
      <c r="B72">
        <v>19.933778199999999</v>
      </c>
      <c r="C72">
        <v>-100.458675</v>
      </c>
      <c r="D72" t="s">
        <v>129</v>
      </c>
      <c r="E72">
        <v>72</v>
      </c>
      <c r="F72" t="s">
        <v>60</v>
      </c>
      <c r="G72" t="s">
        <v>114</v>
      </c>
      <c r="H72" t="s">
        <v>110</v>
      </c>
      <c r="I72">
        <v>70.400000000000006</v>
      </c>
      <c r="J72">
        <v>58.160000000000004</v>
      </c>
      <c r="K72">
        <v>43.8</v>
      </c>
      <c r="L72" t="s">
        <v>278</v>
      </c>
      <c r="M72" t="s">
        <v>305</v>
      </c>
      <c r="N72">
        <v>1.4</v>
      </c>
      <c r="O72">
        <v>50000</v>
      </c>
      <c r="P72" t="s">
        <v>306</v>
      </c>
      <c r="Q72" t="s">
        <v>307</v>
      </c>
      <c r="R72" t="s">
        <v>143</v>
      </c>
      <c r="S72" t="s">
        <v>144</v>
      </c>
      <c r="U72" t="s">
        <v>283</v>
      </c>
      <c r="V72" t="s">
        <v>147</v>
      </c>
      <c r="W72" t="s">
        <v>148</v>
      </c>
      <c r="X72" t="s">
        <v>97</v>
      </c>
      <c r="Y72" t="s">
        <v>42</v>
      </c>
      <c r="Z72" t="s">
        <v>155</v>
      </c>
      <c r="AA72" t="s">
        <v>157</v>
      </c>
      <c r="AD72" s="62" t="s">
        <v>97</v>
      </c>
      <c r="AE72" s="62" t="s">
        <v>308</v>
      </c>
      <c r="AF72" s="62" t="s">
        <v>780</v>
      </c>
      <c r="AG72" t="s">
        <v>97</v>
      </c>
      <c r="AH72" t="s">
        <v>157</v>
      </c>
      <c r="AI72">
        <v>0.1</v>
      </c>
      <c r="AL72" t="s">
        <v>267</v>
      </c>
    </row>
    <row r="73" spans="2:40" ht="16" x14ac:dyDescent="0.2">
      <c r="B73">
        <v>20.054317999999999</v>
      </c>
      <c r="C73">
        <v>-100.547369</v>
      </c>
      <c r="D73" t="s">
        <v>129</v>
      </c>
      <c r="E73">
        <v>61</v>
      </c>
      <c r="F73" t="s">
        <v>49</v>
      </c>
      <c r="G73" t="s">
        <v>114</v>
      </c>
      <c r="H73" t="s">
        <v>110</v>
      </c>
      <c r="I73">
        <v>72</v>
      </c>
      <c r="J73">
        <v>45.08</v>
      </c>
      <c r="K73">
        <v>18.399999999999999</v>
      </c>
      <c r="L73" t="s">
        <v>246</v>
      </c>
      <c r="M73" t="s">
        <v>259</v>
      </c>
      <c r="N73">
        <v>0.5</v>
      </c>
      <c r="O73">
        <v>2000</v>
      </c>
      <c r="P73" t="s">
        <v>260</v>
      </c>
      <c r="Q73" t="s">
        <v>114</v>
      </c>
      <c r="R73" t="s">
        <v>143</v>
      </c>
      <c r="S73" t="s">
        <v>144</v>
      </c>
      <c r="X73" t="s">
        <v>97</v>
      </c>
      <c r="Y73" t="s">
        <v>261</v>
      </c>
      <c r="Z73" t="s">
        <v>155</v>
      </c>
      <c r="AA73" t="s">
        <v>97</v>
      </c>
      <c r="AB73" s="62" t="s">
        <v>262</v>
      </c>
      <c r="AC73" s="62" t="s">
        <v>774</v>
      </c>
      <c r="AD73" s="62" t="s">
        <v>97</v>
      </c>
      <c r="AE73" s="62" t="s">
        <v>263</v>
      </c>
    </row>
    <row r="74" spans="2:40" ht="144" x14ac:dyDescent="0.2">
      <c r="B74">
        <v>20.044974100000001</v>
      </c>
      <c r="C74">
        <v>-100.765252</v>
      </c>
      <c r="D74" t="s">
        <v>129</v>
      </c>
      <c r="E74">
        <v>74.099999999999994</v>
      </c>
      <c r="F74" t="s">
        <v>698</v>
      </c>
      <c r="G74" t="s">
        <v>114</v>
      </c>
      <c r="H74" t="s">
        <v>110</v>
      </c>
      <c r="I74">
        <v>99</v>
      </c>
      <c r="J74">
        <v>89.080000000000013</v>
      </c>
      <c r="K74">
        <v>65.599999999999994</v>
      </c>
      <c r="L74" t="s">
        <v>314</v>
      </c>
      <c r="M74" t="s">
        <v>315</v>
      </c>
      <c r="O74">
        <v>120000</v>
      </c>
      <c r="P74" t="s">
        <v>316</v>
      </c>
      <c r="Q74" t="s">
        <v>114</v>
      </c>
      <c r="S74" t="s">
        <v>144</v>
      </c>
      <c r="U74" t="s">
        <v>317</v>
      </c>
      <c r="V74" t="s">
        <v>147</v>
      </c>
      <c r="W74" t="s">
        <v>148</v>
      </c>
      <c r="X74" t="s">
        <v>97</v>
      </c>
      <c r="Z74" t="s">
        <v>318</v>
      </c>
      <c r="AA74" t="s">
        <v>302</v>
      </c>
      <c r="AB74" s="62" t="s">
        <v>319</v>
      </c>
      <c r="AC74" s="62" t="s">
        <v>776</v>
      </c>
      <c r="AD74" s="62" t="s">
        <v>97</v>
      </c>
      <c r="AE74" s="62" t="s">
        <v>320</v>
      </c>
      <c r="AF74" s="62" t="s">
        <v>782</v>
      </c>
      <c r="AG74" t="s">
        <v>97</v>
      </c>
      <c r="AH74" t="s">
        <v>97</v>
      </c>
      <c r="AL74" t="s">
        <v>321</v>
      </c>
    </row>
    <row r="75" spans="2:40" x14ac:dyDescent="0.2">
      <c r="B75">
        <v>19.892321500000001</v>
      </c>
      <c r="C75">
        <v>-102.18538119999999</v>
      </c>
      <c r="D75" t="s">
        <v>127</v>
      </c>
      <c r="E75">
        <v>4.3</v>
      </c>
      <c r="F75" t="s">
        <v>652</v>
      </c>
      <c r="G75" t="s">
        <v>122</v>
      </c>
      <c r="H75" t="s">
        <v>110</v>
      </c>
      <c r="I75">
        <v>0</v>
      </c>
      <c r="J75">
        <v>0</v>
      </c>
      <c r="K75">
        <v>0</v>
      </c>
      <c r="L75" t="s">
        <v>141</v>
      </c>
      <c r="Q75" t="s">
        <v>122</v>
      </c>
    </row>
    <row r="76" spans="2:40" ht="16" x14ac:dyDescent="0.2">
      <c r="B76">
        <v>19.894031999999999</v>
      </c>
      <c r="C76">
        <v>-102.19326700000001</v>
      </c>
      <c r="D76" t="s">
        <v>127</v>
      </c>
      <c r="E76">
        <v>5.0999999999999996</v>
      </c>
      <c r="F76" t="s">
        <v>655</v>
      </c>
      <c r="G76" t="s">
        <v>116</v>
      </c>
      <c r="H76" t="s">
        <v>110</v>
      </c>
      <c r="I76">
        <v>0</v>
      </c>
      <c r="J76">
        <v>0</v>
      </c>
      <c r="K76">
        <v>0</v>
      </c>
      <c r="L76" t="s">
        <v>141</v>
      </c>
      <c r="P76" t="s">
        <v>162</v>
      </c>
      <c r="Q76" t="s">
        <v>116</v>
      </c>
      <c r="R76" t="s">
        <v>153</v>
      </c>
      <c r="S76" t="s">
        <v>144</v>
      </c>
      <c r="U76" t="s">
        <v>146</v>
      </c>
      <c r="V76" t="s">
        <v>147</v>
      </c>
      <c r="W76" t="s">
        <v>148</v>
      </c>
      <c r="AA76" t="s">
        <v>97</v>
      </c>
      <c r="AB76" s="62" t="s">
        <v>163</v>
      </c>
      <c r="AC76" s="62" t="s">
        <v>794</v>
      </c>
      <c r="AG76" t="s">
        <v>157</v>
      </c>
      <c r="AH76" t="s">
        <v>157</v>
      </c>
      <c r="AI76">
        <v>0</v>
      </c>
      <c r="AM76" t="s">
        <v>151</v>
      </c>
      <c r="AN76">
        <v>3</v>
      </c>
    </row>
    <row r="77" spans="2:40" x14ac:dyDescent="0.2">
      <c r="B77">
        <v>19.892071999999999</v>
      </c>
      <c r="C77">
        <v>-102.18455</v>
      </c>
      <c r="D77" t="s">
        <v>127</v>
      </c>
      <c r="E77">
        <v>4.0999999999999996</v>
      </c>
      <c r="F77" t="s">
        <v>653</v>
      </c>
      <c r="G77" t="s">
        <v>116</v>
      </c>
      <c r="H77" t="s">
        <v>110</v>
      </c>
      <c r="I77">
        <v>1.4</v>
      </c>
      <c r="J77">
        <v>0.4</v>
      </c>
      <c r="K77">
        <v>0</v>
      </c>
      <c r="L77" t="s">
        <v>141</v>
      </c>
      <c r="Q77" t="s">
        <v>116</v>
      </c>
    </row>
    <row r="78" spans="2:40" ht="32" x14ac:dyDescent="0.2">
      <c r="B78">
        <v>19.851088000000001</v>
      </c>
      <c r="C78">
        <v>-102.200778</v>
      </c>
      <c r="D78" t="s">
        <v>127</v>
      </c>
      <c r="E78">
        <v>1.2</v>
      </c>
      <c r="F78" t="s">
        <v>649</v>
      </c>
      <c r="G78" t="s">
        <v>119</v>
      </c>
      <c r="H78" t="s">
        <v>110</v>
      </c>
      <c r="I78">
        <v>1.6</v>
      </c>
      <c r="J78">
        <v>0.64</v>
      </c>
      <c r="K78">
        <v>0</v>
      </c>
      <c r="L78" t="s">
        <v>141</v>
      </c>
      <c r="N78">
        <v>7</v>
      </c>
      <c r="O78">
        <v>60000</v>
      </c>
      <c r="P78" t="s">
        <v>142</v>
      </c>
      <c r="Q78" t="s">
        <v>119</v>
      </c>
      <c r="R78" t="s">
        <v>143</v>
      </c>
      <c r="S78" t="s">
        <v>144</v>
      </c>
      <c r="T78" t="s">
        <v>145</v>
      </c>
      <c r="U78" t="s">
        <v>722</v>
      </c>
      <c r="V78" t="s">
        <v>147</v>
      </c>
      <c r="W78" t="s">
        <v>148</v>
      </c>
      <c r="Z78" t="s">
        <v>149</v>
      </c>
      <c r="AA78" t="s">
        <v>97</v>
      </c>
      <c r="AB78" s="62" t="s">
        <v>150</v>
      </c>
      <c r="AC78" s="62" t="s">
        <v>795</v>
      </c>
      <c r="AG78" t="s">
        <v>97</v>
      </c>
      <c r="AH78" t="s">
        <v>97</v>
      </c>
      <c r="AI78">
        <v>5</v>
      </c>
      <c r="AJ78">
        <v>5</v>
      </c>
      <c r="AM78" t="s">
        <v>151</v>
      </c>
      <c r="AN78">
        <v>5</v>
      </c>
    </row>
    <row r="79" spans="2:40" x14ac:dyDescent="0.2">
      <c r="B79">
        <v>19.891897</v>
      </c>
      <c r="C79">
        <v>-102.183584</v>
      </c>
      <c r="D79" t="s">
        <v>127</v>
      </c>
      <c r="E79">
        <v>4.2</v>
      </c>
      <c r="F79" t="s">
        <v>654</v>
      </c>
      <c r="G79" t="s">
        <v>83</v>
      </c>
      <c r="H79" t="s">
        <v>110</v>
      </c>
      <c r="I79">
        <v>1.8</v>
      </c>
      <c r="J79">
        <v>0.6</v>
      </c>
      <c r="K79">
        <v>0</v>
      </c>
      <c r="L79" t="s">
        <v>141</v>
      </c>
      <c r="Q79" t="s">
        <v>83</v>
      </c>
    </row>
    <row r="80" spans="2:40" ht="32" x14ac:dyDescent="0.2">
      <c r="B80">
        <v>19.851603999999998</v>
      </c>
      <c r="C80">
        <v>-102.202381</v>
      </c>
      <c r="D80" t="s">
        <v>127</v>
      </c>
      <c r="E80">
        <v>1.4</v>
      </c>
      <c r="F80" t="s">
        <v>651</v>
      </c>
      <c r="G80" t="s">
        <v>128</v>
      </c>
      <c r="H80" t="s">
        <v>110</v>
      </c>
      <c r="I80">
        <v>2.4</v>
      </c>
      <c r="J80">
        <v>0.52</v>
      </c>
      <c r="K80">
        <v>0</v>
      </c>
      <c r="L80" t="s">
        <v>141</v>
      </c>
      <c r="N80">
        <v>7</v>
      </c>
      <c r="O80">
        <v>60000</v>
      </c>
      <c r="P80" t="s">
        <v>142</v>
      </c>
      <c r="Q80" t="s">
        <v>128</v>
      </c>
      <c r="R80" t="s">
        <v>143</v>
      </c>
      <c r="S80" t="s">
        <v>144</v>
      </c>
      <c r="T80" t="s">
        <v>145</v>
      </c>
      <c r="U80" t="s">
        <v>717</v>
      </c>
      <c r="V80" t="s">
        <v>147</v>
      </c>
      <c r="W80" t="s">
        <v>148</v>
      </c>
      <c r="Z80" t="s">
        <v>149</v>
      </c>
      <c r="AA80" t="s">
        <v>97</v>
      </c>
      <c r="AB80" s="62" t="s">
        <v>150</v>
      </c>
      <c r="AC80" s="62" t="s">
        <v>795</v>
      </c>
      <c r="AG80" t="s">
        <v>97</v>
      </c>
      <c r="AH80" t="s">
        <v>97</v>
      </c>
      <c r="AI80">
        <v>5</v>
      </c>
      <c r="AJ80">
        <v>5</v>
      </c>
      <c r="AM80" t="s">
        <v>151</v>
      </c>
      <c r="AN80">
        <v>5</v>
      </c>
    </row>
    <row r="81" spans="2:40" ht="16" x14ac:dyDescent="0.2">
      <c r="B81">
        <v>19.894107999999999</v>
      </c>
      <c r="C81">
        <v>-102.193709</v>
      </c>
      <c r="D81" t="s">
        <v>127</v>
      </c>
      <c r="E81">
        <v>5.2</v>
      </c>
      <c r="F81" t="s">
        <v>656</v>
      </c>
      <c r="G81" t="s">
        <v>111</v>
      </c>
      <c r="H81" t="s">
        <v>110</v>
      </c>
      <c r="I81">
        <v>6.2</v>
      </c>
      <c r="J81">
        <v>2.56</v>
      </c>
      <c r="K81">
        <v>0</v>
      </c>
      <c r="L81" t="s">
        <v>141</v>
      </c>
      <c r="P81" t="s">
        <v>162</v>
      </c>
      <c r="Q81" t="s">
        <v>111</v>
      </c>
      <c r="R81" t="s">
        <v>153</v>
      </c>
      <c r="S81" t="s">
        <v>144</v>
      </c>
      <c r="U81" t="s">
        <v>146</v>
      </c>
      <c r="V81" t="s">
        <v>147</v>
      </c>
      <c r="W81" t="s">
        <v>148</v>
      </c>
      <c r="AA81" t="s">
        <v>97</v>
      </c>
      <c r="AB81" s="62" t="s">
        <v>163</v>
      </c>
      <c r="AG81" t="s">
        <v>157</v>
      </c>
      <c r="AH81" t="s">
        <v>157</v>
      </c>
      <c r="AI81">
        <v>0</v>
      </c>
      <c r="AM81" t="s">
        <v>151</v>
      </c>
      <c r="AN81">
        <v>3</v>
      </c>
    </row>
    <row r="82" spans="2:40" ht="32" x14ac:dyDescent="0.2">
      <c r="B82">
        <v>19.851375300000001</v>
      </c>
      <c r="C82">
        <v>-102.2016856</v>
      </c>
      <c r="D82" t="s">
        <v>127</v>
      </c>
      <c r="E82">
        <v>1.1000000000000001</v>
      </c>
      <c r="F82" t="s">
        <v>648</v>
      </c>
      <c r="G82" t="s">
        <v>111</v>
      </c>
      <c r="H82" t="s">
        <v>110</v>
      </c>
      <c r="I82">
        <v>7</v>
      </c>
      <c r="J82">
        <v>4.08</v>
      </c>
      <c r="K82">
        <v>0.2</v>
      </c>
      <c r="L82" t="s">
        <v>141</v>
      </c>
      <c r="N82">
        <v>7</v>
      </c>
      <c r="O82">
        <v>60000</v>
      </c>
      <c r="P82" t="s">
        <v>142</v>
      </c>
      <c r="Q82" t="s">
        <v>111</v>
      </c>
      <c r="R82" t="s">
        <v>143</v>
      </c>
      <c r="S82" t="s">
        <v>144</v>
      </c>
      <c r="T82" t="s">
        <v>145</v>
      </c>
      <c r="U82" t="s">
        <v>146</v>
      </c>
      <c r="V82" t="s">
        <v>147</v>
      </c>
      <c r="W82" t="s">
        <v>148</v>
      </c>
      <c r="Z82" t="s">
        <v>149</v>
      </c>
      <c r="AA82" t="s">
        <v>97</v>
      </c>
      <c r="AB82" s="62" t="s">
        <v>150</v>
      </c>
      <c r="AC82" s="62" t="s">
        <v>795</v>
      </c>
      <c r="AG82" t="s">
        <v>97</v>
      </c>
      <c r="AH82" t="s">
        <v>97</v>
      </c>
      <c r="AI82">
        <v>5</v>
      </c>
      <c r="AJ82">
        <v>5</v>
      </c>
      <c r="AM82" t="s">
        <v>151</v>
      </c>
      <c r="AN82">
        <v>5</v>
      </c>
    </row>
    <row r="83" spans="2:40" ht="32" x14ac:dyDescent="0.2">
      <c r="B83">
        <v>19.851247999999998</v>
      </c>
      <c r="C83">
        <v>-102.201283</v>
      </c>
      <c r="D83" t="s">
        <v>127</v>
      </c>
      <c r="E83">
        <v>1.3</v>
      </c>
      <c r="F83" t="s">
        <v>650</v>
      </c>
      <c r="G83" t="s">
        <v>83</v>
      </c>
      <c r="H83" t="s">
        <v>110</v>
      </c>
      <c r="I83">
        <v>8.8000000000000007</v>
      </c>
      <c r="J83">
        <v>3.5999999999999992</v>
      </c>
      <c r="K83">
        <v>0</v>
      </c>
      <c r="L83" t="s">
        <v>141</v>
      </c>
      <c r="N83">
        <v>7</v>
      </c>
      <c r="O83">
        <v>60000</v>
      </c>
      <c r="P83" t="s">
        <v>142</v>
      </c>
      <c r="Q83" t="s">
        <v>83</v>
      </c>
      <c r="R83" t="s">
        <v>143</v>
      </c>
      <c r="S83" t="s">
        <v>144</v>
      </c>
      <c r="T83" t="s">
        <v>145</v>
      </c>
      <c r="U83" t="s">
        <v>716</v>
      </c>
      <c r="V83" t="s">
        <v>147</v>
      </c>
      <c r="W83" t="s">
        <v>148</v>
      </c>
      <c r="Z83" t="s">
        <v>149</v>
      </c>
      <c r="AA83" t="s">
        <v>97</v>
      </c>
      <c r="AB83" s="62" t="s">
        <v>150</v>
      </c>
      <c r="AC83" s="62" t="s">
        <v>795</v>
      </c>
      <c r="AG83" t="s">
        <v>97</v>
      </c>
      <c r="AH83" t="s">
        <v>97</v>
      </c>
      <c r="AI83">
        <v>5</v>
      </c>
      <c r="AJ83">
        <v>5</v>
      </c>
      <c r="AM83" t="s">
        <v>151</v>
      </c>
      <c r="AN83">
        <v>5</v>
      </c>
    </row>
    <row r="84" spans="2:40" ht="128" x14ac:dyDescent="0.2">
      <c r="B84">
        <v>19.872869600000001</v>
      </c>
      <c r="C84">
        <v>-102.16621809999999</v>
      </c>
      <c r="D84" t="s">
        <v>127</v>
      </c>
      <c r="E84">
        <v>3</v>
      </c>
      <c r="F84" t="s">
        <v>2</v>
      </c>
      <c r="G84" t="s">
        <v>116</v>
      </c>
      <c r="H84" t="s">
        <v>110</v>
      </c>
      <c r="I84">
        <v>8.8000000000000007</v>
      </c>
      <c r="J84">
        <v>3.8000000000000007</v>
      </c>
      <c r="K84">
        <v>1.2</v>
      </c>
      <c r="L84" t="s">
        <v>141</v>
      </c>
      <c r="N84">
        <v>3</v>
      </c>
      <c r="O84">
        <v>55000</v>
      </c>
      <c r="P84" t="s">
        <v>159</v>
      </c>
      <c r="Q84" t="s">
        <v>116</v>
      </c>
      <c r="R84" t="s">
        <v>153</v>
      </c>
      <c r="S84" t="s">
        <v>144</v>
      </c>
      <c r="T84" t="s">
        <v>154</v>
      </c>
      <c r="U84" t="s">
        <v>146</v>
      </c>
      <c r="V84" t="s">
        <v>147</v>
      </c>
      <c r="W84" t="s">
        <v>148</v>
      </c>
      <c r="Z84" t="s">
        <v>155</v>
      </c>
      <c r="AA84" t="s">
        <v>157</v>
      </c>
      <c r="AD84" s="62" t="s">
        <v>97</v>
      </c>
      <c r="AE84" s="62" t="s">
        <v>160</v>
      </c>
      <c r="AF84" s="62" t="s">
        <v>798</v>
      </c>
      <c r="AG84" t="s">
        <v>97</v>
      </c>
      <c r="AH84" t="s">
        <v>157</v>
      </c>
      <c r="AI84">
        <v>10</v>
      </c>
      <c r="AJ84" t="s">
        <v>161</v>
      </c>
      <c r="AK84">
        <v>0.5</v>
      </c>
      <c r="AM84" t="s">
        <v>151</v>
      </c>
      <c r="AN84">
        <v>3</v>
      </c>
    </row>
    <row r="85" spans="2:40" ht="16" x14ac:dyDescent="0.2">
      <c r="B85">
        <v>19.8816123</v>
      </c>
      <c r="C85">
        <v>-102.192995</v>
      </c>
      <c r="D85" t="s">
        <v>127</v>
      </c>
      <c r="E85">
        <v>2</v>
      </c>
      <c r="F85" t="s">
        <v>1</v>
      </c>
      <c r="G85" t="s">
        <v>116</v>
      </c>
      <c r="H85" t="s">
        <v>110</v>
      </c>
      <c r="I85">
        <v>10.8</v>
      </c>
      <c r="J85">
        <v>3.4799999999999995</v>
      </c>
      <c r="K85">
        <v>0.6</v>
      </c>
      <c r="L85" t="s">
        <v>141</v>
      </c>
      <c r="N85">
        <v>13</v>
      </c>
      <c r="O85">
        <v>55000</v>
      </c>
      <c r="P85" t="s">
        <v>152</v>
      </c>
      <c r="Q85" t="s">
        <v>116</v>
      </c>
      <c r="R85" t="s">
        <v>153</v>
      </c>
      <c r="S85" t="s">
        <v>144</v>
      </c>
      <c r="T85" t="s">
        <v>154</v>
      </c>
      <c r="U85" t="s">
        <v>146</v>
      </c>
      <c r="V85" t="s">
        <v>147</v>
      </c>
      <c r="W85" t="s">
        <v>148</v>
      </c>
      <c r="Z85" t="s">
        <v>155</v>
      </c>
      <c r="AA85" t="s">
        <v>97</v>
      </c>
      <c r="AB85" s="62" t="s">
        <v>156</v>
      </c>
      <c r="AC85" s="62" t="s">
        <v>796</v>
      </c>
      <c r="AG85" t="s">
        <v>97</v>
      </c>
      <c r="AH85" t="s">
        <v>157</v>
      </c>
      <c r="AI85" t="s">
        <v>157</v>
      </c>
      <c r="AK85" t="s">
        <v>158</v>
      </c>
      <c r="AM85" t="s">
        <v>151</v>
      </c>
      <c r="AN85">
        <v>4</v>
      </c>
    </row>
    <row r="86" spans="2:40" ht="64" x14ac:dyDescent="0.2">
      <c r="B86">
        <v>20.058271000000001</v>
      </c>
      <c r="C86">
        <v>-102.31041500000001</v>
      </c>
      <c r="D86" t="s">
        <v>108</v>
      </c>
      <c r="E86">
        <v>53</v>
      </c>
      <c r="F86" t="s">
        <v>41</v>
      </c>
      <c r="G86" t="s">
        <v>116</v>
      </c>
      <c r="H86" t="s">
        <v>110</v>
      </c>
      <c r="I86">
        <v>0</v>
      </c>
      <c r="J86">
        <v>0</v>
      </c>
      <c r="K86">
        <v>0</v>
      </c>
      <c r="L86" t="s">
        <v>212</v>
      </c>
      <c r="O86">
        <v>44000</v>
      </c>
      <c r="P86" t="s">
        <v>231</v>
      </c>
      <c r="Q86" t="s">
        <v>116</v>
      </c>
      <c r="R86" t="s">
        <v>153</v>
      </c>
      <c r="S86" t="s">
        <v>144</v>
      </c>
      <c r="T86" t="s">
        <v>154</v>
      </c>
      <c r="U86" t="s">
        <v>170</v>
      </c>
      <c r="V86" t="s">
        <v>147</v>
      </c>
      <c r="W86" t="s">
        <v>148</v>
      </c>
      <c r="AA86" t="s">
        <v>157</v>
      </c>
      <c r="AD86" s="62" t="s">
        <v>97</v>
      </c>
      <c r="AE86" s="62" t="s">
        <v>232</v>
      </c>
      <c r="AF86" s="62" t="s">
        <v>799</v>
      </c>
      <c r="AI86">
        <v>0</v>
      </c>
      <c r="AJ86" t="s">
        <v>233</v>
      </c>
      <c r="AM86" t="s">
        <v>151</v>
      </c>
      <c r="AN86">
        <v>2</v>
      </c>
    </row>
    <row r="87" spans="2:40" ht="32" x14ac:dyDescent="0.2">
      <c r="B87">
        <v>19.957212999999999</v>
      </c>
      <c r="C87">
        <v>-102.276111</v>
      </c>
      <c r="D87" t="s">
        <v>108</v>
      </c>
      <c r="E87">
        <v>15.2</v>
      </c>
      <c r="F87" t="s">
        <v>664</v>
      </c>
      <c r="G87" t="s">
        <v>116</v>
      </c>
      <c r="H87" t="s">
        <v>110</v>
      </c>
      <c r="I87">
        <v>0.6</v>
      </c>
      <c r="J87">
        <v>0.52</v>
      </c>
      <c r="K87">
        <v>0.4</v>
      </c>
      <c r="L87" t="s">
        <v>164</v>
      </c>
      <c r="N87">
        <v>4</v>
      </c>
      <c r="P87" t="s">
        <v>152</v>
      </c>
      <c r="Q87" t="s">
        <v>116</v>
      </c>
      <c r="R87" t="s">
        <v>143</v>
      </c>
      <c r="S87" t="s">
        <v>144</v>
      </c>
      <c r="V87" t="s">
        <v>147</v>
      </c>
      <c r="W87" t="s">
        <v>148</v>
      </c>
      <c r="Z87" t="s">
        <v>173</v>
      </c>
      <c r="AA87" t="s">
        <v>97</v>
      </c>
      <c r="AB87" s="62" t="s">
        <v>174</v>
      </c>
      <c r="AC87" s="62" t="s">
        <v>797</v>
      </c>
      <c r="AG87" t="s">
        <v>97</v>
      </c>
      <c r="AH87" t="s">
        <v>97</v>
      </c>
      <c r="AI87">
        <v>50</v>
      </c>
    </row>
    <row r="88" spans="2:40" x14ac:dyDescent="0.2">
      <c r="B88">
        <v>19.962468999999999</v>
      </c>
      <c r="C88">
        <v>-102.289018</v>
      </c>
      <c r="D88" t="s">
        <v>108</v>
      </c>
      <c r="E88">
        <v>6</v>
      </c>
      <c r="F88" t="s">
        <v>5</v>
      </c>
      <c r="G88" t="s">
        <v>109</v>
      </c>
      <c r="H88" t="s">
        <v>110</v>
      </c>
      <c r="I88">
        <v>1</v>
      </c>
      <c r="J88">
        <v>0.44000000000000006</v>
      </c>
      <c r="K88">
        <v>0</v>
      </c>
      <c r="L88" t="s">
        <v>164</v>
      </c>
      <c r="P88" t="s">
        <v>165</v>
      </c>
      <c r="Q88" t="s">
        <v>109</v>
      </c>
      <c r="R88" t="s">
        <v>153</v>
      </c>
      <c r="S88" t="s">
        <v>144</v>
      </c>
      <c r="T88" t="s">
        <v>166</v>
      </c>
      <c r="U88" t="s">
        <v>167</v>
      </c>
      <c r="V88" t="s">
        <v>147</v>
      </c>
      <c r="W88" t="s">
        <v>148</v>
      </c>
      <c r="AG88" t="s">
        <v>97</v>
      </c>
      <c r="AH88" t="s">
        <v>157</v>
      </c>
    </row>
    <row r="89" spans="2:40" x14ac:dyDescent="0.2">
      <c r="B89">
        <v>19.963888000000001</v>
      </c>
      <c r="C89">
        <v>-102.28857600000001</v>
      </c>
      <c r="D89" t="s">
        <v>108</v>
      </c>
      <c r="E89">
        <v>8.1999999999999993</v>
      </c>
      <c r="F89" t="s">
        <v>660</v>
      </c>
      <c r="G89" t="s">
        <v>112</v>
      </c>
      <c r="H89" t="s">
        <v>110</v>
      </c>
      <c r="I89">
        <v>1.6</v>
      </c>
      <c r="J89">
        <v>1.0400000000000003</v>
      </c>
      <c r="K89">
        <v>0</v>
      </c>
      <c r="L89" t="s">
        <v>164</v>
      </c>
      <c r="Q89" t="s">
        <v>112</v>
      </c>
      <c r="AG89" t="s">
        <v>97</v>
      </c>
    </row>
    <row r="90" spans="2:40" x14ac:dyDescent="0.2">
      <c r="B90">
        <v>19.960851000000002</v>
      </c>
      <c r="C90">
        <v>-102.28822099999999</v>
      </c>
      <c r="D90" t="s">
        <v>108</v>
      </c>
      <c r="E90">
        <v>13</v>
      </c>
      <c r="F90" t="s">
        <v>12</v>
      </c>
      <c r="G90" t="s">
        <v>114</v>
      </c>
      <c r="H90" t="s">
        <v>110</v>
      </c>
      <c r="I90">
        <v>2</v>
      </c>
      <c r="J90">
        <v>0.96000000000000019</v>
      </c>
      <c r="K90">
        <v>0.2</v>
      </c>
      <c r="L90" t="s">
        <v>164</v>
      </c>
      <c r="Q90" t="s">
        <v>114</v>
      </c>
      <c r="AG90" t="s">
        <v>97</v>
      </c>
      <c r="AH90" t="s">
        <v>157</v>
      </c>
      <c r="AI90">
        <v>15</v>
      </c>
    </row>
    <row r="91" spans="2:40" x14ac:dyDescent="0.2">
      <c r="B91">
        <v>19.948054200000001</v>
      </c>
      <c r="C91">
        <v>-102.2752496</v>
      </c>
      <c r="D91" t="s">
        <v>108</v>
      </c>
      <c r="E91">
        <v>17</v>
      </c>
      <c r="F91" t="s">
        <v>16</v>
      </c>
      <c r="G91" t="s">
        <v>118</v>
      </c>
      <c r="H91" t="s">
        <v>110</v>
      </c>
      <c r="I91">
        <v>2.2000000000000002</v>
      </c>
      <c r="J91">
        <v>1.64</v>
      </c>
      <c r="K91">
        <v>1</v>
      </c>
      <c r="L91" t="s">
        <v>164</v>
      </c>
      <c r="Q91" t="s">
        <v>118</v>
      </c>
    </row>
    <row r="92" spans="2:40" ht="80" x14ac:dyDescent="0.2">
      <c r="B92">
        <v>19.974881</v>
      </c>
      <c r="C92">
        <v>-102.34103899999999</v>
      </c>
      <c r="D92" t="s">
        <v>108</v>
      </c>
      <c r="E92">
        <v>21.1</v>
      </c>
      <c r="F92" t="s">
        <v>670</v>
      </c>
      <c r="G92" t="s">
        <v>121</v>
      </c>
      <c r="H92" t="s">
        <v>110</v>
      </c>
      <c r="I92">
        <v>2.6</v>
      </c>
      <c r="J92">
        <v>1.8799999999999997</v>
      </c>
      <c r="K92">
        <v>0.4</v>
      </c>
      <c r="L92" t="s">
        <v>180</v>
      </c>
      <c r="N92">
        <v>8</v>
      </c>
      <c r="O92">
        <v>55000</v>
      </c>
      <c r="P92" t="s">
        <v>181</v>
      </c>
      <c r="Q92" t="s">
        <v>121</v>
      </c>
      <c r="R92" t="s">
        <v>143</v>
      </c>
      <c r="S92" t="s">
        <v>144</v>
      </c>
      <c r="U92" t="s">
        <v>146</v>
      </c>
      <c r="V92" t="s">
        <v>147</v>
      </c>
      <c r="W92" t="s">
        <v>148</v>
      </c>
      <c r="AD92" s="62" t="s">
        <v>97</v>
      </c>
      <c r="AE92" s="62" t="s">
        <v>182</v>
      </c>
      <c r="AF92" s="62" t="s">
        <v>800</v>
      </c>
      <c r="AG92" t="s">
        <v>97</v>
      </c>
      <c r="AH92" t="s">
        <v>97</v>
      </c>
      <c r="AI92">
        <v>5</v>
      </c>
    </row>
    <row r="93" spans="2:40" x14ac:dyDescent="0.2">
      <c r="B93">
        <v>19.964310900000001</v>
      </c>
      <c r="C93">
        <v>-102.2894348</v>
      </c>
      <c r="D93" t="s">
        <v>108</v>
      </c>
      <c r="E93">
        <v>7</v>
      </c>
      <c r="F93" t="s">
        <v>6</v>
      </c>
      <c r="G93" t="s">
        <v>111</v>
      </c>
      <c r="H93" t="s">
        <v>110</v>
      </c>
      <c r="I93">
        <v>2.8</v>
      </c>
      <c r="J93">
        <v>1.52</v>
      </c>
      <c r="K93">
        <v>0.4</v>
      </c>
      <c r="L93" t="s">
        <v>164</v>
      </c>
      <c r="Q93" t="s">
        <v>111</v>
      </c>
    </row>
    <row r="94" spans="2:40" x14ac:dyDescent="0.2">
      <c r="B94">
        <v>19.957747000000001</v>
      </c>
      <c r="C94">
        <v>-102.27838300000001</v>
      </c>
      <c r="D94" t="s">
        <v>108</v>
      </c>
      <c r="E94">
        <v>14.1</v>
      </c>
      <c r="F94" t="s">
        <v>661</v>
      </c>
      <c r="G94" t="s">
        <v>111</v>
      </c>
      <c r="H94" t="s">
        <v>110</v>
      </c>
      <c r="I94">
        <v>3.2</v>
      </c>
      <c r="J94">
        <v>2.6</v>
      </c>
      <c r="K94">
        <v>1</v>
      </c>
      <c r="L94" t="s">
        <v>164</v>
      </c>
      <c r="Q94" t="s">
        <v>111</v>
      </c>
      <c r="AG94" t="s">
        <v>97</v>
      </c>
      <c r="AI94">
        <v>15</v>
      </c>
    </row>
    <row r="95" spans="2:40" ht="112" x14ac:dyDescent="0.2">
      <c r="B95">
        <v>19.9613014</v>
      </c>
      <c r="C95">
        <v>-102.28248779</v>
      </c>
      <c r="D95" t="s">
        <v>108</v>
      </c>
      <c r="E95">
        <v>11</v>
      </c>
      <c r="F95" t="s">
        <v>492</v>
      </c>
      <c r="G95" t="s">
        <v>111</v>
      </c>
      <c r="H95" t="s">
        <v>110</v>
      </c>
      <c r="I95">
        <v>3.4</v>
      </c>
      <c r="J95">
        <v>2.44</v>
      </c>
      <c r="K95">
        <v>0.6</v>
      </c>
      <c r="L95" t="s">
        <v>164</v>
      </c>
      <c r="N95">
        <v>4</v>
      </c>
      <c r="O95">
        <v>50000</v>
      </c>
      <c r="P95" t="s">
        <v>168</v>
      </c>
      <c r="Q95" t="s">
        <v>111</v>
      </c>
      <c r="R95" t="s">
        <v>143</v>
      </c>
      <c r="S95" t="s">
        <v>144</v>
      </c>
      <c r="T95" t="s">
        <v>169</v>
      </c>
      <c r="U95" t="s">
        <v>170</v>
      </c>
      <c r="V95" t="s">
        <v>147</v>
      </c>
      <c r="W95" t="s">
        <v>148</v>
      </c>
      <c r="AA95" t="s">
        <v>97</v>
      </c>
      <c r="AB95" s="62" t="s">
        <v>171</v>
      </c>
      <c r="AC95" s="62" t="s">
        <v>801</v>
      </c>
      <c r="AD95" s="62" t="s">
        <v>97</v>
      </c>
      <c r="AE95" s="62" t="s">
        <v>172</v>
      </c>
      <c r="AF95" s="62" t="s">
        <v>802</v>
      </c>
      <c r="AG95" t="s">
        <v>97</v>
      </c>
      <c r="AH95" t="s">
        <v>97</v>
      </c>
      <c r="AI95">
        <v>0</v>
      </c>
      <c r="AK95" t="s">
        <v>158</v>
      </c>
    </row>
    <row r="96" spans="2:40" ht="16" x14ac:dyDescent="0.2">
      <c r="B96">
        <v>20.020793000000001</v>
      </c>
      <c r="C96">
        <v>-102.25533299999999</v>
      </c>
      <c r="D96" t="s">
        <v>108</v>
      </c>
      <c r="E96">
        <v>36.1</v>
      </c>
      <c r="F96" t="s">
        <v>676</v>
      </c>
      <c r="G96" t="s">
        <v>83</v>
      </c>
      <c r="H96" t="s">
        <v>110</v>
      </c>
      <c r="I96">
        <v>3.6</v>
      </c>
      <c r="J96">
        <v>2.3600000000000003</v>
      </c>
      <c r="K96">
        <v>1</v>
      </c>
      <c r="L96" t="s">
        <v>192</v>
      </c>
      <c r="N96">
        <v>4</v>
      </c>
      <c r="O96">
        <v>60000</v>
      </c>
      <c r="P96" t="s">
        <v>195</v>
      </c>
      <c r="Q96" t="s">
        <v>83</v>
      </c>
      <c r="R96" t="s">
        <v>143</v>
      </c>
      <c r="S96" t="s">
        <v>144</v>
      </c>
      <c r="T96" t="s">
        <v>176</v>
      </c>
      <c r="U96" t="s">
        <v>196</v>
      </c>
      <c r="V96" t="s">
        <v>147</v>
      </c>
      <c r="W96" t="s">
        <v>148</v>
      </c>
      <c r="Z96" t="s">
        <v>193</v>
      </c>
      <c r="AA96" t="s">
        <v>97</v>
      </c>
      <c r="AB96" s="62" t="s">
        <v>197</v>
      </c>
      <c r="AI96">
        <v>5</v>
      </c>
      <c r="AK96">
        <v>0.4</v>
      </c>
    </row>
    <row r="97" spans="2:40" ht="32" x14ac:dyDescent="0.2">
      <c r="B97">
        <v>19.956486999999999</v>
      </c>
      <c r="C97">
        <v>-102.276422</v>
      </c>
      <c r="D97" t="s">
        <v>108</v>
      </c>
      <c r="E97">
        <v>15.1</v>
      </c>
      <c r="F97" t="s">
        <v>663</v>
      </c>
      <c r="G97" t="s">
        <v>114</v>
      </c>
      <c r="H97" t="s">
        <v>110</v>
      </c>
      <c r="I97">
        <v>4</v>
      </c>
      <c r="J97">
        <v>2.96</v>
      </c>
      <c r="K97">
        <v>2</v>
      </c>
      <c r="L97" t="s">
        <v>164</v>
      </c>
      <c r="N97">
        <v>4</v>
      </c>
      <c r="P97" t="s">
        <v>152</v>
      </c>
      <c r="Q97" t="s">
        <v>114</v>
      </c>
      <c r="R97" t="s">
        <v>143</v>
      </c>
      <c r="S97" t="s">
        <v>144</v>
      </c>
      <c r="V97" t="s">
        <v>147</v>
      </c>
      <c r="W97" t="s">
        <v>148</v>
      </c>
      <c r="Z97" t="s">
        <v>173</v>
      </c>
      <c r="AA97" t="s">
        <v>97</v>
      </c>
      <c r="AB97" s="62" t="s">
        <v>174</v>
      </c>
      <c r="AC97" s="62" t="s">
        <v>797</v>
      </c>
      <c r="AG97" t="s">
        <v>97</v>
      </c>
      <c r="AH97" t="s">
        <v>97</v>
      </c>
      <c r="AI97">
        <v>50</v>
      </c>
    </row>
    <row r="98" spans="2:40" x14ac:dyDescent="0.2">
      <c r="B98">
        <v>19.958271</v>
      </c>
      <c r="C98">
        <v>-102.27769600000001</v>
      </c>
      <c r="D98" t="s">
        <v>108</v>
      </c>
      <c r="E98">
        <v>14.2</v>
      </c>
      <c r="F98" t="s">
        <v>662</v>
      </c>
      <c r="G98" t="s">
        <v>115</v>
      </c>
      <c r="H98" t="s">
        <v>110</v>
      </c>
      <c r="I98">
        <v>5</v>
      </c>
      <c r="J98">
        <v>4.4400000000000004</v>
      </c>
      <c r="K98">
        <v>2.2000000000000002</v>
      </c>
      <c r="L98" t="s">
        <v>164</v>
      </c>
      <c r="Q98" t="s">
        <v>115</v>
      </c>
      <c r="AG98" t="s">
        <v>97</v>
      </c>
      <c r="AI98">
        <v>15</v>
      </c>
    </row>
    <row r="99" spans="2:40" ht="16" x14ac:dyDescent="0.2">
      <c r="B99">
        <v>19.948892000000001</v>
      </c>
      <c r="C99">
        <v>-102.276833</v>
      </c>
      <c r="D99" t="s">
        <v>108</v>
      </c>
      <c r="E99">
        <v>16.100000000000001</v>
      </c>
      <c r="F99" t="s">
        <v>665</v>
      </c>
      <c r="G99" t="s">
        <v>83</v>
      </c>
      <c r="H99" t="s">
        <v>110</v>
      </c>
      <c r="I99">
        <v>5</v>
      </c>
      <c r="J99">
        <v>2.4799999999999995</v>
      </c>
      <c r="K99">
        <v>0.4</v>
      </c>
      <c r="L99" t="s">
        <v>164</v>
      </c>
      <c r="P99" t="s">
        <v>152</v>
      </c>
      <c r="Q99" t="s">
        <v>723</v>
      </c>
      <c r="R99" t="s">
        <v>175</v>
      </c>
      <c r="T99" t="s">
        <v>176</v>
      </c>
      <c r="U99" t="s">
        <v>170</v>
      </c>
      <c r="V99" t="s">
        <v>147</v>
      </c>
      <c r="W99" t="s">
        <v>148</v>
      </c>
      <c r="Z99" t="s">
        <v>177</v>
      </c>
      <c r="AA99" t="s">
        <v>97</v>
      </c>
      <c r="AB99" s="62" t="s">
        <v>178</v>
      </c>
      <c r="AC99" s="62" t="s">
        <v>772</v>
      </c>
      <c r="AD99" s="62" t="s">
        <v>97</v>
      </c>
      <c r="AE99" s="62" t="s">
        <v>179</v>
      </c>
      <c r="AF99" s="62" t="s">
        <v>766</v>
      </c>
      <c r="AG99" t="s">
        <v>97</v>
      </c>
      <c r="AH99" t="s">
        <v>97</v>
      </c>
      <c r="AI99">
        <v>2</v>
      </c>
    </row>
    <row r="100" spans="2:40" ht="16" x14ac:dyDescent="0.2">
      <c r="B100">
        <v>19.948166000000001</v>
      </c>
      <c r="C100">
        <v>-102.275535</v>
      </c>
      <c r="D100" t="s">
        <v>108</v>
      </c>
      <c r="E100">
        <v>16.2</v>
      </c>
      <c r="F100" t="s">
        <v>666</v>
      </c>
      <c r="G100" t="s">
        <v>116</v>
      </c>
      <c r="H100" t="s">
        <v>110</v>
      </c>
      <c r="I100">
        <v>5.4</v>
      </c>
      <c r="J100">
        <v>2.88</v>
      </c>
      <c r="K100">
        <v>0.8</v>
      </c>
      <c r="L100" t="s">
        <v>164</v>
      </c>
      <c r="P100" t="s">
        <v>152</v>
      </c>
      <c r="Q100" t="s">
        <v>116</v>
      </c>
      <c r="R100" t="s">
        <v>175</v>
      </c>
      <c r="T100" t="s">
        <v>176</v>
      </c>
      <c r="U100" t="s">
        <v>170</v>
      </c>
      <c r="V100" t="s">
        <v>147</v>
      </c>
      <c r="W100" t="s">
        <v>148</v>
      </c>
      <c r="Z100" t="s">
        <v>177</v>
      </c>
      <c r="AA100" t="s">
        <v>97</v>
      </c>
      <c r="AB100" s="62" t="s">
        <v>178</v>
      </c>
      <c r="AC100" s="62" t="s">
        <v>772</v>
      </c>
      <c r="AD100" s="62" t="s">
        <v>97</v>
      </c>
      <c r="AE100" s="62" t="s">
        <v>179</v>
      </c>
      <c r="AF100" s="62" t="s">
        <v>766</v>
      </c>
      <c r="AG100" t="s">
        <v>97</v>
      </c>
      <c r="AH100" t="s">
        <v>97</v>
      </c>
      <c r="AI100">
        <v>2</v>
      </c>
    </row>
    <row r="101" spans="2:40" x14ac:dyDescent="0.2">
      <c r="B101">
        <v>19.963667999999998</v>
      </c>
      <c r="C101">
        <v>-102.289811</v>
      </c>
      <c r="D101" t="s">
        <v>108</v>
      </c>
      <c r="E101">
        <v>10</v>
      </c>
      <c r="F101" t="s">
        <v>9</v>
      </c>
      <c r="G101" t="s">
        <v>109</v>
      </c>
      <c r="H101" t="s">
        <v>110</v>
      </c>
      <c r="I101">
        <v>6</v>
      </c>
      <c r="J101">
        <v>4.9599999999999991</v>
      </c>
      <c r="K101">
        <v>3.8</v>
      </c>
      <c r="L101" t="s">
        <v>164</v>
      </c>
      <c r="Q101" t="s">
        <v>109</v>
      </c>
    </row>
    <row r="102" spans="2:40" ht="32" x14ac:dyDescent="0.2">
      <c r="B102">
        <v>20.0550526</v>
      </c>
      <c r="C102">
        <v>-102.29137299999999</v>
      </c>
      <c r="D102" t="s">
        <v>108</v>
      </c>
      <c r="E102">
        <v>49</v>
      </c>
      <c r="F102" t="s">
        <v>693</v>
      </c>
      <c r="G102" t="s">
        <v>114</v>
      </c>
      <c r="H102" t="s">
        <v>110</v>
      </c>
      <c r="I102">
        <v>6</v>
      </c>
      <c r="J102">
        <v>5.52</v>
      </c>
      <c r="K102">
        <v>5</v>
      </c>
      <c r="L102" t="s">
        <v>212</v>
      </c>
      <c r="N102">
        <v>5.5</v>
      </c>
      <c r="O102">
        <v>60000</v>
      </c>
      <c r="P102" t="s">
        <v>220</v>
      </c>
      <c r="Q102" t="s">
        <v>114</v>
      </c>
      <c r="R102" t="s">
        <v>153</v>
      </c>
      <c r="S102" t="s">
        <v>221</v>
      </c>
      <c r="T102" t="s">
        <v>222</v>
      </c>
      <c r="U102" t="s">
        <v>167</v>
      </c>
      <c r="V102" t="s">
        <v>147</v>
      </c>
      <c r="W102" t="s">
        <v>148</v>
      </c>
      <c r="Z102" t="s">
        <v>223</v>
      </c>
      <c r="AA102" t="s">
        <v>97</v>
      </c>
      <c r="AB102" s="62" t="s">
        <v>224</v>
      </c>
      <c r="AC102" s="62" t="s">
        <v>786</v>
      </c>
      <c r="AG102" t="s">
        <v>97</v>
      </c>
      <c r="AI102" t="s">
        <v>157</v>
      </c>
      <c r="AK102">
        <v>0.3</v>
      </c>
      <c r="AL102" t="s">
        <v>225</v>
      </c>
      <c r="AN102">
        <v>4</v>
      </c>
    </row>
    <row r="103" spans="2:40" x14ac:dyDescent="0.2">
      <c r="B103">
        <v>19.962596600000001</v>
      </c>
      <c r="C103">
        <v>-102.28786839999999</v>
      </c>
      <c r="D103" t="s">
        <v>108</v>
      </c>
      <c r="E103">
        <v>9.1</v>
      </c>
      <c r="F103" t="s">
        <v>657</v>
      </c>
      <c r="G103" t="s">
        <v>113</v>
      </c>
      <c r="H103" t="s">
        <v>110</v>
      </c>
      <c r="I103">
        <v>6.2</v>
      </c>
      <c r="J103">
        <v>4.8</v>
      </c>
      <c r="K103">
        <v>2.8</v>
      </c>
      <c r="L103" t="s">
        <v>164</v>
      </c>
      <c r="Q103" t="s">
        <v>113</v>
      </c>
      <c r="AG103" t="s">
        <v>97</v>
      </c>
      <c r="AH103" t="s">
        <v>97</v>
      </c>
    </row>
    <row r="104" spans="2:40" x14ac:dyDescent="0.2">
      <c r="B104">
        <v>20.000793999999999</v>
      </c>
      <c r="C104">
        <v>-102.336607</v>
      </c>
      <c r="D104" t="s">
        <v>108</v>
      </c>
      <c r="E104">
        <v>47</v>
      </c>
      <c r="F104" t="s">
        <v>690</v>
      </c>
      <c r="G104" t="s">
        <v>111</v>
      </c>
      <c r="H104" t="s">
        <v>110</v>
      </c>
      <c r="I104">
        <v>7.2</v>
      </c>
      <c r="J104">
        <v>4.4399999999999995</v>
      </c>
      <c r="K104">
        <v>1.2</v>
      </c>
      <c r="L104" t="s">
        <v>201</v>
      </c>
      <c r="Q104" t="s">
        <v>111</v>
      </c>
    </row>
    <row r="105" spans="2:40" ht="16" x14ac:dyDescent="0.2">
      <c r="B105">
        <v>20.064343000000001</v>
      </c>
      <c r="C105">
        <v>-102.254</v>
      </c>
      <c r="D105" t="s">
        <v>108</v>
      </c>
      <c r="E105">
        <v>38.299999999999997</v>
      </c>
      <c r="F105" t="s">
        <v>681</v>
      </c>
      <c r="G105" t="s">
        <v>119</v>
      </c>
      <c r="H105" t="s">
        <v>110</v>
      </c>
      <c r="I105">
        <v>8</v>
      </c>
      <c r="J105">
        <v>3.2</v>
      </c>
      <c r="K105">
        <v>0.8</v>
      </c>
      <c r="L105" t="s">
        <v>201</v>
      </c>
      <c r="N105">
        <v>5</v>
      </c>
      <c r="O105">
        <v>57000</v>
      </c>
      <c r="P105" t="s">
        <v>202</v>
      </c>
      <c r="Q105" t="s">
        <v>119</v>
      </c>
      <c r="R105" t="s">
        <v>175</v>
      </c>
      <c r="S105" t="s">
        <v>144</v>
      </c>
      <c r="T105" t="s">
        <v>203</v>
      </c>
      <c r="U105" t="s">
        <v>184</v>
      </c>
      <c r="V105" t="s">
        <v>147</v>
      </c>
      <c r="W105" t="s">
        <v>148</v>
      </c>
      <c r="Z105" t="s">
        <v>193</v>
      </c>
      <c r="AA105" t="s">
        <v>157</v>
      </c>
      <c r="AD105" s="62" t="s">
        <v>97</v>
      </c>
      <c r="AE105" s="62" t="s">
        <v>204</v>
      </c>
      <c r="AI105" t="s">
        <v>205</v>
      </c>
      <c r="AK105">
        <v>0.25</v>
      </c>
    </row>
    <row r="106" spans="2:40" x14ac:dyDescent="0.2">
      <c r="B106">
        <v>19.9623794</v>
      </c>
      <c r="C106">
        <v>-102.2856063</v>
      </c>
      <c r="D106" t="s">
        <v>108</v>
      </c>
      <c r="E106">
        <v>12</v>
      </c>
      <c r="F106" t="s">
        <v>11</v>
      </c>
      <c r="G106" t="s">
        <v>111</v>
      </c>
      <c r="H106" t="s">
        <v>110</v>
      </c>
      <c r="I106">
        <v>9.4</v>
      </c>
      <c r="J106">
        <v>6.44</v>
      </c>
      <c r="K106">
        <v>3</v>
      </c>
      <c r="L106" t="s">
        <v>164</v>
      </c>
      <c r="Q106" t="s">
        <v>111</v>
      </c>
      <c r="T106" t="s">
        <v>154</v>
      </c>
      <c r="AI106">
        <v>15</v>
      </c>
    </row>
    <row r="107" spans="2:40" x14ac:dyDescent="0.2">
      <c r="B107">
        <v>19.962627000000001</v>
      </c>
      <c r="C107">
        <v>-102.289016</v>
      </c>
      <c r="D107" t="s">
        <v>108</v>
      </c>
      <c r="E107">
        <v>8.1</v>
      </c>
      <c r="F107" t="s">
        <v>659</v>
      </c>
      <c r="G107" t="s">
        <v>109</v>
      </c>
      <c r="H107" t="s">
        <v>110</v>
      </c>
      <c r="I107">
        <v>9.6</v>
      </c>
      <c r="J107">
        <v>6.919999999999999</v>
      </c>
      <c r="K107">
        <v>4.5999999999999996</v>
      </c>
      <c r="L107" t="s">
        <v>164</v>
      </c>
      <c r="Q107" t="s">
        <v>109</v>
      </c>
      <c r="AG107" t="s">
        <v>97</v>
      </c>
    </row>
    <row r="108" spans="2:40" x14ac:dyDescent="0.2">
      <c r="B108">
        <v>19.993283999999999</v>
      </c>
      <c r="C108">
        <v>-102.336945</v>
      </c>
      <c r="D108" t="s">
        <v>108</v>
      </c>
      <c r="E108">
        <v>46</v>
      </c>
      <c r="F108" t="s">
        <v>689</v>
      </c>
      <c r="G108" t="s">
        <v>115</v>
      </c>
      <c r="H108" t="s">
        <v>110</v>
      </c>
      <c r="I108">
        <v>10.6</v>
      </c>
      <c r="J108">
        <v>6.5600000000000005</v>
      </c>
      <c r="K108">
        <v>0.8</v>
      </c>
      <c r="L108" t="s">
        <v>201</v>
      </c>
      <c r="Q108" t="s">
        <v>115</v>
      </c>
    </row>
    <row r="109" spans="2:40" ht="32" x14ac:dyDescent="0.2">
      <c r="B109">
        <v>20.040841</v>
      </c>
      <c r="C109">
        <v>-102.2744</v>
      </c>
      <c r="D109" t="s">
        <v>108</v>
      </c>
      <c r="E109">
        <v>37.1</v>
      </c>
      <c r="F109" t="s">
        <v>646</v>
      </c>
      <c r="G109" t="s">
        <v>119</v>
      </c>
      <c r="H109" t="s">
        <v>110</v>
      </c>
      <c r="I109">
        <v>11</v>
      </c>
      <c r="J109">
        <v>7.7199999999999989</v>
      </c>
      <c r="K109">
        <v>3.4</v>
      </c>
      <c r="L109" t="s">
        <v>192</v>
      </c>
      <c r="N109">
        <v>1</v>
      </c>
      <c r="O109">
        <v>50000</v>
      </c>
      <c r="P109" t="s">
        <v>183</v>
      </c>
      <c r="Q109" t="s">
        <v>119</v>
      </c>
      <c r="R109" t="s">
        <v>143</v>
      </c>
      <c r="S109" t="s">
        <v>144</v>
      </c>
      <c r="T109" t="s">
        <v>176</v>
      </c>
      <c r="U109" t="s">
        <v>198</v>
      </c>
      <c r="V109" t="s">
        <v>147</v>
      </c>
      <c r="W109" t="s">
        <v>148</v>
      </c>
      <c r="Z109" t="s">
        <v>199</v>
      </c>
      <c r="AA109" t="s">
        <v>97</v>
      </c>
      <c r="AB109" s="62" t="s">
        <v>200</v>
      </c>
      <c r="AC109" s="62" t="s">
        <v>803</v>
      </c>
      <c r="AK109">
        <v>0.4</v>
      </c>
    </row>
    <row r="110" spans="2:40" ht="16" x14ac:dyDescent="0.2">
      <c r="B110">
        <v>20.002216000000001</v>
      </c>
      <c r="C110">
        <v>-102.242431</v>
      </c>
      <c r="D110" t="s">
        <v>108</v>
      </c>
      <c r="E110">
        <v>35.1</v>
      </c>
      <c r="F110" t="s">
        <v>674</v>
      </c>
      <c r="G110" t="s">
        <v>121</v>
      </c>
      <c r="H110" t="s">
        <v>110</v>
      </c>
      <c r="I110">
        <v>11.4</v>
      </c>
      <c r="J110">
        <v>5.4</v>
      </c>
      <c r="K110">
        <v>2</v>
      </c>
      <c r="L110" t="s">
        <v>192</v>
      </c>
      <c r="N110">
        <v>1</v>
      </c>
      <c r="O110">
        <v>75000</v>
      </c>
      <c r="P110" t="s">
        <v>183</v>
      </c>
      <c r="Q110" t="s">
        <v>121</v>
      </c>
      <c r="R110" t="s">
        <v>143</v>
      </c>
      <c r="S110" t="s">
        <v>144</v>
      </c>
      <c r="T110" t="s">
        <v>129</v>
      </c>
      <c r="U110" t="s">
        <v>167</v>
      </c>
      <c r="V110" t="s">
        <v>147</v>
      </c>
      <c r="Z110" t="s">
        <v>193</v>
      </c>
      <c r="AA110" t="s">
        <v>97</v>
      </c>
      <c r="AB110" s="62" t="s">
        <v>194</v>
      </c>
      <c r="AC110" s="62" t="s">
        <v>774</v>
      </c>
      <c r="AG110" t="s">
        <v>97</v>
      </c>
      <c r="AH110" t="s">
        <v>157</v>
      </c>
      <c r="AK110">
        <v>0.5</v>
      </c>
    </row>
    <row r="111" spans="2:40" ht="16" x14ac:dyDescent="0.2">
      <c r="B111">
        <v>20.021588999999999</v>
      </c>
      <c r="C111">
        <v>-102.255849</v>
      </c>
      <c r="D111" t="s">
        <v>108</v>
      </c>
      <c r="E111">
        <v>36.299999999999997</v>
      </c>
      <c r="F111" t="s">
        <v>678</v>
      </c>
      <c r="G111" t="s">
        <v>115</v>
      </c>
      <c r="H111" t="s">
        <v>110</v>
      </c>
      <c r="I111">
        <v>11.8</v>
      </c>
      <c r="J111">
        <v>4.9600000000000009</v>
      </c>
      <c r="K111">
        <v>1.75</v>
      </c>
      <c r="L111" t="s">
        <v>192</v>
      </c>
      <c r="N111">
        <v>4</v>
      </c>
      <c r="O111">
        <v>60000</v>
      </c>
      <c r="P111" t="s">
        <v>195</v>
      </c>
      <c r="Q111" t="s">
        <v>115</v>
      </c>
      <c r="R111" t="s">
        <v>143</v>
      </c>
      <c r="S111" t="s">
        <v>144</v>
      </c>
      <c r="T111" t="s">
        <v>176</v>
      </c>
      <c r="U111" t="s">
        <v>196</v>
      </c>
      <c r="V111" t="s">
        <v>147</v>
      </c>
      <c r="W111" t="s">
        <v>148</v>
      </c>
      <c r="Z111" t="s">
        <v>193</v>
      </c>
      <c r="AA111" t="s">
        <v>97</v>
      </c>
      <c r="AB111" s="62" t="s">
        <v>197</v>
      </c>
      <c r="AI111">
        <v>5</v>
      </c>
      <c r="AK111">
        <v>0.4</v>
      </c>
    </row>
    <row r="112" spans="2:40" x14ac:dyDescent="0.2">
      <c r="B112">
        <v>19.963363000000001</v>
      </c>
      <c r="C112">
        <v>-102.287235</v>
      </c>
      <c r="D112" t="s">
        <v>108</v>
      </c>
      <c r="E112">
        <v>9.1999999999999993</v>
      </c>
      <c r="F112" t="s">
        <v>658</v>
      </c>
      <c r="G112" t="s">
        <v>83</v>
      </c>
      <c r="H112" t="s">
        <v>110</v>
      </c>
      <c r="I112">
        <v>15</v>
      </c>
      <c r="J112">
        <v>11.76</v>
      </c>
      <c r="K112">
        <v>5.4</v>
      </c>
      <c r="L112" t="s">
        <v>164</v>
      </c>
      <c r="Q112" t="s">
        <v>83</v>
      </c>
      <c r="AG112" t="s">
        <v>97</v>
      </c>
      <c r="AH112" t="s">
        <v>97</v>
      </c>
    </row>
    <row r="113" spans="2:40" ht="16" x14ac:dyDescent="0.2">
      <c r="B113">
        <v>20.02111</v>
      </c>
      <c r="C113">
        <v>-102.256021</v>
      </c>
      <c r="D113" t="s">
        <v>108</v>
      </c>
      <c r="E113">
        <v>36.200000000000003</v>
      </c>
      <c r="F113" t="s">
        <v>677</v>
      </c>
      <c r="G113" t="s">
        <v>122</v>
      </c>
      <c r="H113" t="s">
        <v>110</v>
      </c>
      <c r="I113">
        <v>16</v>
      </c>
      <c r="J113">
        <v>7.1599999999999993</v>
      </c>
      <c r="K113">
        <v>2.75</v>
      </c>
      <c r="L113" t="s">
        <v>192</v>
      </c>
      <c r="N113">
        <v>4</v>
      </c>
      <c r="O113">
        <v>60000</v>
      </c>
      <c r="P113" t="s">
        <v>195</v>
      </c>
      <c r="Q113" t="s">
        <v>122</v>
      </c>
      <c r="R113" t="s">
        <v>143</v>
      </c>
      <c r="S113" t="s">
        <v>144</v>
      </c>
      <c r="T113" t="s">
        <v>176</v>
      </c>
      <c r="U113" t="s">
        <v>196</v>
      </c>
      <c r="V113" t="s">
        <v>147</v>
      </c>
      <c r="W113" t="s">
        <v>148</v>
      </c>
      <c r="Z113" t="s">
        <v>193</v>
      </c>
      <c r="AA113" t="s">
        <v>97</v>
      </c>
      <c r="AB113" s="62" t="s">
        <v>197</v>
      </c>
      <c r="AI113">
        <v>5</v>
      </c>
      <c r="AK113">
        <v>0.4</v>
      </c>
    </row>
    <row r="114" spans="2:40" ht="16" x14ac:dyDescent="0.2">
      <c r="B114">
        <v>20.002873999999998</v>
      </c>
      <c r="C114">
        <v>-102.24158799999999</v>
      </c>
      <c r="D114" t="s">
        <v>108</v>
      </c>
      <c r="E114">
        <v>35.200000000000003</v>
      </c>
      <c r="F114" t="s">
        <v>675</v>
      </c>
      <c r="G114" t="s">
        <v>114</v>
      </c>
      <c r="H114" t="s">
        <v>110</v>
      </c>
      <c r="I114">
        <v>16.2</v>
      </c>
      <c r="J114">
        <v>6.92</v>
      </c>
      <c r="K114">
        <v>1.8</v>
      </c>
      <c r="L114" t="s">
        <v>192</v>
      </c>
      <c r="N114">
        <v>1</v>
      </c>
      <c r="O114">
        <v>75000</v>
      </c>
      <c r="P114" t="s">
        <v>183</v>
      </c>
      <c r="Q114" t="s">
        <v>114</v>
      </c>
      <c r="R114" t="s">
        <v>143</v>
      </c>
      <c r="S114" t="s">
        <v>144</v>
      </c>
      <c r="T114" t="s">
        <v>129</v>
      </c>
      <c r="U114" t="s">
        <v>167</v>
      </c>
      <c r="V114" t="s">
        <v>147</v>
      </c>
      <c r="Z114" t="s">
        <v>193</v>
      </c>
      <c r="AA114" t="s">
        <v>97</v>
      </c>
      <c r="AB114" s="62" t="s">
        <v>194</v>
      </c>
      <c r="AC114" s="62" t="s">
        <v>774</v>
      </c>
      <c r="AG114" t="s">
        <v>97</v>
      </c>
      <c r="AH114" t="s">
        <v>157</v>
      </c>
      <c r="AK114">
        <v>0.5</v>
      </c>
    </row>
    <row r="115" spans="2:40" ht="32" x14ac:dyDescent="0.2">
      <c r="B115">
        <v>20.012426000000001</v>
      </c>
      <c r="C115">
        <v>-102.322946</v>
      </c>
      <c r="D115" t="s">
        <v>108</v>
      </c>
      <c r="E115">
        <v>55</v>
      </c>
      <c r="F115" t="s">
        <v>43</v>
      </c>
      <c r="G115" t="s">
        <v>116</v>
      </c>
      <c r="H115" t="s">
        <v>110</v>
      </c>
      <c r="I115">
        <v>16.399999999999999</v>
      </c>
      <c r="J115">
        <v>7.44</v>
      </c>
      <c r="K115">
        <v>1.3</v>
      </c>
      <c r="L115" t="s">
        <v>212</v>
      </c>
      <c r="N115">
        <v>2.5</v>
      </c>
      <c r="O115">
        <v>55000</v>
      </c>
      <c r="P115" t="s">
        <v>238</v>
      </c>
      <c r="Q115" t="s">
        <v>116</v>
      </c>
      <c r="R115" t="s">
        <v>153</v>
      </c>
      <c r="S115" t="s">
        <v>144</v>
      </c>
      <c r="T115" t="s">
        <v>154</v>
      </c>
      <c r="V115" t="s">
        <v>147</v>
      </c>
      <c r="W115" t="s">
        <v>148</v>
      </c>
      <c r="Z115" t="s">
        <v>239</v>
      </c>
      <c r="AA115" t="s">
        <v>97</v>
      </c>
      <c r="AB115" s="62" t="s">
        <v>240</v>
      </c>
      <c r="AC115" s="62" t="s">
        <v>804</v>
      </c>
      <c r="AG115" t="s">
        <v>97</v>
      </c>
      <c r="AH115" t="s">
        <v>97</v>
      </c>
      <c r="AI115">
        <v>0</v>
      </c>
    </row>
    <row r="116" spans="2:40" ht="80" x14ac:dyDescent="0.2">
      <c r="B116">
        <v>19.976085999999999</v>
      </c>
      <c r="C116">
        <v>-102.340968</v>
      </c>
      <c r="D116" t="s">
        <v>108</v>
      </c>
      <c r="E116">
        <v>21.2</v>
      </c>
      <c r="F116" t="s">
        <v>671</v>
      </c>
      <c r="G116" t="s">
        <v>119</v>
      </c>
      <c r="H116" t="s">
        <v>110</v>
      </c>
      <c r="I116">
        <v>18.8</v>
      </c>
      <c r="J116">
        <v>9.8000000000000007</v>
      </c>
      <c r="K116">
        <v>3</v>
      </c>
      <c r="L116" t="s">
        <v>180</v>
      </c>
      <c r="N116">
        <v>8</v>
      </c>
      <c r="O116">
        <v>55000</v>
      </c>
      <c r="P116" t="s">
        <v>181</v>
      </c>
      <c r="Q116" t="s">
        <v>119</v>
      </c>
      <c r="R116" t="s">
        <v>143</v>
      </c>
      <c r="S116" t="s">
        <v>144</v>
      </c>
      <c r="U116" t="s">
        <v>146</v>
      </c>
      <c r="V116" t="s">
        <v>147</v>
      </c>
      <c r="W116" t="s">
        <v>148</v>
      </c>
      <c r="AD116" s="62" t="s">
        <v>97</v>
      </c>
      <c r="AE116" s="62" t="s">
        <v>182</v>
      </c>
      <c r="AF116" s="62" t="s">
        <v>800</v>
      </c>
      <c r="AG116" t="s">
        <v>97</v>
      </c>
      <c r="AH116" t="s">
        <v>97</v>
      </c>
      <c r="AI116">
        <v>5</v>
      </c>
    </row>
    <row r="117" spans="2:40" ht="16" x14ac:dyDescent="0.2">
      <c r="B117">
        <v>20.0638006</v>
      </c>
      <c r="C117">
        <v>-102.25468979999999</v>
      </c>
      <c r="D117" t="s">
        <v>108</v>
      </c>
      <c r="E117">
        <v>38.1</v>
      </c>
      <c r="F117" t="s">
        <v>680</v>
      </c>
      <c r="G117" t="s">
        <v>116</v>
      </c>
      <c r="H117" t="s">
        <v>110</v>
      </c>
      <c r="I117">
        <v>20.2</v>
      </c>
      <c r="J117">
        <v>9.9199999999999982</v>
      </c>
      <c r="K117">
        <v>2.6</v>
      </c>
      <c r="L117" t="s">
        <v>201</v>
      </c>
      <c r="N117">
        <v>5</v>
      </c>
      <c r="O117">
        <v>57000</v>
      </c>
      <c r="P117" t="s">
        <v>202</v>
      </c>
      <c r="Q117" t="s">
        <v>116</v>
      </c>
      <c r="R117" t="s">
        <v>175</v>
      </c>
      <c r="S117" t="s">
        <v>144</v>
      </c>
      <c r="T117" t="s">
        <v>203</v>
      </c>
      <c r="U117" t="s">
        <v>184</v>
      </c>
      <c r="V117" t="s">
        <v>147</v>
      </c>
      <c r="W117" t="s">
        <v>148</v>
      </c>
      <c r="Z117" t="s">
        <v>193</v>
      </c>
      <c r="AA117" t="s">
        <v>157</v>
      </c>
      <c r="AD117" s="62" t="s">
        <v>97</v>
      </c>
      <c r="AE117" s="62" t="s">
        <v>204</v>
      </c>
      <c r="AI117" t="s">
        <v>205</v>
      </c>
      <c r="AK117">
        <v>0.25</v>
      </c>
    </row>
    <row r="118" spans="2:40" x14ac:dyDescent="0.2">
      <c r="B118">
        <v>19.967942699999998</v>
      </c>
      <c r="C118">
        <v>-102.3364009</v>
      </c>
      <c r="D118" t="s">
        <v>108</v>
      </c>
      <c r="E118">
        <v>23</v>
      </c>
      <c r="F118" t="s">
        <v>672</v>
      </c>
      <c r="G118" t="s">
        <v>83</v>
      </c>
      <c r="H118" t="s">
        <v>110</v>
      </c>
      <c r="I118">
        <v>21.2</v>
      </c>
      <c r="J118">
        <v>14.559999999999999</v>
      </c>
      <c r="K118">
        <v>10.4</v>
      </c>
      <c r="L118" t="s">
        <v>180</v>
      </c>
      <c r="Q118" t="s">
        <v>83</v>
      </c>
    </row>
    <row r="119" spans="2:40" x14ac:dyDescent="0.2">
      <c r="B119">
        <v>19.971898599999999</v>
      </c>
      <c r="C119">
        <v>-102.3422163</v>
      </c>
      <c r="D119" t="s">
        <v>108</v>
      </c>
      <c r="E119">
        <v>20</v>
      </c>
      <c r="F119" t="s">
        <v>669</v>
      </c>
      <c r="G119" t="s">
        <v>118</v>
      </c>
      <c r="H119" t="s">
        <v>110</v>
      </c>
      <c r="I119">
        <v>26</v>
      </c>
      <c r="J119">
        <v>22.640000000000004</v>
      </c>
      <c r="K119">
        <v>15.8</v>
      </c>
      <c r="L119" t="s">
        <v>180</v>
      </c>
      <c r="Q119" t="s">
        <v>118</v>
      </c>
    </row>
    <row r="120" spans="2:40" x14ac:dyDescent="0.2">
      <c r="B120">
        <v>20.042652</v>
      </c>
      <c r="C120">
        <v>-102.257411</v>
      </c>
      <c r="D120" t="s">
        <v>108</v>
      </c>
      <c r="E120">
        <v>39</v>
      </c>
      <c r="F120" t="s">
        <v>35</v>
      </c>
      <c r="G120" t="s">
        <v>115</v>
      </c>
      <c r="H120" t="s">
        <v>110</v>
      </c>
      <c r="I120">
        <v>29.2</v>
      </c>
      <c r="J120">
        <v>15.560000000000002</v>
      </c>
      <c r="K120">
        <v>6.6</v>
      </c>
      <c r="L120" t="s">
        <v>201</v>
      </c>
      <c r="N120">
        <v>3</v>
      </c>
      <c r="P120" t="s">
        <v>206</v>
      </c>
      <c r="Q120" t="s">
        <v>207</v>
      </c>
      <c r="R120" t="s">
        <v>143</v>
      </c>
      <c r="S120" t="s">
        <v>144</v>
      </c>
      <c r="T120" t="s">
        <v>176</v>
      </c>
      <c r="U120" t="s">
        <v>146</v>
      </c>
      <c r="V120" t="s">
        <v>147</v>
      </c>
      <c r="Z120" t="s">
        <v>193</v>
      </c>
      <c r="AA120" t="s">
        <v>157</v>
      </c>
      <c r="AI120">
        <v>30</v>
      </c>
    </row>
    <row r="121" spans="2:40" x14ac:dyDescent="0.2">
      <c r="B121">
        <v>19.998947999999999</v>
      </c>
      <c r="C121">
        <v>-102.33444799999999</v>
      </c>
      <c r="D121" t="s">
        <v>108</v>
      </c>
      <c r="E121">
        <v>42</v>
      </c>
      <c r="F121" t="s">
        <v>685</v>
      </c>
      <c r="G121" t="s">
        <v>138</v>
      </c>
      <c r="H121" t="s">
        <v>110</v>
      </c>
      <c r="I121">
        <v>31</v>
      </c>
      <c r="J121">
        <v>16.119999999999997</v>
      </c>
      <c r="K121">
        <v>4.8</v>
      </c>
      <c r="L121" t="s">
        <v>201</v>
      </c>
      <c r="Q121" t="s">
        <v>138</v>
      </c>
    </row>
    <row r="122" spans="2:40" ht="64" x14ac:dyDescent="0.2">
      <c r="B122">
        <v>19.984098700000001</v>
      </c>
      <c r="C122">
        <v>-102.3396709</v>
      </c>
      <c r="D122" t="s">
        <v>108</v>
      </c>
      <c r="E122">
        <v>22</v>
      </c>
      <c r="F122" t="s">
        <v>19</v>
      </c>
      <c r="G122" t="s">
        <v>120</v>
      </c>
      <c r="H122" t="s">
        <v>110</v>
      </c>
      <c r="I122">
        <v>31.6</v>
      </c>
      <c r="J122">
        <v>18</v>
      </c>
      <c r="K122">
        <v>9.8000000000000007</v>
      </c>
      <c r="L122" t="s">
        <v>180</v>
      </c>
      <c r="O122">
        <v>58000</v>
      </c>
      <c r="P122" t="s">
        <v>183</v>
      </c>
      <c r="Q122" t="s">
        <v>120</v>
      </c>
      <c r="R122" t="s">
        <v>143</v>
      </c>
      <c r="S122" t="s">
        <v>144</v>
      </c>
      <c r="T122" t="s">
        <v>19</v>
      </c>
      <c r="U122" t="s">
        <v>184</v>
      </c>
      <c r="V122" t="s">
        <v>185</v>
      </c>
      <c r="W122" t="s">
        <v>148</v>
      </c>
      <c r="AA122" t="s">
        <v>97</v>
      </c>
      <c r="AB122" s="62" t="s">
        <v>186</v>
      </c>
      <c r="AC122" s="62" t="s">
        <v>805</v>
      </c>
      <c r="AD122" s="62" t="s">
        <v>97</v>
      </c>
      <c r="AE122" s="62" t="s">
        <v>187</v>
      </c>
      <c r="AF122" s="62" t="s">
        <v>806</v>
      </c>
      <c r="AG122" t="s">
        <v>157</v>
      </c>
      <c r="AH122" t="s">
        <v>157</v>
      </c>
      <c r="AI122">
        <v>2</v>
      </c>
    </row>
    <row r="123" spans="2:40" ht="112" x14ac:dyDescent="0.2">
      <c r="B123">
        <v>20.028368400000002</v>
      </c>
      <c r="C123">
        <v>-102.2924824</v>
      </c>
      <c r="D123" t="s">
        <v>108</v>
      </c>
      <c r="E123">
        <v>56.1</v>
      </c>
      <c r="F123" t="s">
        <v>696</v>
      </c>
      <c r="G123" t="s">
        <v>83</v>
      </c>
      <c r="H123" t="s">
        <v>110</v>
      </c>
      <c r="I123">
        <v>32</v>
      </c>
      <c r="J123">
        <v>18.600000000000001</v>
      </c>
      <c r="K123">
        <v>6.5</v>
      </c>
      <c r="L123" t="s">
        <v>212</v>
      </c>
      <c r="N123">
        <v>2</v>
      </c>
      <c r="O123">
        <v>55000</v>
      </c>
      <c r="P123" t="s">
        <v>195</v>
      </c>
      <c r="Q123" t="s">
        <v>241</v>
      </c>
      <c r="R123" t="s">
        <v>143</v>
      </c>
      <c r="S123" t="s">
        <v>144</v>
      </c>
      <c r="T123" t="s">
        <v>242</v>
      </c>
      <c r="U123" t="s">
        <v>198</v>
      </c>
      <c r="V123" t="s">
        <v>147</v>
      </c>
      <c r="W123" t="s">
        <v>148</v>
      </c>
      <c r="Z123" t="s">
        <v>199</v>
      </c>
      <c r="AA123" t="s">
        <v>97</v>
      </c>
      <c r="AB123" s="62" t="s">
        <v>243</v>
      </c>
      <c r="AC123" s="62" t="s">
        <v>766</v>
      </c>
      <c r="AD123" s="62" t="s">
        <v>97</v>
      </c>
      <c r="AE123" s="62" t="s">
        <v>244</v>
      </c>
      <c r="AF123" s="62" t="s">
        <v>807</v>
      </c>
      <c r="AG123" t="s">
        <v>97</v>
      </c>
      <c r="AH123" t="s">
        <v>157</v>
      </c>
      <c r="AI123">
        <v>0</v>
      </c>
      <c r="AK123">
        <v>0.2</v>
      </c>
      <c r="AL123" t="s">
        <v>245</v>
      </c>
      <c r="AM123" t="s">
        <v>151</v>
      </c>
      <c r="AN123">
        <v>4</v>
      </c>
    </row>
    <row r="124" spans="2:40" ht="112" x14ac:dyDescent="0.2">
      <c r="B124">
        <v>20.028368400000002</v>
      </c>
      <c r="C124">
        <v>-102.2924824</v>
      </c>
      <c r="D124" t="s">
        <v>108</v>
      </c>
      <c r="E124">
        <v>56.2</v>
      </c>
      <c r="F124" t="s">
        <v>697</v>
      </c>
      <c r="G124" t="s">
        <v>83</v>
      </c>
      <c r="H124" t="s">
        <v>110</v>
      </c>
      <c r="I124">
        <v>32</v>
      </c>
      <c r="J124">
        <v>18.600000000000001</v>
      </c>
      <c r="K124">
        <v>6.5</v>
      </c>
      <c r="L124" t="s">
        <v>212</v>
      </c>
      <c r="N124">
        <v>2</v>
      </c>
      <c r="O124">
        <v>55000</v>
      </c>
      <c r="P124" t="s">
        <v>195</v>
      </c>
      <c r="Q124" t="s">
        <v>83</v>
      </c>
      <c r="R124" t="s">
        <v>143</v>
      </c>
      <c r="S124" t="s">
        <v>144</v>
      </c>
      <c r="T124" t="s">
        <v>242</v>
      </c>
      <c r="U124" t="s">
        <v>198</v>
      </c>
      <c r="V124" t="s">
        <v>147</v>
      </c>
      <c r="W124" t="s">
        <v>148</v>
      </c>
      <c r="Z124" t="s">
        <v>199</v>
      </c>
      <c r="AA124" t="s">
        <v>97</v>
      </c>
      <c r="AB124" s="62" t="s">
        <v>243</v>
      </c>
      <c r="AC124" s="62" t="s">
        <v>766</v>
      </c>
      <c r="AD124" s="62" t="s">
        <v>97</v>
      </c>
      <c r="AE124" s="62" t="s">
        <v>244</v>
      </c>
      <c r="AF124" s="62" t="s">
        <v>807</v>
      </c>
      <c r="AG124" t="s">
        <v>97</v>
      </c>
      <c r="AH124" t="s">
        <v>157</v>
      </c>
      <c r="AI124">
        <v>0</v>
      </c>
      <c r="AK124">
        <v>0.2</v>
      </c>
      <c r="AL124" t="s">
        <v>245</v>
      </c>
      <c r="AM124" t="s">
        <v>151</v>
      </c>
      <c r="AN124">
        <v>4</v>
      </c>
    </row>
    <row r="125" spans="2:40" ht="16" x14ac:dyDescent="0.2">
      <c r="B125">
        <v>20.062991</v>
      </c>
      <c r="C125">
        <v>-102.254803</v>
      </c>
      <c r="D125" t="s">
        <v>108</v>
      </c>
      <c r="E125">
        <v>38.200000000000003</v>
      </c>
      <c r="F125" t="s">
        <v>682</v>
      </c>
      <c r="G125" t="s">
        <v>114</v>
      </c>
      <c r="H125" t="s">
        <v>110</v>
      </c>
      <c r="I125">
        <v>32.200000000000003</v>
      </c>
      <c r="J125">
        <v>16.04</v>
      </c>
      <c r="K125">
        <v>4.4000000000000004</v>
      </c>
      <c r="L125" t="s">
        <v>201</v>
      </c>
      <c r="N125">
        <v>5</v>
      </c>
      <c r="O125">
        <v>57000</v>
      </c>
      <c r="P125" t="s">
        <v>202</v>
      </c>
      <c r="Q125" t="s">
        <v>114</v>
      </c>
      <c r="R125" t="s">
        <v>175</v>
      </c>
      <c r="S125" t="s">
        <v>144</v>
      </c>
      <c r="T125" t="s">
        <v>203</v>
      </c>
      <c r="U125" t="s">
        <v>184</v>
      </c>
      <c r="V125" t="s">
        <v>147</v>
      </c>
      <c r="W125" t="s">
        <v>148</v>
      </c>
      <c r="Z125" t="s">
        <v>193</v>
      </c>
      <c r="AA125" t="s">
        <v>157</v>
      </c>
      <c r="AD125" s="62" t="s">
        <v>97</v>
      </c>
      <c r="AE125" s="62" t="s">
        <v>204</v>
      </c>
      <c r="AI125" t="s">
        <v>205</v>
      </c>
      <c r="AK125">
        <v>0.25</v>
      </c>
    </row>
    <row r="126" spans="2:40" x14ac:dyDescent="0.2">
      <c r="B126">
        <v>19.9714852</v>
      </c>
      <c r="C126">
        <v>-102.3407136</v>
      </c>
      <c r="D126" t="s">
        <v>108</v>
      </c>
      <c r="E126">
        <v>19</v>
      </c>
      <c r="F126" t="s">
        <v>668</v>
      </c>
      <c r="G126" t="s">
        <v>118</v>
      </c>
      <c r="H126" t="s">
        <v>110</v>
      </c>
      <c r="I126">
        <v>34.6</v>
      </c>
      <c r="J126">
        <v>15.959999999999999</v>
      </c>
      <c r="K126">
        <v>4.5999999999999996</v>
      </c>
      <c r="L126" t="s">
        <v>180</v>
      </c>
      <c r="Q126" t="s">
        <v>118</v>
      </c>
      <c r="R126" t="s">
        <v>153</v>
      </c>
      <c r="S126" t="s">
        <v>144</v>
      </c>
    </row>
    <row r="127" spans="2:40" x14ac:dyDescent="0.2">
      <c r="B127">
        <v>19.970998399999999</v>
      </c>
      <c r="C127">
        <v>-102.3409114</v>
      </c>
      <c r="D127" t="s">
        <v>108</v>
      </c>
      <c r="E127">
        <v>18</v>
      </c>
      <c r="F127" t="s">
        <v>667</v>
      </c>
      <c r="G127" t="s">
        <v>118</v>
      </c>
      <c r="H127" t="s">
        <v>110</v>
      </c>
      <c r="I127">
        <v>35.6</v>
      </c>
      <c r="J127">
        <v>18.119999999999997</v>
      </c>
      <c r="K127">
        <v>0</v>
      </c>
      <c r="L127" t="s">
        <v>180</v>
      </c>
      <c r="Q127" t="s">
        <v>118</v>
      </c>
    </row>
    <row r="128" spans="2:40" x14ac:dyDescent="0.2">
      <c r="B128">
        <v>19.996503000000001</v>
      </c>
      <c r="C128">
        <v>-102.335532</v>
      </c>
      <c r="D128" t="s">
        <v>108</v>
      </c>
      <c r="E128">
        <v>44</v>
      </c>
      <c r="F128" t="s">
        <v>687</v>
      </c>
      <c r="G128" t="s">
        <v>138</v>
      </c>
      <c r="H128" t="s">
        <v>110</v>
      </c>
      <c r="I128">
        <v>38.200000000000003</v>
      </c>
      <c r="J128">
        <v>14.76</v>
      </c>
      <c r="K128">
        <v>0.2</v>
      </c>
      <c r="L128" t="s">
        <v>201</v>
      </c>
      <c r="Q128" t="s">
        <v>138</v>
      </c>
    </row>
    <row r="129" spans="2:40" x14ac:dyDescent="0.2">
      <c r="B129">
        <v>19.997741000000001</v>
      </c>
      <c r="C129">
        <v>-102.33494</v>
      </c>
      <c r="D129" t="s">
        <v>108</v>
      </c>
      <c r="E129">
        <v>43</v>
      </c>
      <c r="F129" t="s">
        <v>686</v>
      </c>
      <c r="G129" t="s">
        <v>109</v>
      </c>
      <c r="H129" t="s">
        <v>110</v>
      </c>
      <c r="I129">
        <v>39.200000000000003</v>
      </c>
      <c r="J129">
        <v>35.56</v>
      </c>
      <c r="K129">
        <v>28.2</v>
      </c>
      <c r="L129" t="s">
        <v>201</v>
      </c>
      <c r="Q129" t="s">
        <v>109</v>
      </c>
    </row>
    <row r="130" spans="2:40" ht="32" x14ac:dyDescent="0.2">
      <c r="B130">
        <v>20.041086</v>
      </c>
      <c r="C130">
        <v>-102.274415</v>
      </c>
      <c r="D130" t="s">
        <v>108</v>
      </c>
      <c r="E130">
        <v>37.200000000000003</v>
      </c>
      <c r="F130" t="s">
        <v>647</v>
      </c>
      <c r="G130" t="s">
        <v>115</v>
      </c>
      <c r="H130" t="s">
        <v>110</v>
      </c>
      <c r="I130">
        <v>42</v>
      </c>
      <c r="J130">
        <v>15.12</v>
      </c>
      <c r="K130">
        <v>4.5999999999999996</v>
      </c>
      <c r="L130" t="s">
        <v>192</v>
      </c>
      <c r="N130">
        <v>1</v>
      </c>
      <c r="O130">
        <v>50000</v>
      </c>
      <c r="P130" t="s">
        <v>183</v>
      </c>
      <c r="Q130" t="s">
        <v>123</v>
      </c>
      <c r="R130" t="s">
        <v>143</v>
      </c>
      <c r="S130" t="s">
        <v>144</v>
      </c>
      <c r="T130" t="s">
        <v>176</v>
      </c>
      <c r="U130" t="s">
        <v>198</v>
      </c>
      <c r="V130" t="s">
        <v>147</v>
      </c>
      <c r="W130" t="s">
        <v>148</v>
      </c>
      <c r="Z130" t="s">
        <v>199</v>
      </c>
      <c r="AA130" t="s">
        <v>97</v>
      </c>
      <c r="AB130" s="62" t="s">
        <v>200</v>
      </c>
      <c r="AC130" s="62" t="s">
        <v>808</v>
      </c>
      <c r="AK130">
        <v>0.4</v>
      </c>
    </row>
    <row r="131" spans="2:40" x14ac:dyDescent="0.2">
      <c r="B131">
        <v>19.967352399999999</v>
      </c>
      <c r="C131">
        <v>-102.3361032</v>
      </c>
      <c r="D131" t="s">
        <v>108</v>
      </c>
      <c r="E131">
        <v>24</v>
      </c>
      <c r="F131" t="s">
        <v>673</v>
      </c>
      <c r="G131" t="s">
        <v>109</v>
      </c>
      <c r="H131" t="s">
        <v>110</v>
      </c>
      <c r="I131">
        <v>43</v>
      </c>
      <c r="J131">
        <v>35.760000000000005</v>
      </c>
      <c r="K131">
        <v>25.6</v>
      </c>
      <c r="L131" t="s">
        <v>180</v>
      </c>
      <c r="Q131" t="s">
        <v>109</v>
      </c>
    </row>
    <row r="132" spans="2:40" x14ac:dyDescent="0.2">
      <c r="B132">
        <v>20.001427</v>
      </c>
      <c r="C132">
        <v>-102.263105</v>
      </c>
      <c r="D132" t="s">
        <v>108</v>
      </c>
      <c r="E132">
        <v>41</v>
      </c>
      <c r="F132" t="s">
        <v>37</v>
      </c>
      <c r="G132" t="s">
        <v>126</v>
      </c>
      <c r="H132" t="s">
        <v>110</v>
      </c>
      <c r="I132">
        <v>44.8</v>
      </c>
      <c r="J132">
        <v>31.880000000000003</v>
      </c>
      <c r="K132">
        <v>19.8</v>
      </c>
      <c r="L132" t="s">
        <v>201</v>
      </c>
      <c r="N132">
        <v>0.5</v>
      </c>
      <c r="O132">
        <v>80000</v>
      </c>
      <c r="P132" t="s">
        <v>152</v>
      </c>
      <c r="Q132" t="s">
        <v>126</v>
      </c>
      <c r="T132" t="s">
        <v>129</v>
      </c>
      <c r="U132" t="s">
        <v>146</v>
      </c>
      <c r="V132" t="s">
        <v>147</v>
      </c>
      <c r="W132" t="s">
        <v>148</v>
      </c>
      <c r="Z132" t="s">
        <v>193</v>
      </c>
      <c r="AA132" t="s">
        <v>157</v>
      </c>
      <c r="AG132" t="s">
        <v>97</v>
      </c>
      <c r="AI132">
        <v>90</v>
      </c>
    </row>
    <row r="133" spans="2:40" ht="64" x14ac:dyDescent="0.2">
      <c r="B133">
        <v>20.035675999999999</v>
      </c>
      <c r="C133">
        <v>-102.33930599999999</v>
      </c>
      <c r="D133" t="s">
        <v>108</v>
      </c>
      <c r="E133">
        <v>54</v>
      </c>
      <c r="F133" t="s">
        <v>42</v>
      </c>
      <c r="G133" t="s">
        <v>114</v>
      </c>
      <c r="H133" t="s">
        <v>110</v>
      </c>
      <c r="I133">
        <v>45.6</v>
      </c>
      <c r="J133">
        <v>31.880000000000003</v>
      </c>
      <c r="K133">
        <v>18</v>
      </c>
      <c r="L133" t="s">
        <v>212</v>
      </c>
      <c r="N133">
        <v>1.5</v>
      </c>
      <c r="O133">
        <v>99000</v>
      </c>
      <c r="P133" t="s">
        <v>213</v>
      </c>
      <c r="Q133" t="s">
        <v>234</v>
      </c>
      <c r="R133" t="s">
        <v>143</v>
      </c>
      <c r="S133" t="s">
        <v>221</v>
      </c>
      <c r="T133" t="s">
        <v>214</v>
      </c>
      <c r="U133" t="s">
        <v>167</v>
      </c>
      <c r="V133" t="s">
        <v>147</v>
      </c>
      <c r="W133" t="s">
        <v>148</v>
      </c>
      <c r="Z133" t="s">
        <v>235</v>
      </c>
      <c r="AA133" t="s">
        <v>226</v>
      </c>
      <c r="AB133" s="62" t="s">
        <v>236</v>
      </c>
      <c r="AC133" s="62" t="s">
        <v>786</v>
      </c>
      <c r="AD133" s="62" t="s">
        <v>97</v>
      </c>
      <c r="AE133" s="62" t="s">
        <v>237</v>
      </c>
      <c r="AF133" s="62" t="s">
        <v>809</v>
      </c>
      <c r="AI133">
        <v>11</v>
      </c>
    </row>
    <row r="134" spans="2:40" ht="64" x14ac:dyDescent="0.2">
      <c r="B134">
        <v>20.069240300000001</v>
      </c>
      <c r="C134">
        <v>-102.2781511</v>
      </c>
      <c r="D134" t="s">
        <v>108</v>
      </c>
      <c r="E134">
        <v>48.1</v>
      </c>
      <c r="F134" t="s">
        <v>691</v>
      </c>
      <c r="G134" t="s">
        <v>114</v>
      </c>
      <c r="H134" t="s">
        <v>110</v>
      </c>
      <c r="I134">
        <v>49.2</v>
      </c>
      <c r="J134">
        <v>34.4</v>
      </c>
      <c r="K134">
        <v>23.2</v>
      </c>
      <c r="L134" t="s">
        <v>212</v>
      </c>
      <c r="N134">
        <v>4.7</v>
      </c>
      <c r="P134" t="s">
        <v>213</v>
      </c>
      <c r="Q134" t="s">
        <v>114</v>
      </c>
      <c r="R134" t="s">
        <v>143</v>
      </c>
      <c r="S134" t="s">
        <v>144</v>
      </c>
      <c r="T134" t="s">
        <v>214</v>
      </c>
      <c r="U134" t="s">
        <v>146</v>
      </c>
      <c r="V134" t="s">
        <v>147</v>
      </c>
      <c r="W134" t="s">
        <v>148</v>
      </c>
      <c r="Z134" t="s">
        <v>215</v>
      </c>
      <c r="AA134" t="s">
        <v>97</v>
      </c>
      <c r="AB134" s="62" t="s">
        <v>216</v>
      </c>
      <c r="AD134" s="62" t="s">
        <v>97</v>
      </c>
      <c r="AE134" s="62" t="s">
        <v>217</v>
      </c>
      <c r="AF134" s="62" t="s">
        <v>810</v>
      </c>
      <c r="AI134" t="s">
        <v>218</v>
      </c>
      <c r="AK134" t="s">
        <v>219</v>
      </c>
    </row>
    <row r="135" spans="2:40" ht="32" x14ac:dyDescent="0.2">
      <c r="B135">
        <v>20.041201000000001</v>
      </c>
      <c r="C135">
        <v>-102.27510599999999</v>
      </c>
      <c r="D135" t="s">
        <v>108</v>
      </c>
      <c r="E135">
        <v>37.299999999999997</v>
      </c>
      <c r="F135" t="s">
        <v>679</v>
      </c>
      <c r="G135" t="s">
        <v>115</v>
      </c>
      <c r="H135" t="s">
        <v>110</v>
      </c>
      <c r="I135">
        <v>50.2</v>
      </c>
      <c r="J135">
        <v>34.6</v>
      </c>
      <c r="K135">
        <v>21.8</v>
      </c>
      <c r="L135" t="s">
        <v>192</v>
      </c>
      <c r="N135">
        <v>1</v>
      </c>
      <c r="O135">
        <v>50000</v>
      </c>
      <c r="P135" t="s">
        <v>183</v>
      </c>
      <c r="Q135" t="s">
        <v>124</v>
      </c>
      <c r="R135" t="s">
        <v>143</v>
      </c>
      <c r="S135" t="s">
        <v>144</v>
      </c>
      <c r="T135" t="s">
        <v>176</v>
      </c>
      <c r="U135" t="s">
        <v>198</v>
      </c>
      <c r="V135" t="s">
        <v>147</v>
      </c>
      <c r="W135" t="s">
        <v>148</v>
      </c>
      <c r="Z135" t="s">
        <v>199</v>
      </c>
      <c r="AA135" t="s">
        <v>97</v>
      </c>
      <c r="AB135" s="62" t="s">
        <v>200</v>
      </c>
      <c r="AC135" s="62" t="s">
        <v>808</v>
      </c>
      <c r="AK135">
        <v>0.4</v>
      </c>
    </row>
    <row r="136" spans="2:40" ht="64" x14ac:dyDescent="0.2">
      <c r="B136">
        <v>20.054166299999999</v>
      </c>
      <c r="C136">
        <v>-102.2861541</v>
      </c>
      <c r="D136" t="s">
        <v>108</v>
      </c>
      <c r="E136">
        <v>52</v>
      </c>
      <c r="F136" t="s">
        <v>40</v>
      </c>
      <c r="G136" t="s">
        <v>116</v>
      </c>
      <c r="H136" t="s">
        <v>110</v>
      </c>
      <c r="I136">
        <v>50.8</v>
      </c>
      <c r="J136">
        <v>25.080000000000002</v>
      </c>
      <c r="K136">
        <v>4.8</v>
      </c>
      <c r="L136" t="s">
        <v>212</v>
      </c>
      <c r="N136">
        <v>1.5</v>
      </c>
      <c r="O136">
        <v>55000</v>
      </c>
      <c r="P136" t="s">
        <v>168</v>
      </c>
      <c r="Q136" t="s">
        <v>116</v>
      </c>
      <c r="R136" t="s">
        <v>153</v>
      </c>
      <c r="S136" t="s">
        <v>144</v>
      </c>
      <c r="T136" t="s">
        <v>154</v>
      </c>
      <c r="U136" t="s">
        <v>227</v>
      </c>
      <c r="V136" t="s">
        <v>147</v>
      </c>
      <c r="W136" t="s">
        <v>148</v>
      </c>
      <c r="Z136" t="s">
        <v>228</v>
      </c>
      <c r="AA136" t="s">
        <v>157</v>
      </c>
      <c r="AD136" s="62" t="s">
        <v>97</v>
      </c>
      <c r="AE136" s="62" t="s">
        <v>229</v>
      </c>
      <c r="AF136" s="62" t="s">
        <v>811</v>
      </c>
      <c r="AI136">
        <v>0</v>
      </c>
      <c r="AK136">
        <v>0.4</v>
      </c>
      <c r="AL136" t="s">
        <v>230</v>
      </c>
      <c r="AM136" t="s">
        <v>151</v>
      </c>
      <c r="AN136">
        <v>4</v>
      </c>
    </row>
    <row r="137" spans="2:40" ht="32" x14ac:dyDescent="0.2">
      <c r="B137">
        <v>20.053772299999999</v>
      </c>
      <c r="C137">
        <v>-102.2880612</v>
      </c>
      <c r="D137" t="s">
        <v>108</v>
      </c>
      <c r="E137">
        <v>51</v>
      </c>
      <c r="F137" t="s">
        <v>695</v>
      </c>
      <c r="G137" t="s">
        <v>131</v>
      </c>
      <c r="H137" t="s">
        <v>110</v>
      </c>
      <c r="I137">
        <v>51.2</v>
      </c>
      <c r="J137">
        <v>22.32</v>
      </c>
      <c r="K137">
        <v>0.6</v>
      </c>
      <c r="L137" t="s">
        <v>212</v>
      </c>
      <c r="N137">
        <v>5.5</v>
      </c>
      <c r="O137">
        <v>60000</v>
      </c>
      <c r="Q137" t="s">
        <v>131</v>
      </c>
      <c r="R137" t="s">
        <v>153</v>
      </c>
      <c r="S137" t="s">
        <v>221</v>
      </c>
      <c r="V137" t="s">
        <v>147</v>
      </c>
      <c r="W137" t="s">
        <v>148</v>
      </c>
      <c r="Z137" t="s">
        <v>223</v>
      </c>
      <c r="AA137" t="s">
        <v>97</v>
      </c>
      <c r="AB137" s="62" t="s">
        <v>224</v>
      </c>
      <c r="AC137" s="62" t="s">
        <v>812</v>
      </c>
      <c r="AG137" t="s">
        <v>97</v>
      </c>
      <c r="AI137" t="s">
        <v>157</v>
      </c>
    </row>
    <row r="138" spans="2:40" x14ac:dyDescent="0.2">
      <c r="B138">
        <v>19.995076000000001</v>
      </c>
      <c r="C138">
        <v>-102.336213</v>
      </c>
      <c r="D138" t="s">
        <v>108</v>
      </c>
      <c r="E138">
        <v>45</v>
      </c>
      <c r="F138" t="s">
        <v>688</v>
      </c>
      <c r="G138" t="s">
        <v>109</v>
      </c>
      <c r="H138" t="s">
        <v>110</v>
      </c>
      <c r="I138">
        <v>52.2</v>
      </c>
      <c r="J138">
        <v>40.08</v>
      </c>
      <c r="K138">
        <v>22.6</v>
      </c>
      <c r="L138" t="s">
        <v>201</v>
      </c>
      <c r="Q138" t="s">
        <v>109</v>
      </c>
    </row>
    <row r="139" spans="2:40" ht="80" x14ac:dyDescent="0.2">
      <c r="B139">
        <v>20.019438999999998</v>
      </c>
      <c r="C139">
        <v>-102.270089</v>
      </c>
      <c r="D139" t="s">
        <v>108</v>
      </c>
      <c r="E139">
        <v>40.200000000000003</v>
      </c>
      <c r="F139" t="s">
        <v>684</v>
      </c>
      <c r="G139" t="s">
        <v>125</v>
      </c>
      <c r="H139" t="s">
        <v>110</v>
      </c>
      <c r="I139">
        <v>57</v>
      </c>
      <c r="J139">
        <v>24.6</v>
      </c>
      <c r="K139">
        <v>6</v>
      </c>
      <c r="L139" t="s">
        <v>201</v>
      </c>
      <c r="N139">
        <v>2</v>
      </c>
      <c r="O139">
        <v>70000</v>
      </c>
      <c r="P139" t="s">
        <v>208</v>
      </c>
      <c r="Q139" t="s">
        <v>125</v>
      </c>
      <c r="R139" t="s">
        <v>153</v>
      </c>
      <c r="S139" t="s">
        <v>209</v>
      </c>
      <c r="U139" t="s">
        <v>198</v>
      </c>
      <c r="Z139" t="s">
        <v>193</v>
      </c>
      <c r="AA139" t="s">
        <v>97</v>
      </c>
      <c r="AB139" s="62" t="s">
        <v>210</v>
      </c>
      <c r="AC139" s="62" t="s">
        <v>777</v>
      </c>
      <c r="AD139" s="62" t="s">
        <v>97</v>
      </c>
      <c r="AE139" s="62" t="s">
        <v>211</v>
      </c>
      <c r="AF139" s="62" t="s">
        <v>813</v>
      </c>
      <c r="AI139">
        <v>10</v>
      </c>
      <c r="AK139">
        <v>0.25</v>
      </c>
    </row>
    <row r="140" spans="2:40" ht="64" x14ac:dyDescent="0.2">
      <c r="B140">
        <v>20.068535000000001</v>
      </c>
      <c r="C140">
        <v>-102.278177</v>
      </c>
      <c r="D140" t="s">
        <v>108</v>
      </c>
      <c r="E140">
        <v>48.2</v>
      </c>
      <c r="F140" t="s">
        <v>692</v>
      </c>
      <c r="G140" t="s">
        <v>114</v>
      </c>
      <c r="H140" t="s">
        <v>110</v>
      </c>
      <c r="I140">
        <v>62.8</v>
      </c>
      <c r="J140">
        <v>46.88</v>
      </c>
      <c r="K140">
        <v>24.6</v>
      </c>
      <c r="L140" t="s">
        <v>212</v>
      </c>
      <c r="N140">
        <v>4.7</v>
      </c>
      <c r="P140" t="s">
        <v>213</v>
      </c>
      <c r="Q140" t="s">
        <v>114</v>
      </c>
      <c r="R140" t="s">
        <v>143</v>
      </c>
      <c r="S140" t="s">
        <v>144</v>
      </c>
      <c r="T140" t="s">
        <v>214</v>
      </c>
      <c r="U140" t="s">
        <v>146</v>
      </c>
      <c r="V140" t="s">
        <v>147</v>
      </c>
      <c r="W140" t="s">
        <v>148</v>
      </c>
      <c r="Z140" t="s">
        <v>215</v>
      </c>
      <c r="AA140" t="s">
        <v>97</v>
      </c>
      <c r="AB140" s="62" t="s">
        <v>216</v>
      </c>
      <c r="AD140" s="62" t="s">
        <v>97</v>
      </c>
      <c r="AE140" s="62" t="s">
        <v>217</v>
      </c>
      <c r="AF140" s="62" t="s">
        <v>814</v>
      </c>
      <c r="AI140" t="s">
        <v>218</v>
      </c>
      <c r="AK140" t="s">
        <v>219</v>
      </c>
    </row>
    <row r="141" spans="2:40" ht="96" x14ac:dyDescent="0.2">
      <c r="B141">
        <v>20.019846000000001</v>
      </c>
      <c r="C141">
        <v>-102.270757</v>
      </c>
      <c r="D141" t="s">
        <v>108</v>
      </c>
      <c r="E141">
        <v>40.299999999999997</v>
      </c>
      <c r="F141" t="s">
        <v>718</v>
      </c>
      <c r="G141" t="s">
        <v>125</v>
      </c>
      <c r="H141" t="s">
        <v>110</v>
      </c>
      <c r="I141">
        <v>75</v>
      </c>
      <c r="J141">
        <v>60.879999999999995</v>
      </c>
      <c r="K141">
        <v>39</v>
      </c>
      <c r="L141" t="s">
        <v>201</v>
      </c>
      <c r="N141">
        <v>2</v>
      </c>
      <c r="O141">
        <v>70000</v>
      </c>
      <c r="P141" t="s">
        <v>208</v>
      </c>
      <c r="Q141" t="s">
        <v>125</v>
      </c>
      <c r="R141" t="s">
        <v>153</v>
      </c>
      <c r="S141" t="s">
        <v>209</v>
      </c>
      <c r="U141" t="s">
        <v>198</v>
      </c>
      <c r="Z141" t="s">
        <v>193</v>
      </c>
      <c r="AA141" t="s">
        <v>97</v>
      </c>
      <c r="AB141" s="62" t="s">
        <v>210</v>
      </c>
      <c r="AC141" s="62" t="s">
        <v>777</v>
      </c>
      <c r="AD141" s="62" t="s">
        <v>97</v>
      </c>
      <c r="AE141" s="62" t="s">
        <v>211</v>
      </c>
      <c r="AF141" s="62" t="s">
        <v>815</v>
      </c>
      <c r="AI141">
        <v>10</v>
      </c>
      <c r="AK141">
        <v>0.25</v>
      </c>
    </row>
    <row r="142" spans="2:40" ht="32" x14ac:dyDescent="0.2">
      <c r="B142">
        <v>20.052821999999999</v>
      </c>
      <c r="C142">
        <v>-102.28864900000001</v>
      </c>
      <c r="D142" t="s">
        <v>108</v>
      </c>
      <c r="E142">
        <v>50</v>
      </c>
      <c r="F142" t="s">
        <v>694</v>
      </c>
      <c r="G142" t="s">
        <v>114</v>
      </c>
      <c r="H142" t="s">
        <v>110</v>
      </c>
      <c r="I142">
        <v>77.2</v>
      </c>
      <c r="J142">
        <v>68.039999999999992</v>
      </c>
      <c r="K142">
        <v>49.6</v>
      </c>
      <c r="L142" t="s">
        <v>212</v>
      </c>
      <c r="N142">
        <v>5.5</v>
      </c>
      <c r="O142">
        <v>60000</v>
      </c>
      <c r="Q142" t="s">
        <v>114</v>
      </c>
      <c r="R142" t="s">
        <v>153</v>
      </c>
      <c r="S142" t="s">
        <v>221</v>
      </c>
      <c r="V142" t="s">
        <v>147</v>
      </c>
      <c r="W142" t="s">
        <v>148</v>
      </c>
      <c r="Z142" t="s">
        <v>223</v>
      </c>
      <c r="AA142" t="s">
        <v>226</v>
      </c>
      <c r="AB142" s="62" t="s">
        <v>224</v>
      </c>
      <c r="AC142" s="62" t="s">
        <v>812</v>
      </c>
      <c r="AG142" t="s">
        <v>97</v>
      </c>
      <c r="AI142" t="s">
        <v>157</v>
      </c>
    </row>
    <row r="143" spans="2:40" ht="80" x14ac:dyDescent="0.2">
      <c r="B143">
        <v>20.019905900000001</v>
      </c>
      <c r="C143">
        <v>-102.26992799999999</v>
      </c>
      <c r="D143" t="s">
        <v>108</v>
      </c>
      <c r="E143">
        <v>40.1</v>
      </c>
      <c r="F143" t="s">
        <v>683</v>
      </c>
      <c r="G143" t="s">
        <v>121</v>
      </c>
      <c r="H143" t="s">
        <v>110</v>
      </c>
      <c r="I143">
        <v>79</v>
      </c>
      <c r="J143">
        <v>54.279999999999994</v>
      </c>
      <c r="K143">
        <v>15.6</v>
      </c>
      <c r="L143" t="s">
        <v>201</v>
      </c>
      <c r="N143">
        <v>2</v>
      </c>
      <c r="O143">
        <v>70000</v>
      </c>
      <c r="P143" t="s">
        <v>208</v>
      </c>
      <c r="Q143" t="s">
        <v>121</v>
      </c>
      <c r="R143" t="s">
        <v>153</v>
      </c>
      <c r="S143" t="s">
        <v>209</v>
      </c>
      <c r="U143" t="s">
        <v>198</v>
      </c>
      <c r="Z143" t="s">
        <v>193</v>
      </c>
      <c r="AA143" t="s">
        <v>97</v>
      </c>
      <c r="AB143" s="62" t="s">
        <v>210</v>
      </c>
      <c r="AC143" s="62" t="s">
        <v>777</v>
      </c>
      <c r="AD143" s="62" t="s">
        <v>97</v>
      </c>
      <c r="AE143" s="62" t="s">
        <v>211</v>
      </c>
      <c r="AF143" s="62" t="s">
        <v>813</v>
      </c>
      <c r="AI143">
        <v>10</v>
      </c>
      <c r="AK143">
        <v>0.25</v>
      </c>
    </row>
    <row r="145" spans="3:15" x14ac:dyDescent="0.2">
      <c r="N145">
        <f>AVERAGE(Tabla3[SUPERFICIE])</f>
        <v>3.7362643678160912</v>
      </c>
      <c r="O145">
        <f>AVERAGE(Tabla3[DENSIDAD])</f>
        <v>42048.86363636364</v>
      </c>
    </row>
    <row r="147" spans="3:15" x14ac:dyDescent="0.2">
      <c r="C147">
        <f>42-140</f>
        <v>-98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F4E8-AA30-491B-8390-D4B47B732DD3}">
  <dimension ref="C2:AS151"/>
  <sheetViews>
    <sheetView topLeftCell="A101" zoomScale="70" zoomScaleNormal="70" workbookViewId="0">
      <selection activeCell="R62" sqref="R62"/>
    </sheetView>
  </sheetViews>
  <sheetFormatPr baseColWidth="10" defaultRowHeight="15" x14ac:dyDescent="0.2"/>
  <cols>
    <col min="3" max="3" width="16.83203125" customWidth="1"/>
    <col min="4" max="5" width="17.33203125" customWidth="1"/>
    <col min="6" max="6" width="21.83203125" customWidth="1"/>
    <col min="7" max="7" width="16.5" customWidth="1"/>
    <col min="8" max="8" width="21.33203125" customWidth="1"/>
    <col min="9" max="9" width="26.6640625" customWidth="1"/>
    <col min="10" max="10" width="18.33203125" customWidth="1"/>
    <col min="11" max="11" width="17.1640625" customWidth="1"/>
    <col min="12" max="12" width="16.6640625" customWidth="1"/>
    <col min="13" max="13" width="18.6640625" customWidth="1"/>
    <col min="16" max="16" width="12" customWidth="1"/>
    <col min="17" max="17" width="18" customWidth="1"/>
    <col min="18" max="18" width="15.83203125" customWidth="1"/>
    <col min="22" max="22" width="18.1640625" customWidth="1"/>
    <col min="28" max="28" width="21" customWidth="1"/>
    <col min="29" max="30" width="14.6640625" customWidth="1"/>
    <col min="31" max="31" width="16.5" customWidth="1"/>
    <col min="32" max="32" width="14" customWidth="1"/>
  </cols>
  <sheetData>
    <row r="2" spans="3:29" ht="33" thickBot="1" x14ac:dyDescent="0.25">
      <c r="C2" s="2" t="s">
        <v>98</v>
      </c>
      <c r="D2" s="3" t="s">
        <v>99</v>
      </c>
      <c r="E2" s="3" t="s">
        <v>715</v>
      </c>
      <c r="F2" s="3" t="s">
        <v>100</v>
      </c>
      <c r="G2" s="3" t="s">
        <v>101</v>
      </c>
      <c r="H2" s="3" t="s">
        <v>102</v>
      </c>
      <c r="I2" s="3" t="s">
        <v>103</v>
      </c>
      <c r="J2" s="3" t="s">
        <v>104</v>
      </c>
      <c r="K2" s="3" t="s">
        <v>105</v>
      </c>
      <c r="L2" s="3" t="s">
        <v>106</v>
      </c>
      <c r="M2" s="4" t="s">
        <v>107</v>
      </c>
    </row>
    <row r="3" spans="3:29" ht="16" thickBot="1" x14ac:dyDescent="0.25">
      <c r="C3" s="37">
        <v>20.044974100000001</v>
      </c>
      <c r="D3" s="38">
        <v>-100.765252</v>
      </c>
      <c r="E3" t="str">
        <f>Tabla2[[#This Row],[UNIDAD DE MUESTREO]]</f>
        <v>MARAVATIO</v>
      </c>
      <c r="F3" s="38" t="s">
        <v>129</v>
      </c>
      <c r="G3" s="38">
        <v>74.099999999999994</v>
      </c>
      <c r="H3" s="38" t="s">
        <v>698</v>
      </c>
      <c r="I3" s="38" t="s">
        <v>114</v>
      </c>
      <c r="J3" s="38" t="s">
        <v>110</v>
      </c>
      <c r="K3" s="38">
        <v>99</v>
      </c>
      <c r="L3" s="38">
        <v>89.080000000000013</v>
      </c>
      <c r="M3" s="39">
        <v>65.599999999999994</v>
      </c>
      <c r="O3" s="1"/>
      <c r="P3" t="s">
        <v>139</v>
      </c>
      <c r="Q3" t="s">
        <v>103</v>
      </c>
      <c r="R3" t="s">
        <v>140</v>
      </c>
      <c r="V3" t="s">
        <v>127</v>
      </c>
      <c r="W3" t="s">
        <v>108</v>
      </c>
      <c r="X3" t="s">
        <v>133</v>
      </c>
      <c r="Y3" t="s">
        <v>129</v>
      </c>
    </row>
    <row r="4" spans="3:29" x14ac:dyDescent="0.2">
      <c r="C4" s="40">
        <v>20.019905900000001</v>
      </c>
      <c r="D4">
        <v>-102.26992799999999</v>
      </c>
      <c r="E4" t="str">
        <f>Tabla2[[#This Row],[UNIDAD DE MUESTREO]]</f>
        <v>VALLE DE ZAMORA</v>
      </c>
      <c r="F4" t="s">
        <v>108</v>
      </c>
      <c r="G4">
        <v>40.1</v>
      </c>
      <c r="H4" t="s">
        <v>683</v>
      </c>
      <c r="I4" t="s">
        <v>126</v>
      </c>
      <c r="J4" t="s">
        <v>110</v>
      </c>
      <c r="K4">
        <v>79</v>
      </c>
      <c r="L4">
        <v>54.279999999999994</v>
      </c>
      <c r="M4" s="41">
        <v>15.6</v>
      </c>
      <c r="O4" s="1"/>
      <c r="P4">
        <v>1</v>
      </c>
      <c r="Q4" t="s">
        <v>114</v>
      </c>
      <c r="R4">
        <f>COUNTIFS(Tabla2[VARIEDAD],Q4)</f>
        <v>33</v>
      </c>
      <c r="U4" s="37" t="s">
        <v>733</v>
      </c>
      <c r="V4" s="38">
        <f>COUNTIFS(Tabla2[VARIEDAD],U4, Tabla2[UNIDAD DE MUESTREO], "TANGANCICUARO" )</f>
        <v>0</v>
      </c>
      <c r="W4" s="38">
        <f>COUNTIFS(Tabla2[VARIEDAD],U4, Tabla2[UNIDAD DE MUESTREO], "VALLE DE ZAMORA" )</f>
        <v>9</v>
      </c>
      <c r="X4" s="38">
        <f>COUNTIFS(Tabla2[VARIEDAD],U4, Tabla2[UNIDAD DE MUESTREO], "IRAPUATO" )</f>
        <v>11</v>
      </c>
      <c r="Y4" s="38">
        <f>COUNTIFS(Tabla2[VARIEDAD],U4, Tabla2[UNIDAD DE MUESTREO], "MARAVATIO" )</f>
        <v>13</v>
      </c>
      <c r="Z4" s="39">
        <v>33</v>
      </c>
      <c r="AC4" s="52" t="s">
        <v>733</v>
      </c>
    </row>
    <row r="5" spans="3:29" x14ac:dyDescent="0.2">
      <c r="C5" s="40">
        <v>20.052821999999999</v>
      </c>
      <c r="D5">
        <v>-102.28864900000001</v>
      </c>
      <c r="E5" t="str">
        <f>Tabla2[[#This Row],[UNIDAD DE MUESTREO]]</f>
        <v>VALLE DE ZAMORA</v>
      </c>
      <c r="F5" t="s">
        <v>108</v>
      </c>
      <c r="G5">
        <v>50</v>
      </c>
      <c r="H5" t="s">
        <v>694</v>
      </c>
      <c r="I5" t="s">
        <v>114</v>
      </c>
      <c r="J5" t="s">
        <v>110</v>
      </c>
      <c r="K5">
        <v>77.2</v>
      </c>
      <c r="L5">
        <v>68.039999999999992</v>
      </c>
      <c r="M5" s="41">
        <v>49.6</v>
      </c>
      <c r="O5" s="1"/>
      <c r="P5">
        <v>2</v>
      </c>
      <c r="Q5" t="s">
        <v>126</v>
      </c>
      <c r="R5">
        <f>COUNTIFS(Tabla2[VARIEDAD],Q5)</f>
        <v>30</v>
      </c>
      <c r="U5" s="40" t="s">
        <v>734</v>
      </c>
      <c r="V5">
        <f>COUNTIFS(Tabla2[VARIEDAD],U5, Tabla2[UNIDAD DE MUESTREO], "TANGANCICUARO" )</f>
        <v>0</v>
      </c>
      <c r="W5">
        <f>COUNTIFS(Tabla2[VARIEDAD],U5, Tabla2[UNIDAD DE MUESTREO], "VALLE DE ZAMORA" )</f>
        <v>4</v>
      </c>
      <c r="X5">
        <f>COUNTIFS(Tabla2[VARIEDAD],U5, Tabla2[UNIDAD DE MUESTREO], "IRAPUATO" )</f>
        <v>25</v>
      </c>
      <c r="Y5">
        <f>COUNTIFS(Tabla2[VARIEDAD],U5, Tabla2[UNIDAD DE MUESTREO], "MARAVATIO" )</f>
        <v>1</v>
      </c>
      <c r="Z5" s="41">
        <v>30</v>
      </c>
      <c r="AC5" s="52" t="s">
        <v>734</v>
      </c>
    </row>
    <row r="6" spans="3:29" x14ac:dyDescent="0.2">
      <c r="C6" s="40">
        <v>20.019846000000001</v>
      </c>
      <c r="D6">
        <v>-102.270757</v>
      </c>
      <c r="E6" t="str">
        <f>Tabla2[[#This Row],[UNIDAD DE MUESTREO]]</f>
        <v>VALLE DE ZAMORA</v>
      </c>
      <c r="F6" t="s">
        <v>108</v>
      </c>
      <c r="G6">
        <v>40.299999999999997</v>
      </c>
      <c r="H6" t="s">
        <v>36</v>
      </c>
      <c r="I6" t="s">
        <v>125</v>
      </c>
      <c r="J6" t="s">
        <v>110</v>
      </c>
      <c r="K6">
        <v>75</v>
      </c>
      <c r="L6">
        <v>60.879999999999995</v>
      </c>
      <c r="M6" s="41">
        <v>39</v>
      </c>
      <c r="O6" s="1"/>
      <c r="P6">
        <v>3</v>
      </c>
      <c r="Q6" t="s">
        <v>116</v>
      </c>
      <c r="R6">
        <f>COUNTIFS(Tabla2[VARIEDAD],Q6)</f>
        <v>11</v>
      </c>
      <c r="U6" s="40" t="s">
        <v>755</v>
      </c>
      <c r="V6">
        <f>COUNTIFS(Tabla2[VARIEDAD],U6, Tabla2[UNIDAD DE MUESTREO], "TANGANCICUARO" )</f>
        <v>0</v>
      </c>
      <c r="W6">
        <f>COUNTIFS(Tabla2[VARIEDAD],U6, Tabla2[UNIDAD DE MUESTREO], "VALLE DE ZAMORA" )</f>
        <v>0</v>
      </c>
      <c r="X6">
        <f>COUNTIFS(Tabla2[VARIEDAD],U6, Tabla2[UNIDAD DE MUESTREO], "IRAPUATO" )</f>
        <v>0</v>
      </c>
      <c r="Y6">
        <f>COUNTIFS(Tabla2[VARIEDAD],U6, Tabla2[UNIDAD DE MUESTREO], "MARAVATIO" )</f>
        <v>0</v>
      </c>
      <c r="Z6" s="41">
        <v>11</v>
      </c>
      <c r="AC6" s="52" t="s">
        <v>735</v>
      </c>
    </row>
    <row r="7" spans="3:29" x14ac:dyDescent="0.2">
      <c r="C7" s="40">
        <v>20.054317999999999</v>
      </c>
      <c r="D7">
        <v>-100.547369</v>
      </c>
      <c r="E7" t="str">
        <f>Tabla2[[#This Row],[UNIDAD DE MUESTREO]]</f>
        <v>MARAVATIO</v>
      </c>
      <c r="F7" t="s">
        <v>129</v>
      </c>
      <c r="G7">
        <v>61</v>
      </c>
      <c r="H7" t="s">
        <v>49</v>
      </c>
      <c r="I7" t="s">
        <v>114</v>
      </c>
      <c r="J7" t="s">
        <v>110</v>
      </c>
      <c r="K7">
        <v>72</v>
      </c>
      <c r="L7">
        <v>45.08</v>
      </c>
      <c r="M7" s="41">
        <v>18.399999999999999</v>
      </c>
      <c r="O7" s="1"/>
      <c r="P7">
        <v>4</v>
      </c>
      <c r="Q7" t="s">
        <v>83</v>
      </c>
      <c r="R7">
        <f>COUNTIFS(Tabla2[VARIEDAD],Q7)</f>
        <v>8</v>
      </c>
      <c r="U7" s="40" t="s">
        <v>736</v>
      </c>
      <c r="V7">
        <f>COUNTIFS(Tabla2[VARIEDAD],U7, Tabla2[UNIDAD DE MUESTREO], "TANGANCICUARO" )</f>
        <v>0</v>
      </c>
      <c r="W7">
        <f>COUNTIFS(Tabla2[VARIEDAD],U7, Tabla2[UNIDAD DE MUESTREO], "VALLE DE ZAMORA" )</f>
        <v>0</v>
      </c>
      <c r="X7">
        <f>COUNTIFS(Tabla2[VARIEDAD],U7, Tabla2[UNIDAD DE MUESTREO], "IRAPUATO" )</f>
        <v>0</v>
      </c>
      <c r="Y7">
        <f>COUNTIFS(Tabla2[VARIEDAD],U7, Tabla2[UNIDAD DE MUESTREO], "MARAVATIO" )</f>
        <v>0</v>
      </c>
      <c r="Z7" s="41">
        <v>8</v>
      </c>
      <c r="AC7" s="52" t="s">
        <v>736</v>
      </c>
    </row>
    <row r="8" spans="3:29" x14ac:dyDescent="0.2">
      <c r="C8" s="40">
        <v>19.933778199999999</v>
      </c>
      <c r="D8">
        <v>-100.458675</v>
      </c>
      <c r="E8" t="str">
        <f>Tabla2[[#This Row],[UNIDAD DE MUESTREO]]</f>
        <v>MARAVATIO</v>
      </c>
      <c r="F8" t="s">
        <v>129</v>
      </c>
      <c r="G8">
        <v>72</v>
      </c>
      <c r="H8" t="s">
        <v>60</v>
      </c>
      <c r="I8" t="s">
        <v>114</v>
      </c>
      <c r="J8" t="s">
        <v>110</v>
      </c>
      <c r="K8">
        <v>70.400000000000006</v>
      </c>
      <c r="L8">
        <v>58.160000000000004</v>
      </c>
      <c r="M8" s="41">
        <v>43.8</v>
      </c>
      <c r="O8" s="1"/>
      <c r="P8">
        <v>5</v>
      </c>
      <c r="Q8" t="s">
        <v>111</v>
      </c>
      <c r="R8">
        <f>COUNTIFS(Tabla2[VARIEDAD],Q8)</f>
        <v>8</v>
      </c>
      <c r="U8" s="40" t="s">
        <v>737</v>
      </c>
      <c r="V8">
        <f>COUNTIFS(Tabla2[VARIEDAD],U8, Tabla2[UNIDAD DE MUESTREO], "TANGANCICUARO" )</f>
        <v>2</v>
      </c>
      <c r="W8">
        <f>COUNTIFS(Tabla2[VARIEDAD],U8, Tabla2[UNIDAD DE MUESTREO], "VALLE DE ZAMORA" )</f>
        <v>5</v>
      </c>
      <c r="X8">
        <f>COUNTIFS(Tabla2[VARIEDAD],U8, Tabla2[UNIDAD DE MUESTREO], "IRAPUATO" )</f>
        <v>0</v>
      </c>
      <c r="Y8">
        <f>COUNTIFS(Tabla2[VARIEDAD],U8, Tabla2[UNIDAD DE MUESTREO], "MARAVATIO" )</f>
        <v>1</v>
      </c>
      <c r="Z8" s="41">
        <v>8</v>
      </c>
      <c r="AC8" s="52" t="s">
        <v>737</v>
      </c>
    </row>
    <row r="9" spans="3:29" x14ac:dyDescent="0.2">
      <c r="C9" s="40">
        <v>20.068535000000001</v>
      </c>
      <c r="D9">
        <v>-102.278177</v>
      </c>
      <c r="E9" t="str">
        <f>Tabla2[[#This Row],[UNIDAD DE MUESTREO]]</f>
        <v>VALLE DE ZAMORA</v>
      </c>
      <c r="F9" t="s">
        <v>108</v>
      </c>
      <c r="G9">
        <v>48.2</v>
      </c>
      <c r="H9" t="s">
        <v>692</v>
      </c>
      <c r="I9" t="s">
        <v>114</v>
      </c>
      <c r="J9" t="s">
        <v>110</v>
      </c>
      <c r="K9">
        <v>62.8</v>
      </c>
      <c r="L9">
        <v>46.88</v>
      </c>
      <c r="M9" s="41">
        <v>24.6</v>
      </c>
      <c r="O9" s="1"/>
      <c r="P9">
        <v>6</v>
      </c>
      <c r="Q9" t="s">
        <v>131</v>
      </c>
      <c r="R9">
        <f>COUNTIFS(Tabla2[VARIEDAD],Q9)</f>
        <v>7</v>
      </c>
      <c r="U9" s="40" t="s">
        <v>739</v>
      </c>
      <c r="V9">
        <f>COUNTIFS(Tabla2[VARIEDAD],U9, Tabla2[UNIDAD DE MUESTREO], "TANGANCICUARO" )</f>
        <v>0</v>
      </c>
      <c r="W9">
        <f>COUNTIFS(Tabla2[VARIEDAD],U9, Tabla2[UNIDAD DE MUESTREO], "VALLE DE ZAMORA" )</f>
        <v>1</v>
      </c>
      <c r="X9">
        <f>COUNTIFS(Tabla2[VARIEDAD],U9, Tabla2[UNIDAD DE MUESTREO], "IRAPUATO" )</f>
        <v>1</v>
      </c>
      <c r="Y9">
        <f>COUNTIFS(Tabla2[VARIEDAD],U9, Tabla2[UNIDAD DE MUESTREO], "MARAVATIO" )</f>
        <v>5</v>
      </c>
      <c r="Z9" s="41">
        <v>7</v>
      </c>
      <c r="AC9" s="52" t="s">
        <v>739</v>
      </c>
    </row>
    <row r="10" spans="3:29" x14ac:dyDescent="0.2">
      <c r="C10" s="40">
        <v>19.938984000000001</v>
      </c>
      <c r="D10">
        <v>-100.50803999999999</v>
      </c>
      <c r="E10" t="str">
        <f>Tabla2[[#This Row],[UNIDAD DE MUESTREO]]</f>
        <v>MARAVATIO</v>
      </c>
      <c r="F10" t="s">
        <v>129</v>
      </c>
      <c r="G10">
        <v>67</v>
      </c>
      <c r="H10" t="s">
        <v>55</v>
      </c>
      <c r="I10" t="s">
        <v>114</v>
      </c>
      <c r="J10" t="s">
        <v>110</v>
      </c>
      <c r="K10">
        <v>61.4</v>
      </c>
      <c r="L10">
        <v>53.08</v>
      </c>
      <c r="M10" s="41">
        <v>41.8</v>
      </c>
      <c r="O10" s="1"/>
      <c r="P10">
        <v>7</v>
      </c>
      <c r="Q10" t="s">
        <v>115</v>
      </c>
      <c r="R10">
        <f>COUNTIFS(Tabla2[VARIEDAD],Q10)</f>
        <v>6</v>
      </c>
      <c r="U10" s="40" t="s">
        <v>738</v>
      </c>
      <c r="V10">
        <f>COUNTIFS(Tabla2[VARIEDAD],U10, Tabla2[UNIDAD DE MUESTREO], "TANGANCICUARO" )</f>
        <v>0</v>
      </c>
      <c r="W10">
        <f>COUNTIFS(Tabla2[VARIEDAD],U10, Tabla2[UNIDAD DE MUESTREO], "VALLE DE ZAMORA" )</f>
        <v>6</v>
      </c>
      <c r="X10">
        <f>COUNTIFS(Tabla2[VARIEDAD],U10, Tabla2[UNIDAD DE MUESTREO], "IRAPUATO" )</f>
        <v>0</v>
      </c>
      <c r="Y10">
        <f>COUNTIFS(Tabla2[VARIEDAD],U10, Tabla2[UNIDAD DE MUESTREO], "MARAVATIO" )</f>
        <v>0</v>
      </c>
      <c r="Z10" s="41">
        <v>6</v>
      </c>
      <c r="AC10" s="52" t="s">
        <v>738</v>
      </c>
    </row>
    <row r="11" spans="3:29" x14ac:dyDescent="0.2">
      <c r="C11" s="40">
        <v>20.019438999999998</v>
      </c>
      <c r="D11">
        <v>-102.270089</v>
      </c>
      <c r="E11" t="str">
        <f>Tabla2[[#This Row],[UNIDAD DE MUESTREO]]</f>
        <v>VALLE DE ZAMORA</v>
      </c>
      <c r="F11" t="s">
        <v>108</v>
      </c>
      <c r="G11">
        <v>40.200000000000003</v>
      </c>
      <c r="H11" t="s">
        <v>684</v>
      </c>
      <c r="I11" t="s">
        <v>125</v>
      </c>
      <c r="J11" t="s">
        <v>110</v>
      </c>
      <c r="K11">
        <v>57</v>
      </c>
      <c r="L11">
        <v>24.6</v>
      </c>
      <c r="M11" s="41">
        <v>6</v>
      </c>
      <c r="O11" s="1"/>
      <c r="P11">
        <v>8</v>
      </c>
      <c r="Q11" t="s">
        <v>109</v>
      </c>
      <c r="R11">
        <f>COUNTIFS(Tabla2[VARIEDAD],Q11)</f>
        <v>6</v>
      </c>
      <c r="U11" s="40" t="s">
        <v>740</v>
      </c>
      <c r="V11">
        <f>COUNTIFS(Tabla2[VARIEDAD],U11, Tabla2[UNIDAD DE MUESTREO], "TANGANCICUARO" )</f>
        <v>0</v>
      </c>
      <c r="W11">
        <f>COUNTIFS(Tabla2[VARIEDAD],U11, Tabla2[UNIDAD DE MUESTREO], "VALLE DE ZAMORA" )</f>
        <v>6</v>
      </c>
      <c r="X11">
        <f>COUNTIFS(Tabla2[VARIEDAD],U11, Tabla2[UNIDAD DE MUESTREO], "IRAPUATO" )</f>
        <v>0</v>
      </c>
      <c r="Y11">
        <f>COUNTIFS(Tabla2[VARIEDAD],U11, Tabla2[UNIDAD DE MUESTREO], "MARAVATIO" )</f>
        <v>0</v>
      </c>
      <c r="Z11" s="41">
        <v>6</v>
      </c>
      <c r="AC11" s="52" t="s">
        <v>740</v>
      </c>
    </row>
    <row r="12" spans="3:29" x14ac:dyDescent="0.2">
      <c r="C12" s="40">
        <v>19.962547000000001</v>
      </c>
      <c r="D12">
        <v>-100.471812</v>
      </c>
      <c r="E12" t="str">
        <f>Tabla2[[#This Row],[UNIDAD DE MUESTREO]]</f>
        <v>MARAVATIO</v>
      </c>
      <c r="F12" t="s">
        <v>129</v>
      </c>
      <c r="G12">
        <v>69</v>
      </c>
      <c r="H12" t="s">
        <v>57</v>
      </c>
      <c r="I12" t="s">
        <v>131</v>
      </c>
      <c r="J12" t="s">
        <v>110</v>
      </c>
      <c r="K12">
        <v>56.2</v>
      </c>
      <c r="L12">
        <v>37.68</v>
      </c>
      <c r="M12" s="41">
        <v>15.4</v>
      </c>
      <c r="O12" s="1"/>
      <c r="P12">
        <v>9</v>
      </c>
      <c r="Q12" t="s">
        <v>118</v>
      </c>
      <c r="R12">
        <f>COUNTIFS(Tabla2[VARIEDAD],Q12)</f>
        <v>6</v>
      </c>
      <c r="U12" s="40" t="s">
        <v>741</v>
      </c>
      <c r="V12">
        <f>COUNTIFS(Tabla2[VARIEDAD],U12, Tabla2[UNIDAD DE MUESTREO], "TANGANCICUARO" )</f>
        <v>0</v>
      </c>
      <c r="W12">
        <f>COUNTIFS(Tabla2[VARIEDAD],U12, Tabla2[UNIDAD DE MUESTREO], "VALLE DE ZAMORA" )</f>
        <v>4</v>
      </c>
      <c r="X12">
        <f>COUNTIFS(Tabla2[VARIEDAD],U12, Tabla2[UNIDAD DE MUESTREO], "IRAPUATO" )</f>
        <v>1</v>
      </c>
      <c r="Y12">
        <f>COUNTIFS(Tabla2[VARIEDAD],U12, Tabla2[UNIDAD DE MUESTREO], "MARAVATIO" )</f>
        <v>1</v>
      </c>
      <c r="Z12" s="41">
        <v>6</v>
      </c>
      <c r="AC12" s="52" t="s">
        <v>741</v>
      </c>
    </row>
    <row r="13" spans="3:29" x14ac:dyDescent="0.2">
      <c r="C13" s="40">
        <v>19.968854</v>
      </c>
      <c r="D13">
        <v>-100.469402</v>
      </c>
      <c r="E13" t="str">
        <f>Tabla2[[#This Row],[UNIDAD DE MUESTREO]]</f>
        <v>MARAVATIO</v>
      </c>
      <c r="F13" t="s">
        <v>129</v>
      </c>
      <c r="G13">
        <v>71</v>
      </c>
      <c r="H13" t="s">
        <v>59</v>
      </c>
      <c r="I13" t="s">
        <v>114</v>
      </c>
      <c r="J13" t="s">
        <v>110</v>
      </c>
      <c r="K13">
        <v>53.8</v>
      </c>
      <c r="L13">
        <v>53.8</v>
      </c>
      <c r="M13" s="41">
        <v>53.8</v>
      </c>
      <c r="O13" s="1"/>
      <c r="P13">
        <v>10</v>
      </c>
      <c r="Q13" t="s">
        <v>119</v>
      </c>
      <c r="R13">
        <f>COUNTIFS(Tabla2[VARIEDAD],Q13)</f>
        <v>6</v>
      </c>
      <c r="U13" s="40" t="s">
        <v>742</v>
      </c>
      <c r="V13">
        <f>COUNTIFS(Tabla2[VARIEDAD],U13, Tabla2[UNIDAD DE MUESTREO], "TANGANCICUARO" )</f>
        <v>1</v>
      </c>
      <c r="W13">
        <f>COUNTIFS(Tabla2[VARIEDAD],U13, Tabla2[UNIDAD DE MUESTREO], "VALLE DE ZAMORA" )</f>
        <v>3</v>
      </c>
      <c r="X13">
        <f>COUNTIFS(Tabla2[VARIEDAD],U13, Tabla2[UNIDAD DE MUESTREO], "IRAPUATO" )</f>
        <v>2</v>
      </c>
      <c r="Y13">
        <f>COUNTIFS(Tabla2[VARIEDAD],U13, Tabla2[UNIDAD DE MUESTREO], "MARAVATIO" )</f>
        <v>0</v>
      </c>
      <c r="Z13" s="41">
        <v>6</v>
      </c>
      <c r="AC13" s="52" t="s">
        <v>742</v>
      </c>
    </row>
    <row r="14" spans="3:29" x14ac:dyDescent="0.2">
      <c r="C14" s="40">
        <v>19.914746999999998</v>
      </c>
      <c r="D14">
        <v>-100.36165699999999</v>
      </c>
      <c r="E14" t="str">
        <f>Tabla2[[#This Row],[UNIDAD DE MUESTREO]]</f>
        <v>MARAVATIO</v>
      </c>
      <c r="F14" t="s">
        <v>129</v>
      </c>
      <c r="G14">
        <v>77</v>
      </c>
      <c r="H14" t="s">
        <v>65</v>
      </c>
      <c r="I14" t="s">
        <v>114</v>
      </c>
      <c r="J14" t="s">
        <v>110</v>
      </c>
      <c r="K14">
        <v>53.2</v>
      </c>
      <c r="L14">
        <v>47.92</v>
      </c>
      <c r="M14" s="41">
        <v>33.200000000000003</v>
      </c>
      <c r="O14" s="1"/>
      <c r="P14">
        <v>11</v>
      </c>
      <c r="Q14" t="s">
        <v>125</v>
      </c>
      <c r="R14">
        <f>COUNTIFS(Tabla2[VARIEDAD],Q14)</f>
        <v>4</v>
      </c>
      <c r="U14" s="40" t="s">
        <v>743</v>
      </c>
      <c r="V14">
        <f>COUNTIFS(Tabla2[VARIEDAD],U14, Tabla2[UNIDAD DE MUESTREO], "TANGANCICUARO" )</f>
        <v>0</v>
      </c>
      <c r="W14">
        <f>COUNTIFS(Tabla2[VARIEDAD],U14, Tabla2[UNIDAD DE MUESTREO], "VALLE DE ZAMORA" )</f>
        <v>2</v>
      </c>
      <c r="X14">
        <f>COUNTIFS(Tabla2[VARIEDAD],U14, Tabla2[UNIDAD DE MUESTREO], "IRAPUATO" )</f>
        <v>2</v>
      </c>
      <c r="Y14">
        <f>COUNTIFS(Tabla2[VARIEDAD],U14, Tabla2[UNIDAD DE MUESTREO], "MARAVATIO" )</f>
        <v>0</v>
      </c>
      <c r="Z14" s="41">
        <v>4</v>
      </c>
      <c r="AC14" s="52" t="s">
        <v>743</v>
      </c>
    </row>
    <row r="15" spans="3:29" ht="16" thickBot="1" x14ac:dyDescent="0.25">
      <c r="C15" s="40">
        <v>19.995076000000001</v>
      </c>
      <c r="D15">
        <v>-102.336213</v>
      </c>
      <c r="E15" t="str">
        <f>Tabla2[[#This Row],[UNIDAD DE MUESTREO]]</f>
        <v>VALLE DE ZAMORA</v>
      </c>
      <c r="F15" t="s">
        <v>108</v>
      </c>
      <c r="G15">
        <v>45</v>
      </c>
      <c r="H15" t="s">
        <v>688</v>
      </c>
      <c r="I15" t="s">
        <v>109</v>
      </c>
      <c r="J15" t="s">
        <v>110</v>
      </c>
      <c r="K15">
        <v>52.2</v>
      </c>
      <c r="L15">
        <v>40.08</v>
      </c>
      <c r="M15" s="41">
        <v>22.6</v>
      </c>
      <c r="O15" s="1"/>
      <c r="P15">
        <v>12</v>
      </c>
      <c r="Q15" t="s">
        <v>136</v>
      </c>
      <c r="R15">
        <f>COUNTIFS(Tabla2[VARIEDAD],Q15)</f>
        <v>2</v>
      </c>
      <c r="U15" s="51" t="s">
        <v>744</v>
      </c>
      <c r="V15" s="43">
        <v>2</v>
      </c>
      <c r="W15" s="43">
        <v>6</v>
      </c>
      <c r="X15" s="43">
        <v>6</v>
      </c>
      <c r="Y15" s="43">
        <v>1</v>
      </c>
      <c r="Z15" s="44">
        <v>15</v>
      </c>
      <c r="AC15" s="52" t="s">
        <v>744</v>
      </c>
    </row>
    <row r="16" spans="3:29" x14ac:dyDescent="0.2">
      <c r="C16" s="40">
        <v>20.053772299999999</v>
      </c>
      <c r="D16">
        <v>-102.2880612</v>
      </c>
      <c r="E16" t="str">
        <f>Tabla2[[#This Row],[UNIDAD DE MUESTREO]]</f>
        <v>VALLE DE ZAMORA</v>
      </c>
      <c r="F16" t="s">
        <v>108</v>
      </c>
      <c r="G16">
        <v>51</v>
      </c>
      <c r="H16" t="s">
        <v>695</v>
      </c>
      <c r="I16" t="s">
        <v>131</v>
      </c>
      <c r="J16" t="s">
        <v>110</v>
      </c>
      <c r="K16">
        <v>51.2</v>
      </c>
      <c r="L16">
        <v>22.32</v>
      </c>
      <c r="M16" s="41">
        <v>0.6</v>
      </c>
      <c r="O16" s="1"/>
      <c r="P16">
        <v>13</v>
      </c>
      <c r="Q16" t="s">
        <v>135</v>
      </c>
      <c r="R16">
        <f>COUNTIFS(Tabla2[VARIEDAD],Q16)</f>
        <v>2</v>
      </c>
      <c r="U16" s="49"/>
    </row>
    <row r="17" spans="3:33" x14ac:dyDescent="0.2">
      <c r="C17" s="40">
        <v>20.054166299999999</v>
      </c>
      <c r="D17">
        <v>-102.2861541</v>
      </c>
      <c r="E17" t="str">
        <f>Tabla2[[#This Row],[UNIDAD DE MUESTREO]]</f>
        <v>VALLE DE ZAMORA</v>
      </c>
      <c r="F17" t="s">
        <v>108</v>
      </c>
      <c r="G17">
        <v>52</v>
      </c>
      <c r="H17" t="s">
        <v>40</v>
      </c>
      <c r="I17" t="s">
        <v>116</v>
      </c>
      <c r="J17" t="s">
        <v>110</v>
      </c>
      <c r="K17">
        <v>50.8</v>
      </c>
      <c r="L17">
        <v>25.080000000000002</v>
      </c>
      <c r="M17" s="41">
        <v>4.8</v>
      </c>
      <c r="O17" s="1"/>
      <c r="P17">
        <v>14</v>
      </c>
      <c r="Q17" t="s">
        <v>122</v>
      </c>
      <c r="R17">
        <f>COUNTIFS(Tabla2[VARIEDAD],Q17)</f>
        <v>2</v>
      </c>
      <c r="U17" s="50"/>
    </row>
    <row r="18" spans="3:33" x14ac:dyDescent="0.2">
      <c r="C18" s="40">
        <v>20.804821</v>
      </c>
      <c r="D18">
        <v>-101.345344</v>
      </c>
      <c r="E18" t="str">
        <f>Tabla2[[#This Row],[UNIDAD DE MUESTREO]]</f>
        <v>IRAPUATO</v>
      </c>
      <c r="F18" t="s">
        <v>133</v>
      </c>
      <c r="G18">
        <v>98</v>
      </c>
      <c r="H18" t="s">
        <v>83</v>
      </c>
      <c r="I18" t="s">
        <v>126</v>
      </c>
      <c r="J18" t="s">
        <v>137</v>
      </c>
      <c r="K18">
        <v>50.4</v>
      </c>
      <c r="L18">
        <v>50.4</v>
      </c>
      <c r="M18" s="41">
        <v>50.4</v>
      </c>
      <c r="O18" s="1"/>
      <c r="P18">
        <v>15</v>
      </c>
      <c r="Q18" t="s">
        <v>138</v>
      </c>
      <c r="R18">
        <f>COUNTIFS(Tabla2[VARIEDAD],Q18)</f>
        <v>2</v>
      </c>
      <c r="U18" s="53"/>
      <c r="V18" s="52" t="s">
        <v>733</v>
      </c>
      <c r="W18" s="52" t="s">
        <v>734</v>
      </c>
      <c r="X18" s="52" t="s">
        <v>755</v>
      </c>
      <c r="Y18" s="52" t="s">
        <v>736</v>
      </c>
      <c r="Z18" s="52" t="s">
        <v>737</v>
      </c>
      <c r="AA18" s="52" t="s">
        <v>739</v>
      </c>
      <c r="AB18" s="52" t="s">
        <v>738</v>
      </c>
      <c r="AC18" s="52" t="s">
        <v>740</v>
      </c>
      <c r="AD18" s="52" t="s">
        <v>741</v>
      </c>
      <c r="AE18" s="52" t="s">
        <v>742</v>
      </c>
      <c r="AF18" s="52" t="s">
        <v>743</v>
      </c>
      <c r="AG18" s="52" t="s">
        <v>744</v>
      </c>
    </row>
    <row r="19" spans="3:33" x14ac:dyDescent="0.2">
      <c r="C19" s="40">
        <v>20.041201000000001</v>
      </c>
      <c r="D19">
        <v>-102.27510599999999</v>
      </c>
      <c r="E19" t="str">
        <f>Tabla2[[#This Row],[UNIDAD DE MUESTREO]]</f>
        <v>VALLE DE ZAMORA</v>
      </c>
      <c r="F19" t="s">
        <v>108</v>
      </c>
      <c r="G19">
        <v>37.299999999999997</v>
      </c>
      <c r="H19" t="s">
        <v>679</v>
      </c>
      <c r="I19" t="s">
        <v>115</v>
      </c>
      <c r="J19" t="s">
        <v>110</v>
      </c>
      <c r="K19">
        <v>50.2</v>
      </c>
      <c r="L19">
        <v>34.6</v>
      </c>
      <c r="M19" s="41">
        <v>21.8</v>
      </c>
      <c r="O19" s="1"/>
      <c r="P19">
        <v>16</v>
      </c>
      <c r="Q19" t="s">
        <v>130</v>
      </c>
      <c r="R19">
        <f>COUNTIFS(Tabla2[VARIEDAD],Q19)</f>
        <v>2</v>
      </c>
      <c r="U19" s="54" t="s">
        <v>127</v>
      </c>
      <c r="V19" s="52">
        <v>0</v>
      </c>
      <c r="W19" s="52">
        <v>0</v>
      </c>
      <c r="X19" s="52">
        <v>0.36363636363636365</v>
      </c>
      <c r="Y19" s="52">
        <v>0.18181818181818182</v>
      </c>
      <c r="Z19" s="52">
        <v>0.18181818181818182</v>
      </c>
      <c r="AA19" s="52">
        <v>0</v>
      </c>
      <c r="AB19" s="52">
        <v>0</v>
      </c>
      <c r="AC19" s="52">
        <v>0</v>
      </c>
      <c r="AD19" s="52">
        <v>0</v>
      </c>
      <c r="AE19" s="52">
        <v>9.0909090909090912E-2</v>
      </c>
      <c r="AF19" s="52">
        <v>0</v>
      </c>
      <c r="AG19" s="52">
        <v>0.18181818181818182</v>
      </c>
    </row>
    <row r="20" spans="3:33" x14ac:dyDescent="0.2">
      <c r="C20" s="40">
        <v>20.002875</v>
      </c>
      <c r="D20">
        <v>-100.52784800000001</v>
      </c>
      <c r="E20" t="str">
        <f>Tabla2[[#This Row],[UNIDAD DE MUESTREO]]</f>
        <v>MARAVATIO</v>
      </c>
      <c r="F20" t="s">
        <v>129</v>
      </c>
      <c r="G20">
        <v>57</v>
      </c>
      <c r="H20" t="s">
        <v>45</v>
      </c>
      <c r="I20" t="s">
        <v>130</v>
      </c>
      <c r="J20" t="s">
        <v>110</v>
      </c>
      <c r="K20">
        <v>49.8</v>
      </c>
      <c r="L20">
        <v>28.72</v>
      </c>
      <c r="M20" s="41">
        <v>11.6</v>
      </c>
      <c r="O20" s="1"/>
      <c r="P20">
        <v>17</v>
      </c>
      <c r="Q20" t="s">
        <v>112</v>
      </c>
      <c r="R20">
        <f>COUNTIFS(Tabla2[VARIEDAD],Q20)</f>
        <v>1</v>
      </c>
      <c r="U20" s="53" t="s">
        <v>730</v>
      </c>
      <c r="V20" s="52">
        <v>0.15517241379310345</v>
      </c>
      <c r="W20" s="52">
        <v>6.8965517241379309E-2</v>
      </c>
      <c r="X20" s="52">
        <v>0.10344827586206896</v>
      </c>
      <c r="Y20" s="52">
        <v>0.10344827586206896</v>
      </c>
      <c r="Z20" s="52">
        <v>8.6206896551724144E-2</v>
      </c>
      <c r="AA20" s="52">
        <v>1.7241379310344827E-2</v>
      </c>
      <c r="AB20" s="52">
        <v>0.10344827586206896</v>
      </c>
      <c r="AC20" s="52">
        <v>0.10344827586206896</v>
      </c>
      <c r="AD20" s="52">
        <v>6.8965517241379309E-2</v>
      </c>
      <c r="AE20" s="52">
        <v>5.1724137931034482E-2</v>
      </c>
      <c r="AF20" s="52">
        <v>3.4482758620689655E-2</v>
      </c>
      <c r="AG20" s="52">
        <v>0.10344827586206896</v>
      </c>
    </row>
    <row r="21" spans="3:33" x14ac:dyDescent="0.2">
      <c r="C21" s="40">
        <v>20.806785000000001</v>
      </c>
      <c r="D21">
        <v>-101.341779</v>
      </c>
      <c r="E21" t="str">
        <f>Tabla2[[#This Row],[UNIDAD DE MUESTREO]]</f>
        <v>IRAPUATO</v>
      </c>
      <c r="F21" t="s">
        <v>133</v>
      </c>
      <c r="G21">
        <v>102</v>
      </c>
      <c r="H21" t="s">
        <v>87</v>
      </c>
      <c r="I21" t="s">
        <v>126</v>
      </c>
      <c r="J21" t="s">
        <v>137</v>
      </c>
      <c r="K21">
        <v>49.6</v>
      </c>
      <c r="L21">
        <v>49.6</v>
      </c>
      <c r="M21" s="41">
        <v>49.6</v>
      </c>
      <c r="O21" s="1"/>
      <c r="P21">
        <v>18</v>
      </c>
      <c r="Q21" t="s">
        <v>134</v>
      </c>
      <c r="R21">
        <f>COUNTIFS(Tabla2[VARIEDAD],Q21)</f>
        <v>1</v>
      </c>
      <c r="U21" s="54" t="s">
        <v>732</v>
      </c>
      <c r="V21" s="52">
        <v>0.22916666666666666</v>
      </c>
      <c r="W21" s="52">
        <v>0.52083333333333337</v>
      </c>
      <c r="X21" s="52">
        <v>0</v>
      </c>
      <c r="Y21" s="52">
        <v>0</v>
      </c>
      <c r="Z21" s="52">
        <v>0</v>
      </c>
      <c r="AA21" s="52">
        <v>2.0833333333333332E-2</v>
      </c>
      <c r="AB21" s="52">
        <v>0</v>
      </c>
      <c r="AC21" s="52">
        <v>0</v>
      </c>
      <c r="AD21" s="52">
        <v>2.0833333333333332E-2</v>
      </c>
      <c r="AE21" s="52">
        <v>4.1666666666666664E-2</v>
      </c>
      <c r="AF21" s="52">
        <v>4.1666666666666664E-2</v>
      </c>
      <c r="AG21" s="52">
        <v>0.125</v>
      </c>
    </row>
    <row r="22" spans="3:33" x14ac:dyDescent="0.2">
      <c r="C22" s="40">
        <v>20.069240300000001</v>
      </c>
      <c r="D22">
        <v>-102.2781511</v>
      </c>
      <c r="E22" t="str">
        <f>Tabla2[[#This Row],[UNIDAD DE MUESTREO]]</f>
        <v>VALLE DE ZAMORA</v>
      </c>
      <c r="F22" t="s">
        <v>108</v>
      </c>
      <c r="G22">
        <v>48.1</v>
      </c>
      <c r="H22" t="s">
        <v>691</v>
      </c>
      <c r="I22" t="s">
        <v>114</v>
      </c>
      <c r="J22" t="s">
        <v>110</v>
      </c>
      <c r="K22">
        <v>49.2</v>
      </c>
      <c r="L22">
        <v>34.4</v>
      </c>
      <c r="M22" s="41">
        <v>23.2</v>
      </c>
      <c r="O22" s="1"/>
      <c r="P22">
        <v>19</v>
      </c>
      <c r="Q22" t="s">
        <v>113</v>
      </c>
      <c r="R22">
        <f>COUNTIFS(Tabla2[VARIEDAD],Q22)</f>
        <v>1</v>
      </c>
      <c r="U22" s="53" t="s">
        <v>731</v>
      </c>
      <c r="V22" s="52">
        <v>0.56521739130434778</v>
      </c>
      <c r="W22" s="52">
        <v>4.3478260869565216E-2</v>
      </c>
      <c r="X22" s="52">
        <v>4.3478260869565216E-2</v>
      </c>
      <c r="Y22" s="52">
        <v>0</v>
      </c>
      <c r="Z22" s="52">
        <v>4.3478260869565216E-2</v>
      </c>
      <c r="AA22" s="52">
        <v>0.21739130434782608</v>
      </c>
      <c r="AB22" s="52">
        <v>0</v>
      </c>
      <c r="AC22" s="52">
        <v>0</v>
      </c>
      <c r="AD22" s="52">
        <v>4.3478260869565216E-2</v>
      </c>
      <c r="AE22" s="52">
        <v>0</v>
      </c>
      <c r="AF22" s="52">
        <v>0</v>
      </c>
      <c r="AG22" s="52">
        <v>4.3478260869565216E-2</v>
      </c>
    </row>
    <row r="23" spans="3:33" x14ac:dyDescent="0.2">
      <c r="C23" s="40">
        <v>20.035675999999999</v>
      </c>
      <c r="D23">
        <v>-102.33930599999999</v>
      </c>
      <c r="E23" t="str">
        <f>Tabla2[[#This Row],[UNIDAD DE MUESTREO]]</f>
        <v>VALLE DE ZAMORA</v>
      </c>
      <c r="F23" t="s">
        <v>108</v>
      </c>
      <c r="G23">
        <v>54</v>
      </c>
      <c r="H23" t="s">
        <v>42</v>
      </c>
      <c r="I23" t="s">
        <v>114</v>
      </c>
      <c r="J23" t="s">
        <v>110</v>
      </c>
      <c r="K23">
        <v>45.6</v>
      </c>
      <c r="L23">
        <v>31.880000000000003</v>
      </c>
      <c r="M23" s="41">
        <v>18</v>
      </c>
      <c r="O23" s="1"/>
      <c r="P23">
        <v>20</v>
      </c>
      <c r="Q23" t="s">
        <v>120</v>
      </c>
      <c r="R23">
        <f>COUNTIFS(Tabla2[VARIEDAD],Q23)</f>
        <v>1</v>
      </c>
      <c r="U23" s="50"/>
    </row>
    <row r="24" spans="3:33" x14ac:dyDescent="0.2">
      <c r="C24" s="40">
        <v>20.001427</v>
      </c>
      <c r="D24">
        <v>-102.263105</v>
      </c>
      <c r="E24" t="str">
        <f>Tabla2[[#This Row],[UNIDAD DE MUESTREO]]</f>
        <v>VALLE DE ZAMORA</v>
      </c>
      <c r="F24" t="s">
        <v>108</v>
      </c>
      <c r="G24">
        <v>41</v>
      </c>
      <c r="H24" t="s">
        <v>37</v>
      </c>
      <c r="I24" t="s">
        <v>126</v>
      </c>
      <c r="J24" t="s">
        <v>110</v>
      </c>
      <c r="K24">
        <v>44.8</v>
      </c>
      <c r="L24">
        <v>31.880000000000003</v>
      </c>
      <c r="M24" s="41">
        <v>19.8</v>
      </c>
      <c r="O24" s="1"/>
      <c r="P24">
        <v>21</v>
      </c>
      <c r="Q24" t="s">
        <v>128</v>
      </c>
      <c r="R24">
        <f>COUNTIFS(Tabla2[VARIEDAD],Q24)</f>
        <v>1</v>
      </c>
      <c r="U24" s="49"/>
    </row>
    <row r="25" spans="3:33" x14ac:dyDescent="0.2">
      <c r="C25" s="40">
        <v>19.967352399999999</v>
      </c>
      <c r="D25">
        <v>-102.3361032</v>
      </c>
      <c r="E25" t="str">
        <f>Tabla2[[#This Row],[UNIDAD DE MUESTREO]]</f>
        <v>VALLE DE ZAMORA</v>
      </c>
      <c r="F25" t="s">
        <v>108</v>
      </c>
      <c r="G25">
        <v>24</v>
      </c>
      <c r="H25" t="s">
        <v>673</v>
      </c>
      <c r="I25" t="s">
        <v>109</v>
      </c>
      <c r="J25" t="s">
        <v>110</v>
      </c>
      <c r="K25">
        <v>43</v>
      </c>
      <c r="L25">
        <v>35.760000000000005</v>
      </c>
      <c r="M25" s="41">
        <v>25.6</v>
      </c>
      <c r="O25" s="1"/>
    </row>
    <row r="26" spans="3:33" x14ac:dyDescent="0.2">
      <c r="C26" s="40">
        <v>20.041086</v>
      </c>
      <c r="D26">
        <v>-102.274415</v>
      </c>
      <c r="E26" t="str">
        <f>Tabla2[[#This Row],[UNIDAD DE MUESTREO]]</f>
        <v>VALLE DE ZAMORA</v>
      </c>
      <c r="F26" t="s">
        <v>108</v>
      </c>
      <c r="G26">
        <v>37.200000000000003</v>
      </c>
      <c r="H26" t="s">
        <v>647</v>
      </c>
      <c r="I26" t="s">
        <v>115</v>
      </c>
      <c r="J26" t="s">
        <v>110</v>
      </c>
      <c r="K26">
        <v>42</v>
      </c>
      <c r="L26">
        <v>15.12</v>
      </c>
      <c r="M26" s="41">
        <v>4.5999999999999996</v>
      </c>
      <c r="O26" s="1"/>
      <c r="R26">
        <f>SUM(R4:R25)</f>
        <v>140</v>
      </c>
    </row>
    <row r="27" spans="3:33" x14ac:dyDescent="0.2">
      <c r="C27" s="40">
        <v>19.997741000000001</v>
      </c>
      <c r="D27">
        <v>-102.33494</v>
      </c>
      <c r="E27" t="str">
        <f>Tabla2[[#This Row],[UNIDAD DE MUESTREO]]</f>
        <v>VALLE DE ZAMORA</v>
      </c>
      <c r="F27" t="s">
        <v>108</v>
      </c>
      <c r="G27">
        <v>43</v>
      </c>
      <c r="H27" t="s">
        <v>686</v>
      </c>
      <c r="I27" t="s">
        <v>109</v>
      </c>
      <c r="J27" t="s">
        <v>110</v>
      </c>
      <c r="K27">
        <v>39.200000000000003</v>
      </c>
      <c r="L27">
        <v>35.56</v>
      </c>
      <c r="M27" s="41">
        <v>28.2</v>
      </c>
      <c r="O27" s="1"/>
    </row>
    <row r="28" spans="3:33" x14ac:dyDescent="0.2">
      <c r="C28" s="40">
        <v>20.769235999999999</v>
      </c>
      <c r="D28">
        <v>-101.36295699999999</v>
      </c>
      <c r="E28" t="str">
        <f>Tabla2[[#This Row],[UNIDAD DE MUESTREO]]</f>
        <v>IRAPUATO</v>
      </c>
      <c r="F28" t="s">
        <v>133</v>
      </c>
      <c r="G28">
        <v>94.1</v>
      </c>
      <c r="H28" t="s">
        <v>706</v>
      </c>
      <c r="I28" t="s">
        <v>114</v>
      </c>
      <c r="J28" t="s">
        <v>137</v>
      </c>
      <c r="K28">
        <v>39.200000000000003</v>
      </c>
      <c r="L28">
        <v>29.720000000000006</v>
      </c>
      <c r="M28" s="41">
        <v>22</v>
      </c>
      <c r="O28" s="1"/>
    </row>
    <row r="29" spans="3:33" x14ac:dyDescent="0.2">
      <c r="C29" s="40">
        <v>20.037233000000001</v>
      </c>
      <c r="D29">
        <v>-100.539064</v>
      </c>
      <c r="E29" t="str">
        <f>Tabla2[[#This Row],[UNIDAD DE MUESTREO]]</f>
        <v>MARAVATIO</v>
      </c>
      <c r="F29" t="s">
        <v>129</v>
      </c>
      <c r="G29">
        <v>62</v>
      </c>
      <c r="H29" t="s">
        <v>50</v>
      </c>
      <c r="I29" t="s">
        <v>126</v>
      </c>
      <c r="J29" t="s">
        <v>110</v>
      </c>
      <c r="K29">
        <v>38.6</v>
      </c>
      <c r="L29">
        <v>20.72</v>
      </c>
      <c r="M29" s="41">
        <v>12</v>
      </c>
      <c r="O29" s="1"/>
    </row>
    <row r="30" spans="3:33" x14ac:dyDescent="0.2">
      <c r="C30" s="40">
        <v>19.996503000000001</v>
      </c>
      <c r="D30">
        <v>-102.335532</v>
      </c>
      <c r="E30" t="str">
        <f>Tabla2[[#This Row],[UNIDAD DE MUESTREO]]</f>
        <v>VALLE DE ZAMORA</v>
      </c>
      <c r="F30" t="s">
        <v>108</v>
      </c>
      <c r="G30">
        <v>44</v>
      </c>
      <c r="H30" t="s">
        <v>687</v>
      </c>
      <c r="I30" t="s">
        <v>138</v>
      </c>
      <c r="J30" t="s">
        <v>110</v>
      </c>
      <c r="K30">
        <v>38.200000000000003</v>
      </c>
      <c r="L30">
        <v>14.76</v>
      </c>
      <c r="M30" s="41">
        <v>0.2</v>
      </c>
      <c r="O30" s="1"/>
      <c r="W30" t="s">
        <v>745</v>
      </c>
      <c r="X30" t="s">
        <v>746</v>
      </c>
      <c r="Y30" t="s">
        <v>747</v>
      </c>
      <c r="AC30" t="s">
        <v>745</v>
      </c>
      <c r="AD30" t="s">
        <v>746</v>
      </c>
      <c r="AE30" t="s">
        <v>747</v>
      </c>
    </row>
    <row r="31" spans="3:33" x14ac:dyDescent="0.2">
      <c r="C31" s="40">
        <v>19.953457</v>
      </c>
      <c r="D31">
        <v>-100.43791899999999</v>
      </c>
      <c r="E31" t="str">
        <f>Tabla2[[#This Row],[UNIDAD DE MUESTREO]]</f>
        <v>MARAVATIO</v>
      </c>
      <c r="F31" t="s">
        <v>129</v>
      </c>
      <c r="G31">
        <v>70</v>
      </c>
      <c r="H31" t="s">
        <v>58</v>
      </c>
      <c r="I31" t="s">
        <v>114</v>
      </c>
      <c r="J31" t="s">
        <v>110</v>
      </c>
      <c r="K31">
        <v>37</v>
      </c>
      <c r="L31">
        <v>17.079999999999998</v>
      </c>
      <c r="M31" s="41">
        <v>3.2</v>
      </c>
      <c r="O31" s="1"/>
      <c r="V31" t="s">
        <v>114</v>
      </c>
      <c r="W31" s="55">
        <f>(SUMIF(Tabla2[VARIEDAD],V31,Tabla2[[INCIDENCIA ]])/Z4)</f>
        <v>28.7939393939394</v>
      </c>
      <c r="X31" s="55">
        <f>(SUMIF(Tabla2[VARIEDAD],V31,Tabla2[SEVERIDAD])/Z4)</f>
        <v>21.227878787878794</v>
      </c>
      <c r="Y31" s="55">
        <f>(SUMIF(Tabla2[VARIEDAD],V31,Tabla2[MORTALIDAD])/Z4)</f>
        <v>14.006060606060602</v>
      </c>
      <c r="AA31" t="s">
        <v>733</v>
      </c>
      <c r="AB31" t="s">
        <v>114</v>
      </c>
      <c r="AC31" s="52">
        <f>W31/100</f>
        <v>0.28793939393939399</v>
      </c>
      <c r="AD31" s="52">
        <f t="shared" ref="AD31:AE31" si="0">X31/100</f>
        <v>0.21227878787878793</v>
      </c>
      <c r="AE31" s="52">
        <f t="shared" si="0"/>
        <v>0.14006060606060602</v>
      </c>
    </row>
    <row r="32" spans="3:33" x14ac:dyDescent="0.2">
      <c r="C32" s="40">
        <v>19.970998399999999</v>
      </c>
      <c r="D32">
        <v>-102.3409114</v>
      </c>
      <c r="E32" t="str">
        <f>Tabla2[[#This Row],[UNIDAD DE MUESTREO]]</f>
        <v>VALLE DE ZAMORA</v>
      </c>
      <c r="F32" t="s">
        <v>108</v>
      </c>
      <c r="G32">
        <v>18</v>
      </c>
      <c r="H32" t="s">
        <v>667</v>
      </c>
      <c r="I32" t="s">
        <v>118</v>
      </c>
      <c r="J32" t="s">
        <v>110</v>
      </c>
      <c r="K32">
        <v>35.6</v>
      </c>
      <c r="L32">
        <v>18.119999999999997</v>
      </c>
      <c r="M32" s="41">
        <v>0</v>
      </c>
      <c r="O32" s="1"/>
      <c r="V32" t="s">
        <v>126</v>
      </c>
      <c r="W32" s="55">
        <f>(SUMIF(Tabla2[VARIEDAD],V32,Tabla2[[INCIDENCIA ]])/Z5)</f>
        <v>23.666666666666664</v>
      </c>
      <c r="X32" s="55">
        <f>(SUMIF(Tabla2[VARIEDAD],V32,Tabla2[SEVERIDAD])/Z5)</f>
        <v>19.353333333333328</v>
      </c>
      <c r="Y32" s="55">
        <f>(SUMIF(Tabla2[VARIEDAD],V32,Tabla2[MORTALIDAD])/Z5)</f>
        <v>15.326666666666666</v>
      </c>
      <c r="AA32" t="s">
        <v>734</v>
      </c>
      <c r="AB32" t="s">
        <v>126</v>
      </c>
      <c r="AC32" s="52">
        <f t="shared" ref="AC32:AC52" si="1">W32/100</f>
        <v>0.23666666666666664</v>
      </c>
      <c r="AD32" s="52">
        <f t="shared" ref="AD32:AD52" si="2">X32/100</f>
        <v>0.19353333333333328</v>
      </c>
      <c r="AE32" s="52">
        <f t="shared" ref="AE32:AE52" si="3">Y32/100</f>
        <v>0.15326666666666666</v>
      </c>
    </row>
    <row r="33" spans="3:45" x14ac:dyDescent="0.2">
      <c r="C33" s="40">
        <v>20.58400799</v>
      </c>
      <c r="D33">
        <v>-101.40580749999999</v>
      </c>
      <c r="E33" t="str">
        <f>Tabla2[[#This Row],[UNIDAD DE MUESTREO]]</f>
        <v>IRAPUATO</v>
      </c>
      <c r="F33" t="s">
        <v>133</v>
      </c>
      <c r="G33">
        <v>32</v>
      </c>
      <c r="H33" t="s">
        <v>28</v>
      </c>
      <c r="I33" t="s">
        <v>136</v>
      </c>
      <c r="J33" t="s">
        <v>110</v>
      </c>
      <c r="K33">
        <v>35.6</v>
      </c>
      <c r="L33">
        <v>30.76</v>
      </c>
      <c r="M33" s="41">
        <v>25</v>
      </c>
      <c r="O33" s="1"/>
      <c r="V33" t="s">
        <v>116</v>
      </c>
      <c r="W33" s="55">
        <f>(SUMIF(Tabla2[VARIEDAD],V33,Tabla2[[INCIDENCIA ]])/Z6)</f>
        <v>10.945454545454545</v>
      </c>
      <c r="X33" s="55">
        <f>(SUMIF(Tabla2[VARIEDAD],V33,Tabla2[SEVERIDAD])/Z6)</f>
        <v>5.2072727272727271</v>
      </c>
      <c r="Y33" s="55">
        <f>(SUMIF(Tabla2[VARIEDAD],V33,Tabla2[MORTALIDAD])/Z6)</f>
        <v>1.1545454545454545</v>
      </c>
      <c r="AA33" t="s">
        <v>755</v>
      </c>
      <c r="AB33" t="s">
        <v>116</v>
      </c>
      <c r="AC33" s="52">
        <f t="shared" si="1"/>
        <v>0.10945454545454546</v>
      </c>
      <c r="AD33" s="52">
        <f t="shared" si="2"/>
        <v>5.2072727272727271E-2</v>
      </c>
      <c r="AE33" s="52">
        <f t="shared" si="3"/>
        <v>1.1545454545454546E-2</v>
      </c>
    </row>
    <row r="34" spans="3:45" x14ac:dyDescent="0.2">
      <c r="C34" s="40">
        <v>20.5838915</v>
      </c>
      <c r="D34">
        <v>-101.4070718</v>
      </c>
      <c r="E34" t="str">
        <f>Tabla2[[#This Row],[UNIDAD DE MUESTREO]]</f>
        <v>IRAPUATO</v>
      </c>
      <c r="F34" t="s">
        <v>133</v>
      </c>
      <c r="G34">
        <v>33</v>
      </c>
      <c r="H34" t="s">
        <v>29</v>
      </c>
      <c r="I34" t="s">
        <v>126</v>
      </c>
      <c r="J34" t="s">
        <v>110</v>
      </c>
      <c r="K34">
        <v>34.799999999999997</v>
      </c>
      <c r="L34">
        <v>22.720000000000002</v>
      </c>
      <c r="M34" s="41">
        <v>11.8</v>
      </c>
      <c r="O34" s="1"/>
      <c r="V34" t="s">
        <v>83</v>
      </c>
      <c r="W34" s="55">
        <f>(SUMIF(Tabla2[VARIEDAD],V34,Tabla2[[INCIDENCIA ]])/Z7)</f>
        <v>14.924999999999999</v>
      </c>
      <c r="X34" s="55">
        <f>(SUMIF(Tabla2[VARIEDAD],V34,Tabla2[SEVERIDAD])/Z7)</f>
        <v>9.07</v>
      </c>
      <c r="Y34" s="55">
        <f>(SUMIF(Tabla2[VARIEDAD],V34,Tabla2[MORTALIDAD])/Z7)</f>
        <v>3.7749999999999995</v>
      </c>
      <c r="AA34" t="s">
        <v>736</v>
      </c>
      <c r="AB34" t="s">
        <v>83</v>
      </c>
      <c r="AC34" s="52">
        <f t="shared" si="1"/>
        <v>0.14924999999999999</v>
      </c>
      <c r="AD34" s="52">
        <f t="shared" si="2"/>
        <v>9.0700000000000003E-2</v>
      </c>
      <c r="AE34" s="52">
        <f t="shared" si="3"/>
        <v>3.7749999999999992E-2</v>
      </c>
    </row>
    <row r="35" spans="3:45" x14ac:dyDescent="0.2">
      <c r="C35" s="40">
        <v>19.9714852</v>
      </c>
      <c r="D35">
        <v>-102.3407136</v>
      </c>
      <c r="E35" t="str">
        <f>Tabla2[[#This Row],[UNIDAD DE MUESTREO]]</f>
        <v>VALLE DE ZAMORA</v>
      </c>
      <c r="F35" t="s">
        <v>108</v>
      </c>
      <c r="G35">
        <v>19</v>
      </c>
      <c r="H35" t="s">
        <v>668</v>
      </c>
      <c r="I35" t="s">
        <v>118</v>
      </c>
      <c r="J35" t="s">
        <v>110</v>
      </c>
      <c r="K35">
        <v>34.6</v>
      </c>
      <c r="L35">
        <v>15.959999999999999</v>
      </c>
      <c r="M35" s="41">
        <v>4.5999999999999996</v>
      </c>
      <c r="O35" s="1"/>
      <c r="V35" t="s">
        <v>111</v>
      </c>
      <c r="W35" s="55">
        <f>(SUMIF(Tabla2[VARIEDAD],V35,Tabla2[[INCIDENCIA ]])/Z8)</f>
        <v>7.5250000000000004</v>
      </c>
      <c r="X35" s="55">
        <f>(SUMIF(Tabla2[VARIEDAD],V35,Tabla2[SEVERIDAD])/Z8)</f>
        <v>4.4200000000000008</v>
      </c>
      <c r="Y35" s="55">
        <f>(SUMIF(Tabla2[VARIEDAD],V35,Tabla2[MORTALIDAD])/Z8)</f>
        <v>1.6249999999999998</v>
      </c>
      <c r="AA35" t="s">
        <v>737</v>
      </c>
      <c r="AB35" t="s">
        <v>111</v>
      </c>
      <c r="AC35" s="52">
        <f t="shared" si="1"/>
        <v>7.5249999999999997E-2</v>
      </c>
      <c r="AD35" s="52">
        <f t="shared" si="2"/>
        <v>4.420000000000001E-2</v>
      </c>
      <c r="AE35" s="52">
        <f t="shared" si="3"/>
        <v>1.6249999999999997E-2</v>
      </c>
    </row>
    <row r="36" spans="3:45" x14ac:dyDescent="0.2">
      <c r="C36" s="40">
        <v>19.908975999999999</v>
      </c>
      <c r="D36">
        <v>-100.39036299999999</v>
      </c>
      <c r="E36" t="str">
        <f>Tabla2[[#This Row],[UNIDAD DE MUESTREO]]</f>
        <v>MARAVATIO</v>
      </c>
      <c r="F36" t="s">
        <v>129</v>
      </c>
      <c r="G36">
        <v>64</v>
      </c>
      <c r="H36" t="s">
        <v>52</v>
      </c>
      <c r="I36" t="s">
        <v>114</v>
      </c>
      <c r="J36" t="s">
        <v>110</v>
      </c>
      <c r="K36">
        <v>34.4</v>
      </c>
      <c r="L36">
        <v>21.72</v>
      </c>
      <c r="M36" s="41">
        <v>11.4</v>
      </c>
      <c r="O36" s="1"/>
      <c r="V36" t="s">
        <v>131</v>
      </c>
      <c r="W36" s="55">
        <f>(SUMIF(Tabla2[VARIEDAD],V36,Tabla2[[INCIDENCIA ]])/Z9)</f>
        <v>29.571428571428573</v>
      </c>
      <c r="X36" s="55">
        <f>(SUMIF(Tabla2[VARIEDAD],V36,Tabla2[SEVERIDAD])/Z9)</f>
        <v>17.817142857142859</v>
      </c>
      <c r="Y36" s="55">
        <f>(SUMIF(Tabla2[VARIEDAD],V36,Tabla2[MORTALIDAD])/Z9)</f>
        <v>7.3142857142857141</v>
      </c>
      <c r="AA36" t="s">
        <v>739</v>
      </c>
      <c r="AB36" t="s">
        <v>131</v>
      </c>
      <c r="AC36" s="52">
        <f t="shared" si="1"/>
        <v>0.29571428571428571</v>
      </c>
      <c r="AD36" s="52">
        <f t="shared" si="2"/>
        <v>0.17817142857142859</v>
      </c>
      <c r="AE36" s="52">
        <f t="shared" si="3"/>
        <v>7.3142857142857134E-2</v>
      </c>
    </row>
    <row r="37" spans="3:45" x14ac:dyDescent="0.2">
      <c r="C37" s="40">
        <v>20.591409800000001</v>
      </c>
      <c r="D37">
        <v>-101.42056169999999</v>
      </c>
      <c r="E37" t="str">
        <f>Tabla2[[#This Row],[UNIDAD DE MUESTREO]]</f>
        <v>IRAPUATO</v>
      </c>
      <c r="F37" t="s">
        <v>133</v>
      </c>
      <c r="G37">
        <v>30</v>
      </c>
      <c r="H37" t="s">
        <v>26</v>
      </c>
      <c r="I37" t="s">
        <v>126</v>
      </c>
      <c r="J37" t="s">
        <v>110</v>
      </c>
      <c r="K37">
        <v>33.4</v>
      </c>
      <c r="L37">
        <v>24.04</v>
      </c>
      <c r="M37" s="41">
        <v>13</v>
      </c>
      <c r="O37" s="1"/>
      <c r="V37" t="s">
        <v>115</v>
      </c>
      <c r="W37" s="55">
        <f>(SUMIF(Tabla2[VARIEDAD],V37,Tabla2[[INCIDENCIA ]])/Z10)</f>
        <v>24.8</v>
      </c>
      <c r="X37" s="55">
        <f>(SUMIF(Tabla2[VARIEDAD],V37,Tabla2[SEVERIDAD])/Z10)</f>
        <v>13.540000000000001</v>
      </c>
      <c r="Y37" s="55">
        <f>(SUMIF(Tabla2[VARIEDAD],V37,Tabla2[MORTALIDAD])/Z10)</f>
        <v>6.291666666666667</v>
      </c>
      <c r="AA37" t="s">
        <v>738</v>
      </c>
      <c r="AB37" t="s">
        <v>115</v>
      </c>
      <c r="AC37" s="52">
        <f t="shared" si="1"/>
        <v>0.248</v>
      </c>
      <c r="AD37" s="52">
        <f t="shared" si="2"/>
        <v>0.13540000000000002</v>
      </c>
      <c r="AE37" s="52">
        <f t="shared" si="3"/>
        <v>6.2916666666666676E-2</v>
      </c>
    </row>
    <row r="38" spans="3:45" x14ac:dyDescent="0.2">
      <c r="C38" s="40">
        <v>20.582831899999999</v>
      </c>
      <c r="D38">
        <v>-101.4066665</v>
      </c>
      <c r="E38" t="str">
        <f>Tabla2[[#This Row],[UNIDAD DE MUESTREO]]</f>
        <v>IRAPUATO</v>
      </c>
      <c r="F38" t="s">
        <v>133</v>
      </c>
      <c r="G38">
        <v>34</v>
      </c>
      <c r="H38" t="s">
        <v>30</v>
      </c>
      <c r="I38" t="s">
        <v>126</v>
      </c>
      <c r="J38" t="s">
        <v>110</v>
      </c>
      <c r="K38">
        <v>33.200000000000003</v>
      </c>
      <c r="L38">
        <v>26.6</v>
      </c>
      <c r="M38" s="41">
        <v>19.399999999999999</v>
      </c>
      <c r="O38" s="1"/>
      <c r="V38" t="s">
        <v>109</v>
      </c>
      <c r="W38" s="55">
        <f>(SUMIF(Tabla2[VARIEDAD],V38,Tabla2[[INCIDENCIA ]])/Z11)</f>
        <v>25.166666666666668</v>
      </c>
      <c r="X38" s="55">
        <f>(SUMIF(Tabla2[VARIEDAD],V38,Tabla2[SEVERIDAD])/Z11)</f>
        <v>20.62</v>
      </c>
      <c r="Y38" s="55">
        <f>(SUMIF(Tabla2[VARIEDAD],V38,Tabla2[MORTALIDAD])/Z11)</f>
        <v>14.133333333333333</v>
      </c>
      <c r="AA38" t="s">
        <v>740</v>
      </c>
      <c r="AB38" t="s">
        <v>109</v>
      </c>
      <c r="AC38" s="52">
        <f t="shared" si="1"/>
        <v>0.25166666666666671</v>
      </c>
      <c r="AD38" s="52">
        <f t="shared" si="2"/>
        <v>0.20620000000000002</v>
      </c>
      <c r="AE38" s="52">
        <f t="shared" si="3"/>
        <v>0.14133333333333334</v>
      </c>
    </row>
    <row r="39" spans="3:45" x14ac:dyDescent="0.2">
      <c r="C39" s="40">
        <v>20.821937999999999</v>
      </c>
      <c r="D39">
        <v>-101.33495000000001</v>
      </c>
      <c r="E39" t="str">
        <f>Tabla2[[#This Row],[UNIDAD DE MUESTREO]]</f>
        <v>IRAPUATO</v>
      </c>
      <c r="F39" t="s">
        <v>133</v>
      </c>
      <c r="G39">
        <v>108</v>
      </c>
      <c r="H39" t="s">
        <v>93</v>
      </c>
      <c r="I39" t="s">
        <v>126</v>
      </c>
      <c r="J39" t="s">
        <v>137</v>
      </c>
      <c r="K39">
        <v>32.4</v>
      </c>
      <c r="L39">
        <v>31.639999999999997</v>
      </c>
      <c r="M39" s="41">
        <v>31</v>
      </c>
      <c r="O39" s="1"/>
      <c r="U39" s="49"/>
      <c r="V39" t="s">
        <v>118</v>
      </c>
      <c r="W39" s="55">
        <f>(SUMIF(Tabla2[VARIEDAD],V39,Tabla2[[INCIDENCIA ]])/Z12)</f>
        <v>18.766666666666669</v>
      </c>
      <c r="X39" s="55">
        <f>(SUMIF(Tabla2[VARIEDAD],V39,Tabla2[SEVERIDAD])/Z12)</f>
        <v>11.340000000000002</v>
      </c>
      <c r="Y39" s="55">
        <f>(SUMIF(Tabla2[VARIEDAD],V39,Tabla2[MORTALIDAD])/Z12)</f>
        <v>4.6166666666666663</v>
      </c>
      <c r="AA39" t="s">
        <v>741</v>
      </c>
      <c r="AB39" t="s">
        <v>118</v>
      </c>
      <c r="AC39" s="52">
        <f t="shared" si="1"/>
        <v>0.1876666666666667</v>
      </c>
      <c r="AD39" s="52">
        <f t="shared" si="2"/>
        <v>0.11340000000000001</v>
      </c>
      <c r="AE39" s="52">
        <f t="shared" si="3"/>
        <v>4.6166666666666661E-2</v>
      </c>
    </row>
    <row r="40" spans="3:45" x14ac:dyDescent="0.2">
      <c r="C40" s="40">
        <v>20.062991</v>
      </c>
      <c r="D40">
        <v>-102.254803</v>
      </c>
      <c r="E40" t="str">
        <f>Tabla2[[#This Row],[UNIDAD DE MUESTREO]]</f>
        <v>VALLE DE ZAMORA</v>
      </c>
      <c r="F40" t="s">
        <v>108</v>
      </c>
      <c r="G40">
        <v>38.200000000000003</v>
      </c>
      <c r="H40" t="s">
        <v>682</v>
      </c>
      <c r="I40" t="s">
        <v>114</v>
      </c>
      <c r="J40" t="s">
        <v>110</v>
      </c>
      <c r="K40">
        <v>32.200000000000003</v>
      </c>
      <c r="L40">
        <v>16.04</v>
      </c>
      <c r="M40" s="41">
        <v>4.4000000000000004</v>
      </c>
      <c r="O40" s="1"/>
      <c r="U40" s="50"/>
      <c r="V40" t="s">
        <v>119</v>
      </c>
      <c r="W40" s="55">
        <f>(SUMIF(Tabla2[VARIEDAD],V40,Tabla2[[INCIDENCIA ]])/Z13)</f>
        <v>8</v>
      </c>
      <c r="X40" s="55">
        <f>(SUMIF(Tabla2[VARIEDAD],V40,Tabla2[SEVERIDAD])/Z13)</f>
        <v>4.0999999999999996</v>
      </c>
      <c r="Y40" s="55">
        <f>(SUMIF(Tabla2[VARIEDAD],V40,Tabla2[MORTALIDAD])/Z13)</f>
        <v>1.4666666666666668</v>
      </c>
      <c r="AA40" t="s">
        <v>742</v>
      </c>
      <c r="AB40" t="s">
        <v>119</v>
      </c>
      <c r="AC40" s="52">
        <f t="shared" si="1"/>
        <v>0.08</v>
      </c>
      <c r="AD40" s="52">
        <f t="shared" si="2"/>
        <v>4.0999999999999995E-2</v>
      </c>
      <c r="AE40" s="52">
        <f t="shared" si="3"/>
        <v>1.4666666666666668E-2</v>
      </c>
    </row>
    <row r="41" spans="3:45" x14ac:dyDescent="0.2">
      <c r="C41" s="40">
        <v>20.028368400000002</v>
      </c>
      <c r="D41">
        <v>-102.2924824</v>
      </c>
      <c r="E41" t="str">
        <f>Tabla2[[#This Row],[UNIDAD DE MUESTREO]]</f>
        <v>VALLE DE ZAMORA</v>
      </c>
      <c r="F41" t="s">
        <v>108</v>
      </c>
      <c r="G41">
        <v>56.1</v>
      </c>
      <c r="H41" t="s">
        <v>696</v>
      </c>
      <c r="I41" t="s">
        <v>83</v>
      </c>
      <c r="J41" t="s">
        <v>110</v>
      </c>
      <c r="K41">
        <v>32</v>
      </c>
      <c r="L41">
        <v>18.600000000000001</v>
      </c>
      <c r="M41" s="41">
        <v>6.5</v>
      </c>
      <c r="O41" s="1"/>
      <c r="U41" s="49"/>
      <c r="V41" t="s">
        <v>125</v>
      </c>
      <c r="W41" s="55">
        <f>(SUMIF(Tabla2[VARIEDAD],V41,Tabla2[[INCIDENCIA ]])/Z14)</f>
        <v>35.450000000000003</v>
      </c>
      <c r="X41" s="55">
        <f>(SUMIF(Tabla2[VARIEDAD],V41,Tabla2[SEVERIDAD])/Z14)</f>
        <v>23.159999999999997</v>
      </c>
      <c r="Y41" s="55">
        <f>(SUMIF(Tabla2[VARIEDAD],V41,Tabla2[MORTALIDAD])/Z14)</f>
        <v>12.3</v>
      </c>
      <c r="AA41" t="s">
        <v>743</v>
      </c>
      <c r="AB41" t="s">
        <v>125</v>
      </c>
      <c r="AC41" s="52">
        <f t="shared" si="1"/>
        <v>0.35450000000000004</v>
      </c>
      <c r="AD41" s="52">
        <f t="shared" si="2"/>
        <v>0.23159999999999997</v>
      </c>
      <c r="AE41" s="52">
        <f t="shared" si="3"/>
        <v>0.12300000000000001</v>
      </c>
    </row>
    <row r="42" spans="3:45" x14ac:dyDescent="0.2">
      <c r="C42" s="40">
        <v>20.028368400000002</v>
      </c>
      <c r="D42">
        <v>-102.2924824</v>
      </c>
      <c r="E42" t="str">
        <f>Tabla2[[#This Row],[UNIDAD DE MUESTREO]]</f>
        <v>VALLE DE ZAMORA</v>
      </c>
      <c r="F42" t="s">
        <v>108</v>
      </c>
      <c r="G42">
        <v>56.2</v>
      </c>
      <c r="H42" t="s">
        <v>697</v>
      </c>
      <c r="I42" t="s">
        <v>83</v>
      </c>
      <c r="J42" t="s">
        <v>110</v>
      </c>
      <c r="K42">
        <v>32</v>
      </c>
      <c r="L42">
        <v>18.600000000000001</v>
      </c>
      <c r="M42" s="41">
        <v>6.5</v>
      </c>
      <c r="O42" s="1"/>
      <c r="V42" t="s">
        <v>728</v>
      </c>
      <c r="W42" s="55">
        <v>18</v>
      </c>
      <c r="X42" s="55">
        <v>11.213333333333331</v>
      </c>
      <c r="Y42" s="55">
        <v>6.2233333333333327</v>
      </c>
      <c r="AA42" t="s">
        <v>744</v>
      </c>
      <c r="AB42" t="s">
        <v>728</v>
      </c>
      <c r="AC42" s="52">
        <f t="shared" si="1"/>
        <v>0.18</v>
      </c>
      <c r="AD42" s="52">
        <f t="shared" si="2"/>
        <v>0.11213333333333331</v>
      </c>
      <c r="AE42" s="52">
        <f t="shared" si="3"/>
        <v>6.2233333333333328E-2</v>
      </c>
    </row>
    <row r="43" spans="3:45" x14ac:dyDescent="0.2">
      <c r="C43" s="40">
        <v>19.917223</v>
      </c>
      <c r="D43">
        <v>-100.44297</v>
      </c>
      <c r="E43" t="str">
        <f>Tabla2[[#This Row],[UNIDAD DE MUESTREO]]</f>
        <v>MARAVATIO</v>
      </c>
      <c r="F43" t="s">
        <v>129</v>
      </c>
      <c r="G43">
        <v>73</v>
      </c>
      <c r="H43" t="s">
        <v>62</v>
      </c>
      <c r="I43" t="s">
        <v>131</v>
      </c>
      <c r="J43" t="s">
        <v>110</v>
      </c>
      <c r="K43">
        <v>32</v>
      </c>
      <c r="L43">
        <v>16.12</v>
      </c>
      <c r="M43" s="41">
        <v>2</v>
      </c>
      <c r="O43" s="1"/>
      <c r="V43" t="s">
        <v>136</v>
      </c>
      <c r="W43" s="55">
        <f>SUMIF(Tabla2[VARIEDAD],V43,Tabla2[[INCIDENCIA ]])</f>
        <v>38.4</v>
      </c>
      <c r="X43" s="55">
        <f>SUMIF(Tabla2[VARIEDAD],V43,Tabla2[SEVERIDAD])</f>
        <v>31.32</v>
      </c>
      <c r="Y43" s="55">
        <f>SUMIF(Tabla2[VARIEDAD],V43,Tabla2[MORTALIDAD])</f>
        <v>25</v>
      </c>
      <c r="AB43" t="s">
        <v>136</v>
      </c>
      <c r="AC43" s="52">
        <f t="shared" si="1"/>
        <v>0.38400000000000001</v>
      </c>
      <c r="AD43" s="52">
        <f t="shared" si="2"/>
        <v>0.31319999999999998</v>
      </c>
      <c r="AE43" s="52">
        <f t="shared" si="3"/>
        <v>0.25</v>
      </c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</row>
    <row r="44" spans="3:45" x14ac:dyDescent="0.2">
      <c r="C44" s="40">
        <v>19.984098700000001</v>
      </c>
      <c r="D44">
        <v>-102.3396709</v>
      </c>
      <c r="E44" t="str">
        <f>Tabla2[[#This Row],[UNIDAD DE MUESTREO]]</f>
        <v>VALLE DE ZAMORA</v>
      </c>
      <c r="F44" t="s">
        <v>108</v>
      </c>
      <c r="G44">
        <v>22</v>
      </c>
      <c r="H44" t="s">
        <v>19</v>
      </c>
      <c r="I44" t="s">
        <v>120</v>
      </c>
      <c r="J44" t="s">
        <v>110</v>
      </c>
      <c r="K44">
        <v>31.6</v>
      </c>
      <c r="L44">
        <v>18</v>
      </c>
      <c r="M44" s="41">
        <v>9.8000000000000007</v>
      </c>
      <c r="O44" s="1"/>
      <c r="V44" t="s">
        <v>135</v>
      </c>
      <c r="W44" s="55">
        <f>SUMIF(Tabla2[VARIEDAD],V44,Tabla2[[INCIDENCIA ]])</f>
        <v>28.6</v>
      </c>
      <c r="X44" s="55">
        <f>SUMIF(Tabla2[VARIEDAD],V44,Tabla2[SEVERIDAD])</f>
        <v>23.560000000000002</v>
      </c>
      <c r="Y44" s="55">
        <f>SUMIF(Tabla2[VARIEDAD],V44,Tabla2[MORTALIDAD])</f>
        <v>18.2</v>
      </c>
      <c r="AB44" t="s">
        <v>135</v>
      </c>
      <c r="AC44" s="52">
        <f t="shared" si="1"/>
        <v>0.28600000000000003</v>
      </c>
      <c r="AD44" s="52">
        <f t="shared" si="2"/>
        <v>0.23560000000000003</v>
      </c>
      <c r="AE44" s="52">
        <f t="shared" si="3"/>
        <v>0.182</v>
      </c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</row>
    <row r="45" spans="3:45" x14ac:dyDescent="0.2">
      <c r="C45" s="40">
        <v>20.820340000000002</v>
      </c>
      <c r="D45">
        <v>-101.34195</v>
      </c>
      <c r="E45" t="str">
        <f>Tabla2[[#This Row],[UNIDAD DE MUESTREO]]</f>
        <v>IRAPUATO</v>
      </c>
      <c r="F45" t="s">
        <v>133</v>
      </c>
      <c r="G45">
        <v>103</v>
      </c>
      <c r="H45" t="s">
        <v>712</v>
      </c>
      <c r="I45" t="s">
        <v>126</v>
      </c>
      <c r="J45" t="s">
        <v>137</v>
      </c>
      <c r="K45">
        <v>31.6</v>
      </c>
      <c r="L45">
        <v>31.439999999999998</v>
      </c>
      <c r="M45" s="41">
        <v>31.4</v>
      </c>
      <c r="O45" s="1"/>
      <c r="V45" t="s">
        <v>122</v>
      </c>
      <c r="W45" s="55">
        <f>SUMIF(Tabla2[VARIEDAD],V45,Tabla2[[INCIDENCIA ]])</f>
        <v>16</v>
      </c>
      <c r="X45" s="55">
        <f>SUMIF(Tabla2[VARIEDAD],V45,Tabla2[SEVERIDAD])</f>
        <v>7.1599999999999993</v>
      </c>
      <c r="Y45" s="55">
        <f>SUMIF(Tabla2[VARIEDAD],V45,Tabla2[MORTALIDAD])</f>
        <v>2.75</v>
      </c>
      <c r="AB45" t="s">
        <v>122</v>
      </c>
      <c r="AC45" s="52">
        <f t="shared" si="1"/>
        <v>0.16</v>
      </c>
      <c r="AD45" s="52">
        <f t="shared" si="2"/>
        <v>7.1599999999999997E-2</v>
      </c>
      <c r="AE45" s="52">
        <f t="shared" si="3"/>
        <v>2.75E-2</v>
      </c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</row>
    <row r="46" spans="3:45" x14ac:dyDescent="0.2">
      <c r="C46" s="40">
        <v>19.998947999999999</v>
      </c>
      <c r="D46">
        <v>-102.33444799999999</v>
      </c>
      <c r="E46" t="str">
        <f>Tabla2[[#This Row],[UNIDAD DE MUESTREO]]</f>
        <v>VALLE DE ZAMORA</v>
      </c>
      <c r="F46" t="s">
        <v>108</v>
      </c>
      <c r="G46">
        <v>42</v>
      </c>
      <c r="H46" t="s">
        <v>685</v>
      </c>
      <c r="I46" t="s">
        <v>138</v>
      </c>
      <c r="J46" t="s">
        <v>110</v>
      </c>
      <c r="K46">
        <v>31</v>
      </c>
      <c r="L46">
        <v>16.119999999999997</v>
      </c>
      <c r="M46" s="41">
        <v>4.8</v>
      </c>
      <c r="O46" s="1"/>
      <c r="V46" t="s">
        <v>138</v>
      </c>
      <c r="W46" s="55">
        <f>SUMIF(Tabla2[VARIEDAD],V46,Tabla2[[INCIDENCIA ]])</f>
        <v>69.2</v>
      </c>
      <c r="X46" s="55">
        <f>SUMIF(Tabla2[VARIEDAD],V46,Tabla2[SEVERIDAD])</f>
        <v>30.879999999999995</v>
      </c>
      <c r="Y46" s="55">
        <f>SUMIF(Tabla2[VARIEDAD],V46,Tabla2[MORTALIDAD])</f>
        <v>5</v>
      </c>
      <c r="AB46" t="s">
        <v>138</v>
      </c>
      <c r="AC46" s="52">
        <f t="shared" si="1"/>
        <v>0.69200000000000006</v>
      </c>
      <c r="AD46" s="52">
        <f t="shared" si="2"/>
        <v>0.30879999999999996</v>
      </c>
      <c r="AE46" s="52">
        <f t="shared" si="3"/>
        <v>0.05</v>
      </c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</row>
    <row r="47" spans="3:45" x14ac:dyDescent="0.2">
      <c r="C47" s="40">
        <v>20.792698000000001</v>
      </c>
      <c r="D47">
        <v>-101.34546899999999</v>
      </c>
      <c r="E47" t="str">
        <f>Tabla2[[#This Row],[UNIDAD DE MUESTREO]]</f>
        <v>IRAPUATO</v>
      </c>
      <c r="F47" t="s">
        <v>133</v>
      </c>
      <c r="G47">
        <v>95.2</v>
      </c>
      <c r="H47" t="s">
        <v>710</v>
      </c>
      <c r="I47" t="s">
        <v>126</v>
      </c>
      <c r="J47" t="s">
        <v>110</v>
      </c>
      <c r="K47">
        <v>30.8</v>
      </c>
      <c r="L47">
        <v>17.559999999999999</v>
      </c>
      <c r="M47" s="41">
        <v>8.8000000000000007</v>
      </c>
      <c r="O47" s="1"/>
      <c r="V47" t="s">
        <v>130</v>
      </c>
      <c r="W47" s="55">
        <f>SUMIF(Tabla2[VARIEDAD],V47,Tabla2[[INCIDENCIA ]])</f>
        <v>50.4</v>
      </c>
      <c r="X47" s="55">
        <f>SUMIF(Tabla2[VARIEDAD],V47,Tabla2[SEVERIDAD])</f>
        <v>28.84</v>
      </c>
      <c r="Y47" s="55">
        <f>SUMIF(Tabla2[VARIEDAD],V47,Tabla2[MORTALIDAD])</f>
        <v>11.6</v>
      </c>
      <c r="AB47" t="s">
        <v>130</v>
      </c>
      <c r="AC47" s="52">
        <f t="shared" si="1"/>
        <v>0.504</v>
      </c>
      <c r="AD47" s="52">
        <f t="shared" si="2"/>
        <v>0.28839999999999999</v>
      </c>
      <c r="AE47" s="52">
        <f t="shared" si="3"/>
        <v>0.11599999999999999</v>
      </c>
    </row>
    <row r="48" spans="3:45" x14ac:dyDescent="0.2">
      <c r="C48" s="40">
        <v>19.908975999999999</v>
      </c>
      <c r="D48">
        <v>-100.390362</v>
      </c>
      <c r="E48" t="str">
        <f>Tabla2[[#This Row],[UNIDAD DE MUESTREO]]</f>
        <v>MARAVATIO</v>
      </c>
      <c r="F48" t="s">
        <v>129</v>
      </c>
      <c r="G48">
        <v>65</v>
      </c>
      <c r="H48" t="s">
        <v>53</v>
      </c>
      <c r="I48" t="s">
        <v>131</v>
      </c>
      <c r="J48" t="s">
        <v>110</v>
      </c>
      <c r="K48">
        <v>30.4</v>
      </c>
      <c r="L48">
        <v>20.559999999999995</v>
      </c>
      <c r="M48" s="41">
        <v>11.2</v>
      </c>
      <c r="O48" s="1"/>
      <c r="V48" t="s">
        <v>112</v>
      </c>
      <c r="W48" s="55">
        <f>SUMIF(Tabla2[VARIEDAD],V48,Tabla2[[INCIDENCIA ]])</f>
        <v>1.6</v>
      </c>
      <c r="X48" s="55">
        <f>SUMIF(Tabla2[VARIEDAD],V48,Tabla2[SEVERIDAD])</f>
        <v>1.0400000000000003</v>
      </c>
      <c r="Y48" s="55">
        <f>SUMIF(Tabla2[VARIEDAD],V48,Tabla2[MORTALIDAD])</f>
        <v>0</v>
      </c>
      <c r="AB48" t="s">
        <v>112</v>
      </c>
      <c r="AC48" s="52">
        <f t="shared" si="1"/>
        <v>1.6E-2</v>
      </c>
      <c r="AD48" s="52">
        <f t="shared" si="2"/>
        <v>1.0400000000000003E-2</v>
      </c>
      <c r="AE48" s="52">
        <f t="shared" si="3"/>
        <v>0</v>
      </c>
    </row>
    <row r="49" spans="3:31" x14ac:dyDescent="0.2">
      <c r="C49" s="40">
        <v>20.81917</v>
      </c>
      <c r="D49">
        <v>-101.33309199999999</v>
      </c>
      <c r="E49" t="str">
        <f>Tabla2[[#This Row],[UNIDAD DE MUESTREO]]</f>
        <v>IRAPUATO</v>
      </c>
      <c r="F49" t="s">
        <v>133</v>
      </c>
      <c r="G49">
        <v>110</v>
      </c>
      <c r="H49" t="s">
        <v>95</v>
      </c>
      <c r="I49" t="s">
        <v>126</v>
      </c>
      <c r="J49" t="s">
        <v>137</v>
      </c>
      <c r="K49">
        <v>29.4</v>
      </c>
      <c r="L49">
        <v>29.32</v>
      </c>
      <c r="M49" s="41">
        <v>29.2</v>
      </c>
      <c r="O49" s="1"/>
      <c r="V49" t="s">
        <v>134</v>
      </c>
      <c r="W49" s="55">
        <f>SUMIF(Tabla2[VARIEDAD],V49,Tabla2[[INCIDENCIA ]])</f>
        <v>25.6</v>
      </c>
      <c r="X49" s="55">
        <f>SUMIF(Tabla2[VARIEDAD],V49,Tabla2[SEVERIDAD])</f>
        <v>22.080000000000002</v>
      </c>
      <c r="Y49" s="55">
        <f>SUMIF(Tabla2[VARIEDAD],V49,Tabla2[MORTALIDAD])</f>
        <v>18.2</v>
      </c>
      <c r="AB49" t="s">
        <v>134</v>
      </c>
      <c r="AC49" s="52">
        <f t="shared" si="1"/>
        <v>0.25600000000000001</v>
      </c>
      <c r="AD49" s="52">
        <f t="shared" si="2"/>
        <v>0.22080000000000002</v>
      </c>
      <c r="AE49" s="52">
        <f t="shared" si="3"/>
        <v>0.182</v>
      </c>
    </row>
    <row r="50" spans="3:31" x14ac:dyDescent="0.2">
      <c r="C50" s="40">
        <v>20.042652</v>
      </c>
      <c r="D50">
        <v>-102.257411</v>
      </c>
      <c r="E50" t="str">
        <f>Tabla2[[#This Row],[UNIDAD DE MUESTREO]]</f>
        <v>VALLE DE ZAMORA</v>
      </c>
      <c r="F50" t="s">
        <v>108</v>
      </c>
      <c r="G50">
        <v>39</v>
      </c>
      <c r="H50" t="s">
        <v>35</v>
      </c>
      <c r="I50" t="s">
        <v>115</v>
      </c>
      <c r="J50" t="s">
        <v>110</v>
      </c>
      <c r="K50">
        <v>29.2</v>
      </c>
      <c r="L50">
        <v>15.560000000000002</v>
      </c>
      <c r="M50" s="41">
        <v>6.6</v>
      </c>
      <c r="O50" s="1"/>
      <c r="V50" t="s">
        <v>113</v>
      </c>
      <c r="W50" s="55">
        <f>SUMIF(Tabla2[VARIEDAD],V50,Tabla2[[INCIDENCIA ]])</f>
        <v>6.2</v>
      </c>
      <c r="X50" s="55">
        <f>SUMIF(Tabla2[VARIEDAD],V50,Tabla2[SEVERIDAD])</f>
        <v>4.8</v>
      </c>
      <c r="Y50" s="55">
        <f>SUMIF(Tabla2[VARIEDAD],V50,Tabla2[MORTALIDAD])</f>
        <v>2.8</v>
      </c>
      <c r="AB50" t="s">
        <v>113</v>
      </c>
      <c r="AC50" s="52">
        <f t="shared" si="1"/>
        <v>6.2E-2</v>
      </c>
      <c r="AD50" s="52">
        <f t="shared" si="2"/>
        <v>4.8000000000000001E-2</v>
      </c>
      <c r="AE50" s="52">
        <f t="shared" si="3"/>
        <v>2.7999999999999997E-2</v>
      </c>
    </row>
    <row r="51" spans="3:31" x14ac:dyDescent="0.2">
      <c r="C51" s="40">
        <v>20.801172999999999</v>
      </c>
      <c r="D51">
        <v>-101.351084</v>
      </c>
      <c r="E51" t="str">
        <f>Tabla2[[#This Row],[UNIDAD DE MUESTREO]]</f>
        <v>IRAPUATO</v>
      </c>
      <c r="F51" t="s">
        <v>133</v>
      </c>
      <c r="G51">
        <v>100</v>
      </c>
      <c r="H51" t="s">
        <v>85</v>
      </c>
      <c r="I51" t="s">
        <v>126</v>
      </c>
      <c r="J51" t="s">
        <v>137</v>
      </c>
      <c r="K51">
        <v>28.4</v>
      </c>
      <c r="L51">
        <v>28.119999999999997</v>
      </c>
      <c r="M51" s="41">
        <v>28</v>
      </c>
      <c r="O51" s="1"/>
      <c r="V51" t="s">
        <v>120</v>
      </c>
      <c r="W51" s="55">
        <f>SUMIF(Tabla2[VARIEDAD],V51,Tabla2[[INCIDENCIA ]])</f>
        <v>31.6</v>
      </c>
      <c r="X51" s="55">
        <f>SUMIF(Tabla2[VARIEDAD],V51,Tabla2[SEVERIDAD])</f>
        <v>18</v>
      </c>
      <c r="Y51" s="55">
        <f>SUMIF(Tabla2[VARIEDAD],V51,Tabla2[MORTALIDAD])</f>
        <v>9.8000000000000007</v>
      </c>
      <c r="AB51" t="s">
        <v>120</v>
      </c>
      <c r="AC51" s="52">
        <f t="shared" si="1"/>
        <v>0.316</v>
      </c>
      <c r="AD51" s="52">
        <f t="shared" si="2"/>
        <v>0.18</v>
      </c>
      <c r="AE51" s="52">
        <f t="shared" si="3"/>
        <v>9.8000000000000004E-2</v>
      </c>
    </row>
    <row r="52" spans="3:31" x14ac:dyDescent="0.2">
      <c r="C52" s="40">
        <v>20.606797700000001</v>
      </c>
      <c r="D52">
        <v>-101.4353457</v>
      </c>
      <c r="E52" t="str">
        <f>Tabla2[[#This Row],[UNIDAD DE MUESTREO]]</f>
        <v>IRAPUATO</v>
      </c>
      <c r="F52" t="s">
        <v>133</v>
      </c>
      <c r="G52">
        <v>29</v>
      </c>
      <c r="H52" t="s">
        <v>25</v>
      </c>
      <c r="I52" t="s">
        <v>135</v>
      </c>
      <c r="J52" t="s">
        <v>110</v>
      </c>
      <c r="K52">
        <v>26.6</v>
      </c>
      <c r="L52">
        <v>21.560000000000002</v>
      </c>
      <c r="M52" s="41">
        <v>16.2</v>
      </c>
      <c r="O52" s="1"/>
      <c r="V52" t="s">
        <v>128</v>
      </c>
      <c r="W52" s="55">
        <f>SUMIF(Tabla2[VARIEDAD],V52,Tabla2[[INCIDENCIA ]])</f>
        <v>2.4</v>
      </c>
      <c r="X52" s="55">
        <f>SUMIF(Tabla2[VARIEDAD],V52,Tabla2[SEVERIDAD])</f>
        <v>0.52</v>
      </c>
      <c r="Y52" s="55">
        <f>SUMIF(Tabla2[VARIEDAD],V52,Tabla2[MORTALIDAD])</f>
        <v>0</v>
      </c>
      <c r="AB52" t="s">
        <v>128</v>
      </c>
      <c r="AC52" s="52">
        <f t="shared" si="1"/>
        <v>2.4E-2</v>
      </c>
      <c r="AD52" s="52">
        <f t="shared" si="2"/>
        <v>5.1999999999999998E-3</v>
      </c>
      <c r="AE52" s="52">
        <f t="shared" si="3"/>
        <v>0</v>
      </c>
    </row>
    <row r="53" spans="3:31" x14ac:dyDescent="0.2">
      <c r="C53" s="40">
        <v>19.971898599999999</v>
      </c>
      <c r="D53">
        <v>-102.3422163</v>
      </c>
      <c r="E53" t="str">
        <f>Tabla2[[#This Row],[UNIDAD DE MUESTREO]]</f>
        <v>VALLE DE ZAMORA</v>
      </c>
      <c r="F53" t="s">
        <v>108</v>
      </c>
      <c r="G53">
        <v>20</v>
      </c>
      <c r="H53" t="s">
        <v>669</v>
      </c>
      <c r="I53" t="s">
        <v>118</v>
      </c>
      <c r="J53" t="s">
        <v>110</v>
      </c>
      <c r="K53">
        <v>26</v>
      </c>
      <c r="L53">
        <v>22.640000000000004</v>
      </c>
      <c r="M53" s="41">
        <v>15.8</v>
      </c>
      <c r="O53" s="1"/>
    </row>
    <row r="54" spans="3:31" x14ac:dyDescent="0.2">
      <c r="C54" s="40">
        <v>20.624362399999999</v>
      </c>
      <c r="D54">
        <v>-101.41951229999999</v>
      </c>
      <c r="E54" t="str">
        <f>Tabla2[[#This Row],[UNIDAD DE MUESTREO]]</f>
        <v>IRAPUATO</v>
      </c>
      <c r="F54" t="s">
        <v>133</v>
      </c>
      <c r="G54">
        <v>26</v>
      </c>
      <c r="H54" t="s">
        <v>22</v>
      </c>
      <c r="I54" t="s">
        <v>134</v>
      </c>
      <c r="J54" t="s">
        <v>110</v>
      </c>
      <c r="K54">
        <v>25.6</v>
      </c>
      <c r="L54">
        <v>22.080000000000002</v>
      </c>
      <c r="M54" s="41">
        <v>18.2</v>
      </c>
      <c r="O54" s="1"/>
      <c r="W54" s="55" cm="1">
        <f t="array" ref="W54">SUM(W43:W52/15)</f>
        <v>18</v>
      </c>
      <c r="X54" s="55" cm="1">
        <f t="array" ref="X54">SUM(X43:X52/15)</f>
        <v>11.213333333333331</v>
      </c>
      <c r="Y54" s="55" cm="1">
        <f t="array" ref="Y54">SUM(Y43:Y52/15)</f>
        <v>6.2233333333333327</v>
      </c>
    </row>
    <row r="55" spans="3:31" x14ac:dyDescent="0.2">
      <c r="C55" s="40">
        <v>20.036999999999999</v>
      </c>
      <c r="D55">
        <v>-100.52</v>
      </c>
      <c r="E55" t="str">
        <f>Tabla2[[#This Row],[UNIDAD DE MUESTREO]]</f>
        <v>MARAVATIO</v>
      </c>
      <c r="F55" t="s">
        <v>129</v>
      </c>
      <c r="G55">
        <v>59</v>
      </c>
      <c r="H55" t="s">
        <v>47</v>
      </c>
      <c r="I55" t="s">
        <v>114</v>
      </c>
      <c r="J55" t="s">
        <v>110</v>
      </c>
      <c r="K55">
        <v>24.8</v>
      </c>
      <c r="L55">
        <v>12.48</v>
      </c>
      <c r="M55" s="41">
        <v>5.8</v>
      </c>
      <c r="O55" s="1"/>
    </row>
    <row r="56" spans="3:31" x14ac:dyDescent="0.2">
      <c r="C56" s="40">
        <v>20.5939458</v>
      </c>
      <c r="D56">
        <v>-101.4135752</v>
      </c>
      <c r="E56" t="str">
        <f>Tabla2[[#This Row],[UNIDAD DE MUESTREO]]</f>
        <v>IRAPUATO</v>
      </c>
      <c r="F56" t="s">
        <v>133</v>
      </c>
      <c r="G56">
        <v>31</v>
      </c>
      <c r="H56" t="s">
        <v>27</v>
      </c>
      <c r="I56" t="s">
        <v>126</v>
      </c>
      <c r="J56" t="s">
        <v>110</v>
      </c>
      <c r="K56">
        <v>24.6</v>
      </c>
      <c r="L56">
        <v>19.28</v>
      </c>
      <c r="M56" s="41">
        <v>14.6</v>
      </c>
      <c r="O56" s="1"/>
    </row>
    <row r="57" spans="3:31" x14ac:dyDescent="0.2">
      <c r="C57" s="40">
        <v>20.624690300000001</v>
      </c>
      <c r="D57">
        <v>-101.4194432</v>
      </c>
      <c r="E57" t="str">
        <f>Tabla2[[#This Row],[UNIDAD DE MUESTREO]]</f>
        <v>IRAPUATO</v>
      </c>
      <c r="F57" t="s">
        <v>133</v>
      </c>
      <c r="G57">
        <v>27</v>
      </c>
      <c r="H57" t="s">
        <v>23</v>
      </c>
      <c r="I57" t="s">
        <v>126</v>
      </c>
      <c r="J57" t="s">
        <v>110</v>
      </c>
      <c r="K57">
        <v>22</v>
      </c>
      <c r="L57">
        <v>18.36</v>
      </c>
      <c r="M57" s="41">
        <v>14</v>
      </c>
      <c r="O57" s="1"/>
      <c r="P57" t="s">
        <v>756</v>
      </c>
      <c r="S57" t="s">
        <v>106</v>
      </c>
      <c r="W57" t="s">
        <v>107</v>
      </c>
    </row>
    <row r="58" spans="3:31" x14ac:dyDescent="0.2">
      <c r="C58" s="40">
        <v>19.967942699999998</v>
      </c>
      <c r="D58">
        <v>-102.3364009</v>
      </c>
      <c r="E58" t="str">
        <f>Tabla2[[#This Row],[UNIDAD DE MUESTREO]]</f>
        <v>VALLE DE ZAMORA</v>
      </c>
      <c r="F58" t="s">
        <v>108</v>
      </c>
      <c r="G58">
        <v>23</v>
      </c>
      <c r="H58" t="s">
        <v>672</v>
      </c>
      <c r="I58" t="s">
        <v>83</v>
      </c>
      <c r="J58" t="s">
        <v>110</v>
      </c>
      <c r="K58">
        <v>21.2</v>
      </c>
      <c r="L58">
        <v>14.559999999999999</v>
      </c>
      <c r="M58" s="41">
        <v>10.4</v>
      </c>
      <c r="O58" s="1"/>
      <c r="P58" t="s">
        <v>759</v>
      </c>
      <c r="Q58" t="s">
        <v>757</v>
      </c>
      <c r="R58" t="s">
        <v>758</v>
      </c>
      <c r="S58" t="s">
        <v>759</v>
      </c>
      <c r="T58" t="s">
        <v>757</v>
      </c>
      <c r="U58" t="s">
        <v>758</v>
      </c>
      <c r="V58" t="s">
        <v>759</v>
      </c>
      <c r="W58" t="s">
        <v>757</v>
      </c>
      <c r="X58" t="s">
        <v>758</v>
      </c>
      <c r="AC58" t="s">
        <v>105</v>
      </c>
      <c r="AD58" t="s">
        <v>106</v>
      </c>
      <c r="AE58" t="s">
        <v>107</v>
      </c>
    </row>
    <row r="59" spans="3:31" x14ac:dyDescent="0.2">
      <c r="C59" s="40">
        <v>20.606214000000001</v>
      </c>
      <c r="D59">
        <v>-101.43516200000001</v>
      </c>
      <c r="E59" t="str">
        <f>Tabla2[[#This Row],[UNIDAD DE MUESTREO]]</f>
        <v>IRAPUATO</v>
      </c>
      <c r="F59" t="s">
        <v>133</v>
      </c>
      <c r="G59">
        <v>28</v>
      </c>
      <c r="H59" t="s">
        <v>24</v>
      </c>
      <c r="I59" t="s">
        <v>131</v>
      </c>
      <c r="J59" t="s">
        <v>110</v>
      </c>
      <c r="K59">
        <v>21.2</v>
      </c>
      <c r="L59">
        <v>18.28</v>
      </c>
      <c r="M59" s="41">
        <v>16.2</v>
      </c>
      <c r="O59" t="s">
        <v>108</v>
      </c>
      <c r="P59">
        <f>AVERAGEIFS(Tabla2[[INCIDENCIA ]], Tabla2[UNIDAD DE MUESTREO], $O$59)</f>
        <v>24.224137931034488</v>
      </c>
      <c r="Q59">
        <f>_xlfn.MINIFS(Tabla2[[INCIDENCIA ]], Tabla2[NUMERO DE PARCELA], $O$59)</f>
        <v>0</v>
      </c>
      <c r="R59">
        <f>_xlfn.MAXIFS(Tabla2[[INCIDENCIA ]], Tabla2[UNIDAD DE MUESTREO], $O$59)</f>
        <v>79</v>
      </c>
      <c r="S59">
        <f>AVERAGEIFS(Tabla2[SEVERIDAD], Tabla2[UNIDAD DE MUESTREO], $O$59)</f>
        <v>15.386206896551723</v>
      </c>
      <c r="T59">
        <f>_xlfn.MINIFS(Tabla2[SEVERIDAD], Tabla2[NUMERO DE PARCELA], $O$59)</f>
        <v>0</v>
      </c>
      <c r="U59">
        <f>_xlfn.MAXIFS(Tabla2[SEVERIDAD], Tabla2[UNIDAD DE MUESTREO], $O$59)</f>
        <v>68.039999999999992</v>
      </c>
      <c r="V59">
        <f>AVERAGEIFS(Tabla2[MORTALIDAD], Tabla2[UNIDAD DE MUESTREO], $O$59)</f>
        <v>7.4137931034482767</v>
      </c>
      <c r="W59">
        <f>_xlfn.MINIFS(Tabla2[[INCIDENCIA ]], Tabla2[NUMERO DE PARCELA], $O$59)</f>
        <v>0</v>
      </c>
      <c r="X59">
        <f>_xlfn.MAXIFS(Tabla2[MORTALIDAD], Tabla2[UNIDAD DE MUESTREO], O59)</f>
        <v>49.6</v>
      </c>
      <c r="AB59" t="s">
        <v>127</v>
      </c>
      <c r="AC59">
        <f>AVERAGEIFS(Tabla2[[INCIDENCIA ]], Tabla2[UNIDAD DE MUESTREO], $AB$59)</f>
        <v>4.4363636363636365</v>
      </c>
      <c r="AD59">
        <f>AVERAGEIFS(Tabla2[SEVERIDAD], Tabla2[UNIDAD DE MUESTREO], $AB$59)</f>
        <v>1.7890909090909091</v>
      </c>
      <c r="AE59">
        <f>AVERAGEIFS(Tabla2[MORTALIDAD], Tabla2[UNIDAD DE MUESTREO], $AB$59)</f>
        <v>0.1818181818181818</v>
      </c>
    </row>
    <row r="60" spans="3:31" x14ac:dyDescent="0.2">
      <c r="C60" s="40">
        <v>20.033556000000001</v>
      </c>
      <c r="D60">
        <v>-100.52203900000001</v>
      </c>
      <c r="E60" t="str">
        <f>Tabla2[[#This Row],[UNIDAD DE MUESTREO]]</f>
        <v>MARAVATIO</v>
      </c>
      <c r="F60" t="s">
        <v>129</v>
      </c>
      <c r="G60">
        <v>58</v>
      </c>
      <c r="H60" t="s">
        <v>46</v>
      </c>
      <c r="I60" t="s">
        <v>111</v>
      </c>
      <c r="J60" t="s">
        <v>110</v>
      </c>
      <c r="K60">
        <v>21</v>
      </c>
      <c r="L60">
        <v>11.280000000000001</v>
      </c>
      <c r="M60" s="41">
        <v>6.6</v>
      </c>
      <c r="O60" t="s">
        <v>133</v>
      </c>
      <c r="P60">
        <f>AVERAGEIFS(Tabla2[[INCIDENCIA ]], Tabla2[UNIDAD DE MUESTREO], $O$60)</f>
        <v>15.749999999999998</v>
      </c>
      <c r="Q60">
        <f>_xlfn.MINIFS(Tabla2[[INCIDENCIA ]], Tabla2[NUMERO DE PARCELA], $O$60)</f>
        <v>0</v>
      </c>
      <c r="R60">
        <f>_xlfn.MAXIFS(Tabla2[[INCIDENCIA ]], Tabla2[UNIDAD DE MUESTREO], $O$60)</f>
        <v>50.4</v>
      </c>
      <c r="S60">
        <f>AVERAGEIFS(Tabla2[SEVERIDAD], Tabla2[UNIDAD DE MUESTREO], $O$60)</f>
        <v>13.024166666666659</v>
      </c>
      <c r="T60">
        <f>_xlfn.MINIFS(Tabla2[SEVERIDAD], Tabla2[NUMERO DE PARCELA], $O$60)</f>
        <v>0</v>
      </c>
      <c r="U60">
        <f>_xlfn.MAXIFS(Tabla2[SEVERIDAD], Tabla2[UNIDAD DE MUESTREO], $O$60)</f>
        <v>50.4</v>
      </c>
      <c r="V60">
        <f>AVERAGEIFS(Tabla2[MORTALIDAD], Tabla2[UNIDAD DE MUESTREO], $O$60)</f>
        <v>11.079166666666666</v>
      </c>
      <c r="W60">
        <f>_xlfn.MINIFS(Tabla2[[INCIDENCIA ]], Tabla2[NUMERO DE PARCELA], $O$60)</f>
        <v>0</v>
      </c>
      <c r="X60">
        <f>_xlfn.MAXIFS(Tabla2[MORTALIDAD], Tabla2[UNIDAD DE MUESTREO], O60)</f>
        <v>50.4</v>
      </c>
      <c r="AB60" t="s">
        <v>108</v>
      </c>
      <c r="AC60">
        <f>AVERAGEIFS(Tabla2[[INCIDENCIA ]], Tabla2[UNIDAD DE MUESTREO], AB60)</f>
        <v>24.224137931034488</v>
      </c>
      <c r="AD60">
        <f>AVERAGEIFS(Tabla2[SEVERIDAD], Tabla2[UNIDAD DE MUESTREO], $AB$60)</f>
        <v>15.386206896551723</v>
      </c>
      <c r="AE60">
        <f>AVERAGEIFS(Tabla2[MORTALIDAD], Tabla2[UNIDAD DE MUESTREO], $AB$60)</f>
        <v>7.4137931034482767</v>
      </c>
    </row>
    <row r="61" spans="3:31" x14ac:dyDescent="0.2">
      <c r="C61" s="40">
        <v>20.0638006</v>
      </c>
      <c r="D61">
        <v>-102.25468979999999</v>
      </c>
      <c r="E61" t="str">
        <f>Tabla2[[#This Row],[UNIDAD DE MUESTREO]]</f>
        <v>VALLE DE ZAMORA</v>
      </c>
      <c r="F61" t="s">
        <v>108</v>
      </c>
      <c r="G61">
        <v>38.1</v>
      </c>
      <c r="H61" t="s">
        <v>680</v>
      </c>
      <c r="I61" t="s">
        <v>116</v>
      </c>
      <c r="J61" t="s">
        <v>110</v>
      </c>
      <c r="K61">
        <v>20.2</v>
      </c>
      <c r="L61">
        <v>9.9199999999999982</v>
      </c>
      <c r="M61" s="41">
        <v>2.6</v>
      </c>
      <c r="O61" t="s">
        <v>129</v>
      </c>
      <c r="P61">
        <f>AVERAGEIFS(Tabla2[[INCIDENCIA ]], Tabla2[UNIDAD DE MUESTREO], $O$61)</f>
        <v>35.291666666666664</v>
      </c>
      <c r="Q61">
        <f>_xlfn.MINIFS(Tabla2[[INCIDENCIA ]], Tabla2[NUMERO DE PARCELA], $O$61)</f>
        <v>0</v>
      </c>
      <c r="R61">
        <f>_xlfn.MAXIFS(Tabla2[[INCIDENCIA ]], Tabla2[UNIDAD DE MUESTREO], $O$61)</f>
        <v>99</v>
      </c>
      <c r="S61">
        <f>AVERAGEIFS(Tabla2[SEVERIDAD], Tabla2[UNIDAD DE MUESTREO], $O$61)</f>
        <v>25.03833333333333</v>
      </c>
      <c r="T61">
        <f>_xlfn.MINIFS(Tabla2[SEVERIDAD], Tabla2[NUMERO DE PARCELA], $O$61)</f>
        <v>0</v>
      </c>
      <c r="U61">
        <f>_xlfn.MAXIFS(Tabla2[SEVERIDAD], Tabla2[UNIDAD DE MUESTREO], $O$61)</f>
        <v>89.080000000000013</v>
      </c>
      <c r="V61">
        <f>AVERAGEIFS(Tabla2[MORTALIDAD], Tabla2[UNIDAD DE MUESTREO], $O$61)</f>
        <v>15.379166666666668</v>
      </c>
      <c r="W61">
        <f>_xlfn.MINIFS(Tabla2[[INCIDENCIA ]], Tabla2[NUMERO DE PARCELA], $O$61)</f>
        <v>0</v>
      </c>
      <c r="X61">
        <f>_xlfn.MAXIFS(Tabla2[MORTALIDAD], Tabla2[UNIDAD DE MUESTREO], O61)</f>
        <v>65.599999999999994</v>
      </c>
      <c r="AB61" t="s">
        <v>133</v>
      </c>
      <c r="AC61">
        <f>AVERAGEIFS(Tabla2[[INCIDENCIA ]], Tabla2[UNIDAD DE MUESTREO], AB61)</f>
        <v>15.749999999999998</v>
      </c>
      <c r="AD61">
        <f>AVERAGEIFS(Tabla2[SEVERIDAD], Tabla2[UNIDAD DE MUESTREO], $AB$61)</f>
        <v>13.024166666666659</v>
      </c>
      <c r="AE61">
        <f>AVERAGEIFS(Tabla2[MORTALIDAD], Tabla2[UNIDAD DE MUESTREO], $AB$61)</f>
        <v>11.079166666666666</v>
      </c>
    </row>
    <row r="62" spans="3:31" x14ac:dyDescent="0.2">
      <c r="C62" s="40">
        <v>19.932216</v>
      </c>
      <c r="D62">
        <v>-100.48929699999999</v>
      </c>
      <c r="E62" t="str">
        <f>Tabla2[[#This Row],[UNIDAD DE MUESTREO]]</f>
        <v>MARAVATIO</v>
      </c>
      <c r="F62" t="s">
        <v>129</v>
      </c>
      <c r="G62">
        <v>66</v>
      </c>
      <c r="H62" t="s">
        <v>54</v>
      </c>
      <c r="I62" t="s">
        <v>114</v>
      </c>
      <c r="J62" t="s">
        <v>110</v>
      </c>
      <c r="K62">
        <v>19.8</v>
      </c>
      <c r="L62">
        <v>13.959999999999999</v>
      </c>
      <c r="M62" s="41">
        <v>10.199999999999999</v>
      </c>
      <c r="O62" s="1"/>
      <c r="R62">
        <f>_xlfn.STDEV.S((Tabla2[[INCIDENCIA ]], Tabla2[UNIDAD DE MUESTREO], $O$61))</f>
        <v>20.668677190827729</v>
      </c>
      <c r="AB62" t="s">
        <v>129</v>
      </c>
      <c r="AC62">
        <f>AVERAGEIFS(Tabla2[[INCIDENCIA ]], Tabla2[UNIDAD DE MUESTREO], AB62)</f>
        <v>35.291666666666664</v>
      </c>
      <c r="AD62">
        <f>AVERAGEIFS(Tabla2[SEVERIDAD], Tabla2[UNIDAD DE MUESTREO], $AB$62)</f>
        <v>25.03833333333333</v>
      </c>
      <c r="AE62">
        <f>AVERAGEIFS(Tabla2[MORTALIDAD], Tabla2[UNIDAD DE MUESTREO], $AB$62)</f>
        <v>15.379166666666668</v>
      </c>
    </row>
    <row r="63" spans="3:31" x14ac:dyDescent="0.2">
      <c r="C63" s="40">
        <v>20.820125999999998</v>
      </c>
      <c r="D63">
        <v>-101.340324</v>
      </c>
      <c r="E63" t="str">
        <f>Tabla2[[#This Row],[UNIDAD DE MUESTREO]]</f>
        <v>IRAPUATO</v>
      </c>
      <c r="F63" t="s">
        <v>133</v>
      </c>
      <c r="G63">
        <v>104</v>
      </c>
      <c r="H63" t="s">
        <v>89</v>
      </c>
      <c r="I63" t="s">
        <v>126</v>
      </c>
      <c r="J63" t="s">
        <v>137</v>
      </c>
      <c r="K63">
        <v>19.399999999999999</v>
      </c>
      <c r="L63">
        <v>19.399999999999999</v>
      </c>
      <c r="M63" s="41">
        <v>19.399999999999999</v>
      </c>
      <c r="O63" s="1"/>
    </row>
    <row r="64" spans="3:31" x14ac:dyDescent="0.2">
      <c r="C64" s="40">
        <v>19.976085999999999</v>
      </c>
      <c r="D64">
        <v>-102.340968</v>
      </c>
      <c r="E64" t="str">
        <f>Tabla2[[#This Row],[UNIDAD DE MUESTREO]]</f>
        <v>VALLE DE ZAMORA</v>
      </c>
      <c r="F64" t="s">
        <v>108</v>
      </c>
      <c r="G64">
        <v>21.2</v>
      </c>
      <c r="H64" t="s">
        <v>671</v>
      </c>
      <c r="I64" t="s">
        <v>119</v>
      </c>
      <c r="J64" t="s">
        <v>110</v>
      </c>
      <c r="K64">
        <v>18.8</v>
      </c>
      <c r="L64">
        <v>9.8000000000000007</v>
      </c>
      <c r="M64" s="41">
        <v>3</v>
      </c>
      <c r="O64" s="1"/>
    </row>
    <row r="65" spans="3:32" x14ac:dyDescent="0.2">
      <c r="C65" s="40">
        <v>20.832645599999999</v>
      </c>
      <c r="D65">
        <v>-101.36142940000001</v>
      </c>
      <c r="E65" t="str">
        <f>Tabla2[[#This Row],[UNIDAD DE MUESTREO]]</f>
        <v>IRAPUATO</v>
      </c>
      <c r="F65" t="s">
        <v>133</v>
      </c>
      <c r="G65">
        <v>107</v>
      </c>
      <c r="H65" t="s">
        <v>713</v>
      </c>
      <c r="I65" t="s">
        <v>126</v>
      </c>
      <c r="J65" t="s">
        <v>137</v>
      </c>
      <c r="K65">
        <v>18.399999999999999</v>
      </c>
      <c r="L65">
        <v>18.399999999999999</v>
      </c>
      <c r="M65" s="41">
        <v>18.399999999999999</v>
      </c>
      <c r="O65" s="1"/>
      <c r="P65" t="s">
        <v>760</v>
      </c>
      <c r="Q65" t="s">
        <v>745</v>
      </c>
      <c r="S65" t="s">
        <v>746</v>
      </c>
      <c r="U65" t="s">
        <v>747</v>
      </c>
    </row>
    <row r="66" spans="3:32" x14ac:dyDescent="0.2">
      <c r="C66" s="40">
        <v>19.878226999999999</v>
      </c>
      <c r="D66">
        <v>-100.304166</v>
      </c>
      <c r="E66" t="str">
        <f>Tabla2[[#This Row],[UNIDAD DE MUESTREO]]</f>
        <v>MARAVATIO</v>
      </c>
      <c r="F66" t="s">
        <v>129</v>
      </c>
      <c r="G66">
        <v>75</v>
      </c>
      <c r="H66" t="s">
        <v>63</v>
      </c>
      <c r="I66" t="s">
        <v>132</v>
      </c>
      <c r="J66" t="s">
        <v>110</v>
      </c>
      <c r="K66">
        <v>17.399999999999999</v>
      </c>
      <c r="L66">
        <v>8.6799999999999979</v>
      </c>
      <c r="M66" s="41">
        <v>2.2000000000000002</v>
      </c>
      <c r="O66" s="1"/>
      <c r="Q66" t="s">
        <v>761</v>
      </c>
      <c r="R66" t="s">
        <v>762</v>
      </c>
      <c r="S66" t="s">
        <v>761</v>
      </c>
      <c r="T66" t="s">
        <v>762</v>
      </c>
      <c r="U66" t="s">
        <v>761</v>
      </c>
      <c r="V66" t="s">
        <v>762</v>
      </c>
      <c r="AB66" t="s">
        <v>715</v>
      </c>
      <c r="AC66" t="s">
        <v>105</v>
      </c>
      <c r="AD66" t="s">
        <v>106</v>
      </c>
      <c r="AE66" t="s">
        <v>107</v>
      </c>
    </row>
    <row r="67" spans="3:32" x14ac:dyDescent="0.2">
      <c r="C67" s="40">
        <v>19.967600999999998</v>
      </c>
      <c r="D67">
        <v>-100.51347699999999</v>
      </c>
      <c r="E67" t="str">
        <f>Tabla2[[#This Row],[UNIDAD DE MUESTREO]]</f>
        <v>MARAVATIO</v>
      </c>
      <c r="F67" t="s">
        <v>129</v>
      </c>
      <c r="G67">
        <v>68</v>
      </c>
      <c r="H67" t="s">
        <v>56</v>
      </c>
      <c r="I67" t="s">
        <v>114</v>
      </c>
      <c r="J67" t="s">
        <v>110</v>
      </c>
      <c r="K67">
        <v>17</v>
      </c>
      <c r="L67">
        <v>9.0400000000000009</v>
      </c>
      <c r="M67" s="41">
        <v>2.6</v>
      </c>
      <c r="O67" s="1"/>
      <c r="P67" t="s">
        <v>108</v>
      </c>
      <c r="Q67" s="61">
        <v>79</v>
      </c>
      <c r="R67" s="61">
        <v>24.224137931034488</v>
      </c>
      <c r="S67" s="61">
        <v>68.039999999999992</v>
      </c>
      <c r="T67" s="61">
        <v>15.386206896551723</v>
      </c>
      <c r="U67" s="61">
        <v>49.6</v>
      </c>
      <c r="V67" s="61">
        <v>7.4137931034482767</v>
      </c>
      <c r="AB67" t="s">
        <v>129</v>
      </c>
      <c r="AC67" s="55">
        <v>35.2916666666667</v>
      </c>
      <c r="AD67" s="55">
        <v>25.03833333333333</v>
      </c>
      <c r="AE67" s="55">
        <v>15.379166666666665</v>
      </c>
    </row>
    <row r="68" spans="3:32" x14ac:dyDescent="0.2">
      <c r="C68" s="40">
        <v>20.012426000000001</v>
      </c>
      <c r="D68">
        <v>-102.322946</v>
      </c>
      <c r="E68" t="str">
        <f>Tabla2[[#This Row],[UNIDAD DE MUESTREO]]</f>
        <v>VALLE DE ZAMORA</v>
      </c>
      <c r="F68" t="s">
        <v>108</v>
      </c>
      <c r="G68">
        <v>55</v>
      </c>
      <c r="H68" t="s">
        <v>43</v>
      </c>
      <c r="I68" t="s">
        <v>116</v>
      </c>
      <c r="J68" t="s">
        <v>110</v>
      </c>
      <c r="K68">
        <v>16.399999999999999</v>
      </c>
      <c r="L68">
        <v>7.44</v>
      </c>
      <c r="M68" s="41">
        <v>1.3</v>
      </c>
      <c r="O68" s="1"/>
      <c r="P68" t="s">
        <v>133</v>
      </c>
      <c r="Q68" s="61">
        <v>50.4</v>
      </c>
      <c r="R68" s="61">
        <v>15.749999999999998</v>
      </c>
      <c r="S68" s="61">
        <v>50.4</v>
      </c>
      <c r="T68" s="61">
        <v>13.024166666666659</v>
      </c>
      <c r="U68" s="61">
        <v>50.4</v>
      </c>
      <c r="V68" s="61">
        <v>11.079166666666666</v>
      </c>
      <c r="AB68" t="s">
        <v>133</v>
      </c>
      <c r="AC68" s="55">
        <v>15.749999999999998</v>
      </c>
      <c r="AD68" s="55">
        <v>13.024166666666668</v>
      </c>
      <c r="AE68" s="55">
        <v>11.079166666666666</v>
      </c>
    </row>
    <row r="69" spans="3:32" x14ac:dyDescent="0.2">
      <c r="C69" s="40">
        <v>20.002873999999998</v>
      </c>
      <c r="D69">
        <v>-102.24158799999999</v>
      </c>
      <c r="E69" t="str">
        <f>Tabla2[[#This Row],[UNIDAD DE MUESTREO]]</f>
        <v>VALLE DE ZAMORA</v>
      </c>
      <c r="F69" t="s">
        <v>108</v>
      </c>
      <c r="G69">
        <v>35.200000000000003</v>
      </c>
      <c r="H69" t="s">
        <v>675</v>
      </c>
      <c r="I69" t="s">
        <v>114</v>
      </c>
      <c r="J69" t="s">
        <v>110</v>
      </c>
      <c r="K69">
        <v>16.2</v>
      </c>
      <c r="L69">
        <v>6.92</v>
      </c>
      <c r="M69" s="41">
        <v>1.8</v>
      </c>
      <c r="O69" s="1"/>
      <c r="P69" t="s">
        <v>129</v>
      </c>
      <c r="Q69" s="61">
        <v>99</v>
      </c>
      <c r="R69" s="61">
        <v>35.291666666666664</v>
      </c>
      <c r="S69" s="61">
        <v>89.080000000000013</v>
      </c>
      <c r="T69" s="61">
        <v>25.03833333333333</v>
      </c>
      <c r="U69" s="61">
        <v>65.599999999999994</v>
      </c>
      <c r="V69" s="61">
        <v>15.379166666666668</v>
      </c>
      <c r="AB69" t="s">
        <v>108</v>
      </c>
      <c r="AC69" s="55">
        <v>24.224137931034484</v>
      </c>
      <c r="AD69" s="55">
        <v>15.386206896551725</v>
      </c>
      <c r="AE69" s="55">
        <v>7.4137931034482776</v>
      </c>
    </row>
    <row r="70" spans="3:32" x14ac:dyDescent="0.2">
      <c r="C70" s="40">
        <v>20.02111</v>
      </c>
      <c r="D70">
        <v>-102.256021</v>
      </c>
      <c r="E70" t="str">
        <f>Tabla2[[#This Row],[UNIDAD DE MUESTREO]]</f>
        <v>VALLE DE ZAMORA</v>
      </c>
      <c r="F70" t="s">
        <v>108</v>
      </c>
      <c r="G70">
        <v>36.1</v>
      </c>
      <c r="H70" t="s">
        <v>677</v>
      </c>
      <c r="I70" t="s">
        <v>122</v>
      </c>
      <c r="J70" t="s">
        <v>110</v>
      </c>
      <c r="K70">
        <v>16</v>
      </c>
      <c r="L70">
        <v>7.1599999999999993</v>
      </c>
      <c r="M70" s="41">
        <v>2.75</v>
      </c>
      <c r="O70" s="1"/>
      <c r="AB70" t="s">
        <v>127</v>
      </c>
      <c r="AC70" s="55">
        <v>4.4363636363636365</v>
      </c>
      <c r="AD70" s="55">
        <v>1.7890909090909088</v>
      </c>
      <c r="AE70" s="55">
        <v>0.18181818181818182</v>
      </c>
    </row>
    <row r="71" spans="3:32" x14ac:dyDescent="0.2">
      <c r="C71" s="40">
        <v>20.644326599999999</v>
      </c>
      <c r="D71">
        <v>-101.41902880000001</v>
      </c>
      <c r="E71" t="str">
        <f>Tabla2[[#This Row],[UNIDAD DE MUESTREO]]</f>
        <v>IRAPUATO</v>
      </c>
      <c r="F71" t="s">
        <v>133</v>
      </c>
      <c r="G71">
        <v>25</v>
      </c>
      <c r="H71" t="s">
        <v>21</v>
      </c>
      <c r="I71" t="s">
        <v>126</v>
      </c>
      <c r="J71" t="s">
        <v>110</v>
      </c>
      <c r="K71">
        <v>15.6</v>
      </c>
      <c r="L71">
        <v>12.240000000000002</v>
      </c>
      <c r="M71" s="41">
        <v>8.6</v>
      </c>
      <c r="O71" s="1"/>
    </row>
    <row r="72" spans="3:32" x14ac:dyDescent="0.2">
      <c r="C72" s="40">
        <v>19.963363000000001</v>
      </c>
      <c r="D72">
        <v>-102.287235</v>
      </c>
      <c r="E72" t="str">
        <f>Tabla2[[#This Row],[UNIDAD DE MUESTREO]]</f>
        <v>VALLE DE ZAMORA</v>
      </c>
      <c r="F72" t="s">
        <v>108</v>
      </c>
      <c r="G72">
        <v>9.1999999999999993</v>
      </c>
      <c r="H72" t="s">
        <v>658</v>
      </c>
      <c r="I72" t="s">
        <v>83</v>
      </c>
      <c r="J72" t="s">
        <v>110</v>
      </c>
      <c r="K72">
        <v>15</v>
      </c>
      <c r="L72">
        <v>11.76</v>
      </c>
      <c r="M72" s="41">
        <v>5.4</v>
      </c>
      <c r="O72" s="1"/>
    </row>
    <row r="73" spans="3:32" x14ac:dyDescent="0.2">
      <c r="C73" s="40">
        <v>19.789237</v>
      </c>
      <c r="D73">
        <v>-100.437485</v>
      </c>
      <c r="E73" t="str">
        <f>Tabla2[[#This Row],[UNIDAD DE MUESTREO]]</f>
        <v>MARAVATIO</v>
      </c>
      <c r="F73" t="s">
        <v>129</v>
      </c>
      <c r="G73">
        <v>76.2</v>
      </c>
      <c r="H73" t="s">
        <v>701</v>
      </c>
      <c r="I73" t="s">
        <v>114</v>
      </c>
      <c r="J73" t="s">
        <v>110</v>
      </c>
      <c r="K73">
        <v>13.4</v>
      </c>
      <c r="L73">
        <v>6.16</v>
      </c>
      <c r="M73" s="41">
        <v>1.6</v>
      </c>
      <c r="O73" s="1"/>
    </row>
    <row r="74" spans="3:32" x14ac:dyDescent="0.2">
      <c r="C74" s="40">
        <v>19.806605999999999</v>
      </c>
      <c r="D74">
        <v>-100.441805</v>
      </c>
      <c r="E74" t="str">
        <f>Tabla2[[#This Row],[UNIDAD DE MUESTREO]]</f>
        <v>MARAVATIO</v>
      </c>
      <c r="F74" t="s">
        <v>129</v>
      </c>
      <c r="G74">
        <v>76.3</v>
      </c>
      <c r="H74" t="s">
        <v>702</v>
      </c>
      <c r="I74" t="s">
        <v>114</v>
      </c>
      <c r="J74" t="s">
        <v>110</v>
      </c>
      <c r="K74">
        <v>12.2</v>
      </c>
      <c r="L74">
        <v>8.4400000000000013</v>
      </c>
      <c r="M74" s="41">
        <v>5.4</v>
      </c>
      <c r="O74" s="1"/>
    </row>
    <row r="75" spans="3:32" x14ac:dyDescent="0.2">
      <c r="C75" s="40">
        <v>20.830828</v>
      </c>
      <c r="D75">
        <v>-101.361791</v>
      </c>
      <c r="E75" t="str">
        <f>Tabla2[[#This Row],[UNIDAD DE MUESTREO]]</f>
        <v>IRAPUATO</v>
      </c>
      <c r="F75" t="s">
        <v>133</v>
      </c>
      <c r="G75">
        <v>106.2</v>
      </c>
      <c r="H75" t="s">
        <v>92</v>
      </c>
      <c r="I75" t="s">
        <v>126</v>
      </c>
      <c r="J75" t="s">
        <v>137</v>
      </c>
      <c r="K75">
        <v>12.2</v>
      </c>
      <c r="L75">
        <v>12.2</v>
      </c>
      <c r="M75" s="41">
        <v>12.2</v>
      </c>
      <c r="O75" s="1"/>
    </row>
    <row r="76" spans="3:32" x14ac:dyDescent="0.2">
      <c r="C76" s="40">
        <v>20.021588999999999</v>
      </c>
      <c r="D76">
        <v>-102.255849</v>
      </c>
      <c r="E76" t="str">
        <f>Tabla2[[#This Row],[UNIDAD DE MUESTREO]]</f>
        <v>VALLE DE ZAMORA</v>
      </c>
      <c r="F76" t="s">
        <v>108</v>
      </c>
      <c r="G76">
        <v>36</v>
      </c>
      <c r="H76" t="s">
        <v>678</v>
      </c>
      <c r="I76" t="s">
        <v>115</v>
      </c>
      <c r="J76" t="s">
        <v>110</v>
      </c>
      <c r="K76">
        <v>11.8</v>
      </c>
      <c r="L76">
        <v>4.9600000000000009</v>
      </c>
      <c r="M76" s="41">
        <v>1.75</v>
      </c>
      <c r="O76" s="1"/>
    </row>
    <row r="77" spans="3:32" x14ac:dyDescent="0.2">
      <c r="C77" s="40">
        <v>20.771343999999999</v>
      </c>
      <c r="D77">
        <v>-101.34874000000001</v>
      </c>
      <c r="E77" t="str">
        <f>Tabla2[[#This Row],[UNIDAD DE MUESTREO]]</f>
        <v>IRAPUATO</v>
      </c>
      <c r="F77" t="s">
        <v>133</v>
      </c>
      <c r="G77">
        <v>93.2</v>
      </c>
      <c r="H77" t="s">
        <v>705</v>
      </c>
      <c r="I77" t="s">
        <v>126</v>
      </c>
      <c r="J77" t="s">
        <v>137</v>
      </c>
      <c r="K77">
        <v>11.8</v>
      </c>
      <c r="L77">
        <v>10.040000000000001</v>
      </c>
      <c r="M77" s="41">
        <v>9.6</v>
      </c>
      <c r="O77" s="1"/>
      <c r="AC77" t="s">
        <v>715</v>
      </c>
      <c r="AD77" t="s">
        <v>745</v>
      </c>
      <c r="AE77" t="s">
        <v>746</v>
      </c>
      <c r="AF77" t="s">
        <v>747</v>
      </c>
    </row>
    <row r="78" spans="3:32" x14ac:dyDescent="0.2">
      <c r="C78" s="40">
        <v>20.002216000000001</v>
      </c>
      <c r="D78">
        <v>-102.242431</v>
      </c>
      <c r="E78" t="str">
        <f>Tabla2[[#This Row],[UNIDAD DE MUESTREO]]</f>
        <v>VALLE DE ZAMORA</v>
      </c>
      <c r="F78" t="s">
        <v>108</v>
      </c>
      <c r="G78">
        <v>35.1</v>
      </c>
      <c r="H78" t="s">
        <v>674</v>
      </c>
      <c r="I78" t="s">
        <v>126</v>
      </c>
      <c r="J78" t="s">
        <v>110</v>
      </c>
      <c r="K78">
        <v>11.4</v>
      </c>
      <c r="L78">
        <v>5.4</v>
      </c>
      <c r="M78" s="41">
        <v>2</v>
      </c>
      <c r="O78" s="1"/>
      <c r="AC78" t="s">
        <v>734</v>
      </c>
      <c r="AD78">
        <v>0.23666666666666669</v>
      </c>
      <c r="AE78">
        <v>0.19353333333333336</v>
      </c>
      <c r="AF78">
        <v>0.15326666666666663</v>
      </c>
    </row>
    <row r="79" spans="3:32" x14ac:dyDescent="0.2">
      <c r="C79" s="40">
        <v>20.618905000000002</v>
      </c>
      <c r="D79">
        <v>-101.487482</v>
      </c>
      <c r="E79" t="str">
        <f>Tabla2[[#This Row],[UNIDAD DE MUESTREO]]</f>
        <v>IRAPUATO</v>
      </c>
      <c r="F79" t="s">
        <v>133</v>
      </c>
      <c r="G79">
        <v>80</v>
      </c>
      <c r="H79" t="s">
        <v>68</v>
      </c>
      <c r="I79" t="s">
        <v>114</v>
      </c>
      <c r="J79" t="s">
        <v>137</v>
      </c>
      <c r="K79">
        <v>11.4</v>
      </c>
      <c r="L79">
        <v>2.44</v>
      </c>
      <c r="M79" s="41">
        <v>0.2</v>
      </c>
      <c r="O79" s="1"/>
      <c r="AC79" t="s">
        <v>740</v>
      </c>
      <c r="AD79">
        <v>0.25166666666666671</v>
      </c>
      <c r="AE79">
        <v>0.20620000000000002</v>
      </c>
      <c r="AF79">
        <v>0.14133333333333334</v>
      </c>
    </row>
    <row r="80" spans="3:32" x14ac:dyDescent="0.2">
      <c r="C80" s="40">
        <v>20.014372999999999</v>
      </c>
      <c r="D80">
        <v>-100.548134</v>
      </c>
      <c r="E80" t="str">
        <f>Tabla2[[#This Row],[UNIDAD DE MUESTREO]]</f>
        <v>MARAVATIO</v>
      </c>
      <c r="F80" t="s">
        <v>129</v>
      </c>
      <c r="G80">
        <v>63</v>
      </c>
      <c r="H80" t="s">
        <v>51</v>
      </c>
      <c r="I80" t="s">
        <v>118</v>
      </c>
      <c r="J80" t="s">
        <v>110</v>
      </c>
      <c r="K80">
        <v>11.2</v>
      </c>
      <c r="L80">
        <v>7.6400000000000006</v>
      </c>
      <c r="M80" s="41">
        <v>4.5</v>
      </c>
      <c r="O80" s="1"/>
      <c r="AC80" t="s">
        <v>733</v>
      </c>
      <c r="AD80">
        <v>0.28793939393939394</v>
      </c>
      <c r="AE80">
        <v>0.2122787878787879</v>
      </c>
      <c r="AF80">
        <v>0.14006060606060605</v>
      </c>
    </row>
    <row r="81" spans="3:32" x14ac:dyDescent="0.2">
      <c r="C81" s="40">
        <v>20.040841</v>
      </c>
      <c r="D81">
        <v>-102.2744</v>
      </c>
      <c r="E81" t="str">
        <f>Tabla2[[#This Row],[UNIDAD DE MUESTREO]]</f>
        <v>VALLE DE ZAMORA</v>
      </c>
      <c r="F81" t="s">
        <v>108</v>
      </c>
      <c r="G81">
        <v>37.1</v>
      </c>
      <c r="H81" t="s">
        <v>646</v>
      </c>
      <c r="I81" t="s">
        <v>119</v>
      </c>
      <c r="J81" t="s">
        <v>110</v>
      </c>
      <c r="K81">
        <v>11</v>
      </c>
      <c r="L81">
        <v>7.7199999999999989</v>
      </c>
      <c r="M81" s="41">
        <v>3.4</v>
      </c>
      <c r="O81" s="1"/>
      <c r="AC81" t="s">
        <v>743</v>
      </c>
      <c r="AD81">
        <v>0.35450000000000004</v>
      </c>
      <c r="AE81">
        <v>0.23159999999999997</v>
      </c>
      <c r="AF81">
        <v>0.12300000000000001</v>
      </c>
    </row>
    <row r="82" spans="3:32" x14ac:dyDescent="0.2">
      <c r="C82" s="40">
        <v>19.8816123</v>
      </c>
      <c r="D82">
        <v>-102.192995</v>
      </c>
      <c r="E82" t="s">
        <v>108</v>
      </c>
      <c r="F82" t="s">
        <v>127</v>
      </c>
      <c r="G82">
        <v>2</v>
      </c>
      <c r="H82" t="s">
        <v>1</v>
      </c>
      <c r="I82" t="s">
        <v>116</v>
      </c>
      <c r="J82" t="s">
        <v>110</v>
      </c>
      <c r="K82">
        <v>10.8</v>
      </c>
      <c r="L82">
        <v>3.4799999999999995</v>
      </c>
      <c r="M82" s="41">
        <v>0.6</v>
      </c>
      <c r="O82" s="1"/>
      <c r="AC82" t="s">
        <v>739</v>
      </c>
      <c r="AD82">
        <v>0.29571428571428571</v>
      </c>
      <c r="AE82">
        <v>0.17817142857142859</v>
      </c>
      <c r="AF82">
        <v>7.3142857142857134E-2</v>
      </c>
    </row>
    <row r="83" spans="3:32" x14ac:dyDescent="0.2">
      <c r="C83" s="40">
        <v>20.60117</v>
      </c>
      <c r="D83">
        <v>-101.41410999999999</v>
      </c>
      <c r="E83" t="str">
        <f>Tabla2[[#This Row],[UNIDAD DE MUESTREO]]</f>
        <v>IRAPUATO</v>
      </c>
      <c r="F83" t="s">
        <v>133</v>
      </c>
      <c r="G83">
        <v>92</v>
      </c>
      <c r="H83" t="s">
        <v>78</v>
      </c>
      <c r="I83" t="s">
        <v>114</v>
      </c>
      <c r="J83" t="s">
        <v>137</v>
      </c>
      <c r="K83">
        <v>10.8</v>
      </c>
      <c r="L83">
        <v>3.2800000000000002</v>
      </c>
      <c r="M83" s="41">
        <v>1.4</v>
      </c>
      <c r="O83" s="1"/>
      <c r="AC83" t="s">
        <v>738</v>
      </c>
      <c r="AD83">
        <v>0.24799999999999997</v>
      </c>
      <c r="AE83">
        <v>0.13540000000000002</v>
      </c>
      <c r="AF83">
        <v>6.2916666666666676E-2</v>
      </c>
    </row>
    <row r="84" spans="3:32" x14ac:dyDescent="0.2">
      <c r="C84" s="40">
        <v>19.993283999999999</v>
      </c>
      <c r="D84">
        <v>-102.336945</v>
      </c>
      <c r="E84" t="str">
        <f>Tabla2[[#This Row],[UNIDAD DE MUESTREO]]</f>
        <v>VALLE DE ZAMORA</v>
      </c>
      <c r="F84" t="s">
        <v>108</v>
      </c>
      <c r="G84">
        <v>46</v>
      </c>
      <c r="H84" t="s">
        <v>689</v>
      </c>
      <c r="I84" t="s">
        <v>115</v>
      </c>
      <c r="J84" t="s">
        <v>110</v>
      </c>
      <c r="K84">
        <v>10.6</v>
      </c>
      <c r="L84">
        <v>6.5600000000000005</v>
      </c>
      <c r="M84" s="41">
        <v>0.8</v>
      </c>
      <c r="O84" s="1"/>
      <c r="AC84" t="s">
        <v>744</v>
      </c>
      <c r="AD84">
        <v>0.18</v>
      </c>
      <c r="AE84">
        <v>0.11213333333333331</v>
      </c>
      <c r="AF84">
        <v>6.2233333333333328E-2</v>
      </c>
    </row>
    <row r="85" spans="3:32" x14ac:dyDescent="0.2">
      <c r="C85" s="40">
        <v>20.806660999999998</v>
      </c>
      <c r="D85">
        <v>-101.344807</v>
      </c>
      <c r="E85" t="str">
        <f>Tabla2[[#This Row],[UNIDAD DE MUESTREO]]</f>
        <v>IRAPUATO</v>
      </c>
      <c r="F85" t="s">
        <v>133</v>
      </c>
      <c r="G85">
        <v>101</v>
      </c>
      <c r="H85" t="s">
        <v>86</v>
      </c>
      <c r="I85" t="s">
        <v>126</v>
      </c>
      <c r="J85" t="s">
        <v>137</v>
      </c>
      <c r="K85">
        <v>10.4</v>
      </c>
      <c r="L85">
        <v>9.2799999999999994</v>
      </c>
      <c r="M85" s="41">
        <v>9</v>
      </c>
      <c r="O85" s="1"/>
      <c r="AC85" t="s">
        <v>741</v>
      </c>
      <c r="AD85">
        <v>0.1876666666666667</v>
      </c>
      <c r="AE85">
        <v>0.11340000000000001</v>
      </c>
      <c r="AF85">
        <v>4.6166666666666661E-2</v>
      </c>
    </row>
    <row r="86" spans="3:32" x14ac:dyDescent="0.2">
      <c r="C86" s="40">
        <v>20.583696</v>
      </c>
      <c r="D86">
        <v>-101.413878</v>
      </c>
      <c r="E86" t="str">
        <f>Tabla2[[#This Row],[UNIDAD DE MUESTREO]]</f>
        <v>IRAPUATO</v>
      </c>
      <c r="F86" t="s">
        <v>133</v>
      </c>
      <c r="G86">
        <v>91</v>
      </c>
      <c r="H86" t="s">
        <v>77</v>
      </c>
      <c r="I86" t="s">
        <v>114</v>
      </c>
      <c r="J86" t="s">
        <v>137</v>
      </c>
      <c r="K86">
        <v>10.199999999999999</v>
      </c>
      <c r="L86">
        <v>4.12</v>
      </c>
      <c r="M86" s="41">
        <v>2.6</v>
      </c>
      <c r="O86" s="1"/>
      <c r="AC86" t="s">
        <v>736</v>
      </c>
      <c r="AD86">
        <v>0.14924999999999999</v>
      </c>
      <c r="AE86">
        <v>9.0700000000000003E-2</v>
      </c>
      <c r="AF86">
        <v>3.7750000000000006E-2</v>
      </c>
    </row>
    <row r="87" spans="3:32" x14ac:dyDescent="0.2">
      <c r="C87" s="40">
        <v>19.962627000000001</v>
      </c>
      <c r="D87">
        <v>-102.289016</v>
      </c>
      <c r="E87" t="str">
        <f>Tabla2[[#This Row],[UNIDAD DE MUESTREO]]</f>
        <v>VALLE DE ZAMORA</v>
      </c>
      <c r="F87" t="s">
        <v>108</v>
      </c>
      <c r="G87">
        <v>8.1</v>
      </c>
      <c r="H87" t="s">
        <v>659</v>
      </c>
      <c r="I87" t="s">
        <v>109</v>
      </c>
      <c r="J87" t="s">
        <v>110</v>
      </c>
      <c r="K87">
        <v>9.6</v>
      </c>
      <c r="L87">
        <v>6.919999999999999</v>
      </c>
      <c r="M87" s="41">
        <v>4.5999999999999996</v>
      </c>
      <c r="O87" s="1"/>
      <c r="AC87" t="s">
        <v>737</v>
      </c>
      <c r="AD87">
        <v>7.5249999999999997E-2</v>
      </c>
      <c r="AE87">
        <v>4.4199999999999996E-2</v>
      </c>
      <c r="AF87">
        <v>1.6250000000000001E-2</v>
      </c>
    </row>
    <row r="88" spans="3:32" x14ac:dyDescent="0.2">
      <c r="C88" s="40">
        <v>20.054212</v>
      </c>
      <c r="D88">
        <v>-100.76432800000001</v>
      </c>
      <c r="E88" t="str">
        <f>Tabla2[[#This Row],[UNIDAD DE MUESTREO]]</f>
        <v>MARAVATIO</v>
      </c>
      <c r="F88" t="s">
        <v>129</v>
      </c>
      <c r="G88">
        <v>74.2</v>
      </c>
      <c r="H88" t="s">
        <v>699</v>
      </c>
      <c r="I88" t="s">
        <v>131</v>
      </c>
      <c r="J88" t="s">
        <v>110</v>
      </c>
      <c r="K88">
        <v>9.6</v>
      </c>
      <c r="L88">
        <v>7</v>
      </c>
      <c r="M88" s="41">
        <v>4.8</v>
      </c>
      <c r="O88" s="1"/>
      <c r="AC88" t="s">
        <v>742</v>
      </c>
      <c r="AD88">
        <v>8.0000000000000016E-2</v>
      </c>
      <c r="AE88">
        <v>4.0999999999999995E-2</v>
      </c>
      <c r="AF88">
        <v>1.4666666666666668E-2</v>
      </c>
    </row>
    <row r="89" spans="3:32" x14ac:dyDescent="0.2">
      <c r="C89" s="40">
        <v>19.9623794</v>
      </c>
      <c r="D89">
        <v>-102.2856063</v>
      </c>
      <c r="E89" t="str">
        <f>Tabla2[[#This Row],[UNIDAD DE MUESTREO]]</f>
        <v>VALLE DE ZAMORA</v>
      </c>
      <c r="F89" t="s">
        <v>108</v>
      </c>
      <c r="G89">
        <v>12</v>
      </c>
      <c r="H89" t="s">
        <v>11</v>
      </c>
      <c r="I89" t="s">
        <v>111</v>
      </c>
      <c r="J89" t="s">
        <v>110</v>
      </c>
      <c r="K89">
        <v>9.4</v>
      </c>
      <c r="L89">
        <v>6.44</v>
      </c>
      <c r="M89" s="41">
        <v>3</v>
      </c>
      <c r="O89" s="1"/>
      <c r="AC89" t="s">
        <v>755</v>
      </c>
      <c r="AD89">
        <v>0.10945454545454546</v>
      </c>
      <c r="AE89">
        <v>5.2072727272727271E-2</v>
      </c>
      <c r="AF89">
        <v>1.1545454545454546E-2</v>
      </c>
    </row>
    <row r="90" spans="3:32" x14ac:dyDescent="0.2">
      <c r="C90" s="40">
        <v>19.851247999999998</v>
      </c>
      <c r="D90">
        <v>-102.201283</v>
      </c>
      <c r="E90" t="s">
        <v>108</v>
      </c>
      <c r="F90" t="s">
        <v>127</v>
      </c>
      <c r="G90">
        <v>1.3</v>
      </c>
      <c r="H90" t="s">
        <v>650</v>
      </c>
      <c r="I90" t="s">
        <v>83</v>
      </c>
      <c r="J90" t="s">
        <v>110</v>
      </c>
      <c r="K90">
        <v>8.8000000000000007</v>
      </c>
      <c r="L90">
        <v>3.5999999999999992</v>
      </c>
      <c r="M90" s="41">
        <v>0</v>
      </c>
      <c r="O90" s="1"/>
    </row>
    <row r="91" spans="3:32" x14ac:dyDescent="0.2">
      <c r="C91" s="40">
        <v>19.872869600000001</v>
      </c>
      <c r="D91">
        <v>-102.16621809999999</v>
      </c>
      <c r="E91" t="s">
        <v>108</v>
      </c>
      <c r="F91" t="s">
        <v>127</v>
      </c>
      <c r="G91">
        <v>3</v>
      </c>
      <c r="H91" t="s">
        <v>2</v>
      </c>
      <c r="I91" t="s">
        <v>116</v>
      </c>
      <c r="J91" t="s">
        <v>110</v>
      </c>
      <c r="K91">
        <v>8.8000000000000007</v>
      </c>
      <c r="L91">
        <v>3.8000000000000007</v>
      </c>
      <c r="M91" s="41">
        <v>1.2</v>
      </c>
      <c r="O91" s="1"/>
    </row>
    <row r="92" spans="3:32" x14ac:dyDescent="0.2">
      <c r="C92" s="40">
        <v>20.771369</v>
      </c>
      <c r="D92">
        <v>-101.349383</v>
      </c>
      <c r="E92" t="str">
        <f>Tabla2[[#This Row],[UNIDAD DE MUESTREO]]</f>
        <v>IRAPUATO</v>
      </c>
      <c r="F92" t="s">
        <v>133</v>
      </c>
      <c r="G92">
        <v>93.1</v>
      </c>
      <c r="H92" t="s">
        <v>704</v>
      </c>
      <c r="I92" t="s">
        <v>119</v>
      </c>
      <c r="J92" t="s">
        <v>137</v>
      </c>
      <c r="K92">
        <v>8.6</v>
      </c>
      <c r="L92">
        <v>3.2399999999999998</v>
      </c>
      <c r="M92" s="41">
        <v>1.6</v>
      </c>
      <c r="O92" s="1"/>
    </row>
    <row r="93" spans="3:32" x14ac:dyDescent="0.2">
      <c r="C93" s="40">
        <v>20.064343000000001</v>
      </c>
      <c r="D93">
        <v>-102.254</v>
      </c>
      <c r="E93" t="str">
        <f>Tabla2[[#This Row],[UNIDAD DE MUESTREO]]</f>
        <v>VALLE DE ZAMORA</v>
      </c>
      <c r="F93" t="s">
        <v>108</v>
      </c>
      <c r="G93">
        <v>38.299999999999997</v>
      </c>
      <c r="H93" t="s">
        <v>681</v>
      </c>
      <c r="I93" t="s">
        <v>119</v>
      </c>
      <c r="J93" t="s">
        <v>110</v>
      </c>
      <c r="K93">
        <v>8</v>
      </c>
      <c r="L93">
        <v>3.2</v>
      </c>
      <c r="M93" s="41">
        <v>0.8</v>
      </c>
      <c r="O93" s="1"/>
    </row>
    <row r="94" spans="3:32" x14ac:dyDescent="0.2">
      <c r="C94" s="40">
        <v>20.766971999999999</v>
      </c>
      <c r="D94">
        <v>-101.36639599999999</v>
      </c>
      <c r="E94" t="str">
        <f>Tabla2[[#This Row],[UNIDAD DE MUESTREO]]</f>
        <v>IRAPUATO</v>
      </c>
      <c r="F94" t="s">
        <v>133</v>
      </c>
      <c r="G94">
        <v>94.3</v>
      </c>
      <c r="H94" t="s">
        <v>708</v>
      </c>
      <c r="I94" t="s">
        <v>114</v>
      </c>
      <c r="J94" t="s">
        <v>137</v>
      </c>
      <c r="K94">
        <v>8</v>
      </c>
      <c r="L94">
        <v>8</v>
      </c>
      <c r="M94" s="41">
        <v>8</v>
      </c>
      <c r="O94" s="1"/>
    </row>
    <row r="95" spans="3:32" x14ac:dyDescent="0.2">
      <c r="C95" s="40">
        <v>20.818342000000001</v>
      </c>
      <c r="D95">
        <v>-101.339924</v>
      </c>
      <c r="E95" t="str">
        <f>Tabla2[[#This Row],[UNIDAD DE MUESTREO]]</f>
        <v>IRAPUATO</v>
      </c>
      <c r="F95" t="s">
        <v>133</v>
      </c>
      <c r="G95">
        <v>105</v>
      </c>
      <c r="H95" t="s">
        <v>90</v>
      </c>
      <c r="I95" t="s">
        <v>126</v>
      </c>
      <c r="J95" t="s">
        <v>137</v>
      </c>
      <c r="K95">
        <v>8</v>
      </c>
      <c r="L95">
        <v>7.76</v>
      </c>
      <c r="M95" s="41">
        <v>7.6</v>
      </c>
      <c r="O95" s="1"/>
    </row>
    <row r="96" spans="3:32" x14ac:dyDescent="0.2">
      <c r="C96" s="40">
        <v>20.818978000000001</v>
      </c>
      <c r="D96">
        <v>-101.332172</v>
      </c>
      <c r="E96" t="str">
        <f>Tabla2[[#This Row],[UNIDAD DE MUESTREO]]</f>
        <v>IRAPUATO</v>
      </c>
      <c r="F96" t="s">
        <v>133</v>
      </c>
      <c r="G96">
        <v>109</v>
      </c>
      <c r="H96" t="s">
        <v>94</v>
      </c>
      <c r="I96" t="s">
        <v>126</v>
      </c>
      <c r="J96" t="s">
        <v>137</v>
      </c>
      <c r="K96">
        <v>7.6</v>
      </c>
      <c r="L96">
        <v>7.0400000000000009</v>
      </c>
      <c r="M96" s="41">
        <v>6.8</v>
      </c>
      <c r="O96" s="1"/>
    </row>
    <row r="97" spans="3:15" x14ac:dyDescent="0.2">
      <c r="C97" s="40">
        <v>20.000793999999999</v>
      </c>
      <c r="D97">
        <v>-102.336607</v>
      </c>
      <c r="E97" t="str">
        <f>Tabla2[[#This Row],[UNIDAD DE MUESTREO]]</f>
        <v>VALLE DE ZAMORA</v>
      </c>
      <c r="F97" t="s">
        <v>108</v>
      </c>
      <c r="G97">
        <v>47</v>
      </c>
      <c r="H97" t="s">
        <v>690</v>
      </c>
      <c r="I97" t="s">
        <v>111</v>
      </c>
      <c r="J97" t="s">
        <v>110</v>
      </c>
      <c r="K97">
        <v>7.2</v>
      </c>
      <c r="L97">
        <v>4.4399999999999995</v>
      </c>
      <c r="M97" s="41">
        <v>1.2</v>
      </c>
      <c r="O97" s="1"/>
    </row>
    <row r="98" spans="3:15" x14ac:dyDescent="0.2">
      <c r="C98" s="40">
        <v>19.851375300000001</v>
      </c>
      <c r="D98">
        <v>-102.2016856</v>
      </c>
      <c r="E98" t="s">
        <v>108</v>
      </c>
      <c r="F98" t="s">
        <v>127</v>
      </c>
      <c r="G98">
        <v>1.1000000000000001</v>
      </c>
      <c r="H98" t="s">
        <v>648</v>
      </c>
      <c r="I98" t="s">
        <v>111</v>
      </c>
      <c r="J98" t="s">
        <v>110</v>
      </c>
      <c r="K98">
        <v>7</v>
      </c>
      <c r="L98">
        <v>4.08</v>
      </c>
      <c r="M98" s="41">
        <v>0.2</v>
      </c>
      <c r="O98" s="1"/>
    </row>
    <row r="99" spans="3:15" x14ac:dyDescent="0.2">
      <c r="C99" s="40">
        <v>20.974211</v>
      </c>
      <c r="D99">
        <v>-101.345771</v>
      </c>
      <c r="E99" t="str">
        <f>Tabla2[[#This Row],[UNIDAD DE MUESTREO]]</f>
        <v>IRAPUATO</v>
      </c>
      <c r="F99" t="s">
        <v>133</v>
      </c>
      <c r="G99">
        <v>95.1</v>
      </c>
      <c r="H99" t="s">
        <v>709</v>
      </c>
      <c r="I99" t="s">
        <v>126</v>
      </c>
      <c r="J99" t="s">
        <v>137</v>
      </c>
      <c r="K99">
        <v>7</v>
      </c>
      <c r="L99">
        <v>4.16</v>
      </c>
      <c r="M99" s="41">
        <v>3</v>
      </c>
      <c r="O99" s="1"/>
    </row>
    <row r="100" spans="3:15" x14ac:dyDescent="0.2">
      <c r="C100" s="40">
        <v>20.899249999999999</v>
      </c>
      <c r="D100">
        <v>-101.350193</v>
      </c>
      <c r="E100" t="str">
        <f>Tabla2[[#This Row],[UNIDAD DE MUESTREO]]</f>
        <v>IRAPUATO</v>
      </c>
      <c r="F100" t="s">
        <v>133</v>
      </c>
      <c r="G100">
        <v>99</v>
      </c>
      <c r="H100" t="s">
        <v>711</v>
      </c>
      <c r="I100" t="s">
        <v>126</v>
      </c>
      <c r="J100" t="s">
        <v>137</v>
      </c>
      <c r="K100">
        <v>7</v>
      </c>
      <c r="L100">
        <v>4.04</v>
      </c>
      <c r="M100" s="41">
        <v>2.8</v>
      </c>
      <c r="O100" s="1"/>
    </row>
    <row r="101" spans="3:15" x14ac:dyDescent="0.2">
      <c r="C101" s="40">
        <v>20.831773599999998</v>
      </c>
      <c r="D101">
        <v>-101.36178580000001</v>
      </c>
      <c r="E101" t="str">
        <f>Tabla2[[#This Row],[UNIDAD DE MUESTREO]]</f>
        <v>IRAPUATO</v>
      </c>
      <c r="F101" t="s">
        <v>133</v>
      </c>
      <c r="G101">
        <v>106.1</v>
      </c>
      <c r="H101" t="s">
        <v>714</v>
      </c>
      <c r="I101" t="s">
        <v>125</v>
      </c>
      <c r="J101" t="s">
        <v>110</v>
      </c>
      <c r="K101">
        <v>6.8</v>
      </c>
      <c r="L101">
        <v>4.16</v>
      </c>
      <c r="M101" s="41">
        <v>1.2</v>
      </c>
      <c r="O101" s="1"/>
    </row>
    <row r="102" spans="3:15" x14ac:dyDescent="0.2">
      <c r="C102" s="40">
        <v>20.616054999999999</v>
      </c>
      <c r="D102">
        <v>-101.47708799999999</v>
      </c>
      <c r="E102" t="str">
        <f>Tabla2[[#This Row],[UNIDAD DE MUESTREO]]</f>
        <v>IRAPUATO</v>
      </c>
      <c r="F102" t="s">
        <v>133</v>
      </c>
      <c r="G102">
        <v>84</v>
      </c>
      <c r="H102" t="s">
        <v>71</v>
      </c>
      <c r="I102" t="s">
        <v>114</v>
      </c>
      <c r="J102" t="s">
        <v>137</v>
      </c>
      <c r="K102">
        <v>6.6</v>
      </c>
      <c r="L102">
        <v>3.2399999999999998</v>
      </c>
      <c r="M102" s="41">
        <v>2.4</v>
      </c>
      <c r="O102" s="1"/>
    </row>
    <row r="103" spans="3:15" x14ac:dyDescent="0.2">
      <c r="C103" s="40">
        <v>19.789237</v>
      </c>
      <c r="D103">
        <v>-100.437485</v>
      </c>
      <c r="E103" t="str">
        <f>Tabla2[[#This Row],[UNIDAD DE MUESTREO]]</f>
        <v>MARAVATIO</v>
      </c>
      <c r="F103" t="s">
        <v>129</v>
      </c>
      <c r="G103">
        <v>76.099999999999994</v>
      </c>
      <c r="H103" t="s">
        <v>700</v>
      </c>
      <c r="I103" t="s">
        <v>131</v>
      </c>
      <c r="J103" t="s">
        <v>110</v>
      </c>
      <c r="K103">
        <v>6.4</v>
      </c>
      <c r="L103">
        <v>2.7600000000000002</v>
      </c>
      <c r="M103" s="41">
        <v>1</v>
      </c>
      <c r="O103" s="1"/>
    </row>
    <row r="104" spans="3:15" x14ac:dyDescent="0.2">
      <c r="C104" s="40">
        <v>19.894107999999999</v>
      </c>
      <c r="D104">
        <v>-102.193709</v>
      </c>
      <c r="E104" t="s">
        <v>108</v>
      </c>
      <c r="F104" t="s">
        <v>127</v>
      </c>
      <c r="G104">
        <v>5.2</v>
      </c>
      <c r="H104" t="s">
        <v>656</v>
      </c>
      <c r="I104" t="s">
        <v>111</v>
      </c>
      <c r="J104" t="s">
        <v>110</v>
      </c>
      <c r="K104">
        <v>6.2</v>
      </c>
      <c r="L104">
        <v>2.56</v>
      </c>
      <c r="M104" s="41">
        <v>0</v>
      </c>
      <c r="O104" s="1"/>
    </row>
    <row r="105" spans="3:15" x14ac:dyDescent="0.2">
      <c r="C105" s="40">
        <v>19.962596600000001</v>
      </c>
      <c r="D105">
        <v>-102.28786839999999</v>
      </c>
      <c r="E105" t="str">
        <f>Tabla2[[#This Row],[UNIDAD DE MUESTREO]]</f>
        <v>VALLE DE ZAMORA</v>
      </c>
      <c r="F105" t="s">
        <v>108</v>
      </c>
      <c r="G105">
        <v>9.1</v>
      </c>
      <c r="H105" t="s">
        <v>657</v>
      </c>
      <c r="I105" t="s">
        <v>113</v>
      </c>
      <c r="J105" t="s">
        <v>110</v>
      </c>
      <c r="K105">
        <v>6.2</v>
      </c>
      <c r="L105">
        <v>4.8</v>
      </c>
      <c r="M105" s="41">
        <v>2.8</v>
      </c>
      <c r="O105" s="1"/>
    </row>
    <row r="106" spans="3:15" x14ac:dyDescent="0.2">
      <c r="C106" s="40">
        <v>19.963667999999998</v>
      </c>
      <c r="D106">
        <v>-102.289811</v>
      </c>
      <c r="E106" t="str">
        <f>Tabla2[[#This Row],[UNIDAD DE MUESTREO]]</f>
        <v>VALLE DE ZAMORA</v>
      </c>
      <c r="F106" t="s">
        <v>108</v>
      </c>
      <c r="G106">
        <v>10</v>
      </c>
      <c r="H106" t="s">
        <v>9</v>
      </c>
      <c r="I106" t="s">
        <v>109</v>
      </c>
      <c r="J106" t="s">
        <v>110</v>
      </c>
      <c r="K106">
        <v>6</v>
      </c>
      <c r="L106">
        <v>4.9599999999999991</v>
      </c>
      <c r="M106" s="41">
        <v>3.8</v>
      </c>
      <c r="O106" s="1"/>
    </row>
    <row r="107" spans="3:15" x14ac:dyDescent="0.2">
      <c r="C107" s="40">
        <v>20.0550526</v>
      </c>
      <c r="D107">
        <v>-102.29137299999999</v>
      </c>
      <c r="E107" t="str">
        <f>Tabla2[[#This Row],[UNIDAD DE MUESTREO]]</f>
        <v>VALLE DE ZAMORA</v>
      </c>
      <c r="F107" t="s">
        <v>108</v>
      </c>
      <c r="G107">
        <v>49</v>
      </c>
      <c r="H107" t="s">
        <v>693</v>
      </c>
      <c r="I107" t="s">
        <v>114</v>
      </c>
      <c r="J107" t="s">
        <v>110</v>
      </c>
      <c r="K107">
        <v>6</v>
      </c>
      <c r="L107">
        <v>5.52</v>
      </c>
      <c r="M107" s="41">
        <v>5</v>
      </c>
      <c r="O107" s="1"/>
    </row>
    <row r="108" spans="3:15" x14ac:dyDescent="0.2">
      <c r="C108" s="40">
        <v>20.056356000000001</v>
      </c>
      <c r="D108">
        <v>-100.515424</v>
      </c>
      <c r="E108" t="str">
        <f>Tabla2[[#This Row],[UNIDAD DE MUESTREO]]</f>
        <v>MARAVATIO</v>
      </c>
      <c r="F108" t="s">
        <v>129</v>
      </c>
      <c r="G108">
        <v>60</v>
      </c>
      <c r="H108" t="s">
        <v>48</v>
      </c>
      <c r="I108" t="s">
        <v>116</v>
      </c>
      <c r="J108" t="s">
        <v>110</v>
      </c>
      <c r="K108">
        <v>6</v>
      </c>
      <c r="L108">
        <v>3.7600000000000002</v>
      </c>
      <c r="M108" s="41">
        <v>1</v>
      </c>
      <c r="O108" s="1"/>
    </row>
    <row r="109" spans="3:15" x14ac:dyDescent="0.2">
      <c r="C109" s="40">
        <v>20.767547</v>
      </c>
      <c r="D109">
        <v>-101.360462</v>
      </c>
      <c r="E109" t="str">
        <f>Tabla2[[#This Row],[UNIDAD DE MUESTREO]]</f>
        <v>IRAPUATO</v>
      </c>
      <c r="F109" t="s">
        <v>133</v>
      </c>
      <c r="G109">
        <v>94.2</v>
      </c>
      <c r="H109" t="s">
        <v>707</v>
      </c>
      <c r="I109" t="s">
        <v>126</v>
      </c>
      <c r="J109" t="s">
        <v>110</v>
      </c>
      <c r="K109">
        <v>5.8</v>
      </c>
      <c r="L109">
        <v>3.7600000000000002</v>
      </c>
      <c r="M109" s="41">
        <v>2.8</v>
      </c>
      <c r="O109" s="1"/>
    </row>
    <row r="110" spans="3:15" x14ac:dyDescent="0.2">
      <c r="C110" s="40">
        <v>19.948166000000001</v>
      </c>
      <c r="D110">
        <v>-102.275535</v>
      </c>
      <c r="E110" t="str">
        <f>Tabla2[[#This Row],[UNIDAD DE MUESTREO]]</f>
        <v>VALLE DE ZAMORA</v>
      </c>
      <c r="F110" t="s">
        <v>108</v>
      </c>
      <c r="G110">
        <v>16.2</v>
      </c>
      <c r="H110" t="s">
        <v>666</v>
      </c>
      <c r="I110" t="s">
        <v>116</v>
      </c>
      <c r="J110" t="s">
        <v>110</v>
      </c>
      <c r="K110">
        <v>5.4</v>
      </c>
      <c r="L110">
        <v>2.88</v>
      </c>
      <c r="M110" s="41">
        <v>0.8</v>
      </c>
      <c r="O110" s="1"/>
    </row>
    <row r="111" spans="3:15" x14ac:dyDescent="0.2">
      <c r="C111" s="40">
        <v>20.720842999999999</v>
      </c>
      <c r="D111">
        <v>-101.345713</v>
      </c>
      <c r="E111" t="str">
        <f>Tabla2[[#This Row],[UNIDAD DE MUESTREO]]</f>
        <v>IRAPUATO</v>
      </c>
      <c r="F111" t="s">
        <v>133</v>
      </c>
      <c r="G111">
        <v>78</v>
      </c>
      <c r="H111" t="s">
        <v>66</v>
      </c>
      <c r="I111" t="s">
        <v>126</v>
      </c>
      <c r="J111" t="s">
        <v>110</v>
      </c>
      <c r="K111">
        <v>5.4</v>
      </c>
      <c r="L111">
        <v>5.24</v>
      </c>
      <c r="M111" s="41">
        <v>5.2</v>
      </c>
      <c r="O111" s="1"/>
    </row>
    <row r="112" spans="3:15" x14ac:dyDescent="0.2">
      <c r="C112" s="40">
        <v>19.958271</v>
      </c>
      <c r="D112">
        <v>-102.27769600000001</v>
      </c>
      <c r="E112" t="str">
        <f>Tabla2[[#This Row],[UNIDAD DE MUESTREO]]</f>
        <v>VALLE DE ZAMORA</v>
      </c>
      <c r="F112" t="s">
        <v>108</v>
      </c>
      <c r="G112">
        <v>14.2</v>
      </c>
      <c r="H112" t="s">
        <v>662</v>
      </c>
      <c r="I112" t="s">
        <v>115</v>
      </c>
      <c r="J112" t="s">
        <v>110</v>
      </c>
      <c r="K112">
        <v>5</v>
      </c>
      <c r="L112">
        <v>4.4400000000000004</v>
      </c>
      <c r="M112" s="41">
        <v>2.2000000000000002</v>
      </c>
      <c r="O112" s="1"/>
    </row>
    <row r="113" spans="3:15" x14ac:dyDescent="0.2">
      <c r="C113" s="40">
        <v>19.948892000000001</v>
      </c>
      <c r="D113">
        <v>-102.276833</v>
      </c>
      <c r="E113" t="str">
        <f>Tabla2[[#This Row],[UNIDAD DE MUESTREO]]</f>
        <v>VALLE DE ZAMORA</v>
      </c>
      <c r="F113" t="s">
        <v>108</v>
      </c>
      <c r="G113">
        <v>16.100000000000001</v>
      </c>
      <c r="H113" t="s">
        <v>665</v>
      </c>
      <c r="I113" t="s">
        <v>83</v>
      </c>
      <c r="J113" t="s">
        <v>110</v>
      </c>
      <c r="K113">
        <v>5</v>
      </c>
      <c r="L113">
        <v>2.4799999999999995</v>
      </c>
      <c r="M113" s="41">
        <v>0.4</v>
      </c>
      <c r="O113" s="1"/>
    </row>
    <row r="114" spans="3:15" x14ac:dyDescent="0.2">
      <c r="C114" s="40">
        <v>20.802332</v>
      </c>
      <c r="D114">
        <v>-101.346537</v>
      </c>
      <c r="E114" t="str">
        <f>Tabla2[[#This Row],[UNIDAD DE MUESTREO]]</f>
        <v>IRAPUATO</v>
      </c>
      <c r="F114" t="s">
        <v>133</v>
      </c>
      <c r="G114">
        <v>97</v>
      </c>
      <c r="H114" t="s">
        <v>82</v>
      </c>
      <c r="I114" t="s">
        <v>126</v>
      </c>
      <c r="J114" t="s">
        <v>137</v>
      </c>
      <c r="K114">
        <v>4.4000000000000004</v>
      </c>
      <c r="L114">
        <v>3.8</v>
      </c>
      <c r="M114" s="41">
        <v>3.4</v>
      </c>
      <c r="O114" s="1"/>
    </row>
    <row r="115" spans="3:15" x14ac:dyDescent="0.2">
      <c r="C115" s="40">
        <v>19.956486999999999</v>
      </c>
      <c r="D115">
        <v>-102.276422</v>
      </c>
      <c r="E115" t="str">
        <f>Tabla2[[#This Row],[UNIDAD DE MUESTREO]]</f>
        <v>VALLE DE ZAMORA</v>
      </c>
      <c r="F115" t="s">
        <v>108</v>
      </c>
      <c r="G115">
        <v>15.1</v>
      </c>
      <c r="H115" t="s">
        <v>663</v>
      </c>
      <c r="I115" t="s">
        <v>114</v>
      </c>
      <c r="J115" t="s">
        <v>110</v>
      </c>
      <c r="K115">
        <v>4</v>
      </c>
      <c r="L115">
        <v>2.96</v>
      </c>
      <c r="M115" s="41">
        <v>2</v>
      </c>
      <c r="O115" s="1"/>
    </row>
    <row r="116" spans="3:15" x14ac:dyDescent="0.2">
      <c r="C116" s="40">
        <v>20.020793000000001</v>
      </c>
      <c r="D116">
        <v>-102.25533299999999</v>
      </c>
      <c r="E116" t="str">
        <f>Tabla2[[#This Row],[UNIDAD DE MUESTREO]]</f>
        <v>VALLE DE ZAMORA</v>
      </c>
      <c r="F116" t="s">
        <v>108</v>
      </c>
      <c r="G116">
        <v>36.200000000000003</v>
      </c>
      <c r="H116" t="s">
        <v>676</v>
      </c>
      <c r="I116" t="s">
        <v>83</v>
      </c>
      <c r="J116" t="s">
        <v>110</v>
      </c>
      <c r="K116">
        <v>3.6</v>
      </c>
      <c r="L116">
        <v>2.3600000000000003</v>
      </c>
      <c r="M116" s="41">
        <v>1</v>
      </c>
      <c r="O116" s="1"/>
    </row>
    <row r="117" spans="3:15" x14ac:dyDescent="0.2">
      <c r="C117" s="40">
        <v>19.9613014</v>
      </c>
      <c r="D117">
        <v>-102.28248779</v>
      </c>
      <c r="E117" t="str">
        <f>Tabla2[[#This Row],[UNIDAD DE MUESTREO]]</f>
        <v>VALLE DE ZAMORA</v>
      </c>
      <c r="F117" t="s">
        <v>108</v>
      </c>
      <c r="G117">
        <v>11</v>
      </c>
      <c r="H117" t="s">
        <v>492</v>
      </c>
      <c r="I117" t="s">
        <v>111</v>
      </c>
      <c r="J117" t="s">
        <v>110</v>
      </c>
      <c r="K117">
        <v>3.4</v>
      </c>
      <c r="L117">
        <v>2.44</v>
      </c>
      <c r="M117" s="41">
        <v>0.6</v>
      </c>
      <c r="O117" s="1"/>
    </row>
    <row r="118" spans="3:15" x14ac:dyDescent="0.2">
      <c r="C118" s="40">
        <v>19.957747000000001</v>
      </c>
      <c r="D118">
        <v>-102.27838300000001</v>
      </c>
      <c r="E118" t="str">
        <f>Tabla2[[#This Row],[UNIDAD DE MUESTREO]]</f>
        <v>VALLE DE ZAMORA</v>
      </c>
      <c r="F118" t="s">
        <v>108</v>
      </c>
      <c r="G118">
        <v>14.1</v>
      </c>
      <c r="H118" t="s">
        <v>661</v>
      </c>
      <c r="I118" t="s">
        <v>111</v>
      </c>
      <c r="J118" t="s">
        <v>110</v>
      </c>
      <c r="K118">
        <v>3.2</v>
      </c>
      <c r="L118">
        <v>2.6</v>
      </c>
      <c r="M118" s="41">
        <v>1</v>
      </c>
      <c r="O118" s="1"/>
    </row>
    <row r="119" spans="3:15" x14ac:dyDescent="0.2">
      <c r="C119" s="40">
        <v>20.588294999999999</v>
      </c>
      <c r="D119">
        <v>-101.405829</v>
      </c>
      <c r="E119" t="str">
        <f>Tabla2[[#This Row],[UNIDAD DE MUESTREO]]</f>
        <v>IRAPUATO</v>
      </c>
      <c r="F119" t="s">
        <v>133</v>
      </c>
      <c r="G119">
        <v>90</v>
      </c>
      <c r="H119" t="s">
        <v>76</v>
      </c>
      <c r="I119" t="s">
        <v>118</v>
      </c>
      <c r="J119" t="s">
        <v>137</v>
      </c>
      <c r="K119">
        <v>3</v>
      </c>
      <c r="L119">
        <v>2.04</v>
      </c>
      <c r="M119" s="41">
        <v>1.8</v>
      </c>
      <c r="O119" s="1"/>
    </row>
    <row r="120" spans="3:15" x14ac:dyDescent="0.2">
      <c r="C120" s="40">
        <v>20.798483999999998</v>
      </c>
      <c r="D120">
        <v>-101.336741</v>
      </c>
      <c r="E120" t="str">
        <f>Tabla2[[#This Row],[UNIDAD DE MUESTREO]]</f>
        <v>IRAPUATO</v>
      </c>
      <c r="F120" t="s">
        <v>133</v>
      </c>
      <c r="G120">
        <v>96</v>
      </c>
      <c r="H120" t="s">
        <v>81</v>
      </c>
      <c r="I120" t="s">
        <v>125</v>
      </c>
      <c r="J120" t="s">
        <v>137</v>
      </c>
      <c r="K120">
        <v>3</v>
      </c>
      <c r="L120">
        <v>3</v>
      </c>
      <c r="M120" s="41">
        <v>3</v>
      </c>
      <c r="O120" s="1"/>
    </row>
    <row r="121" spans="3:15" x14ac:dyDescent="0.2">
      <c r="C121" s="40">
        <v>19.964310900000001</v>
      </c>
      <c r="D121">
        <v>-102.2894348</v>
      </c>
      <c r="E121" t="str">
        <f>Tabla2[[#This Row],[UNIDAD DE MUESTREO]]</f>
        <v>VALLE DE ZAMORA</v>
      </c>
      <c r="F121" t="s">
        <v>108</v>
      </c>
      <c r="G121">
        <v>7</v>
      </c>
      <c r="H121" t="s">
        <v>6</v>
      </c>
      <c r="I121" t="s">
        <v>111</v>
      </c>
      <c r="J121" t="s">
        <v>110</v>
      </c>
      <c r="K121">
        <v>2.8</v>
      </c>
      <c r="L121">
        <v>1.52</v>
      </c>
      <c r="M121" s="41">
        <v>0.4</v>
      </c>
      <c r="O121" s="1"/>
    </row>
    <row r="122" spans="3:15" x14ac:dyDescent="0.2">
      <c r="C122" s="40">
        <v>20.583618999999999</v>
      </c>
      <c r="D122">
        <v>-101.40659100000001</v>
      </c>
      <c r="E122" t="str">
        <f>Tabla2[[#This Row],[UNIDAD DE MUESTREO]]</f>
        <v>IRAPUATO</v>
      </c>
      <c r="F122" t="s">
        <v>133</v>
      </c>
      <c r="G122">
        <v>86</v>
      </c>
      <c r="H122" t="s">
        <v>73</v>
      </c>
      <c r="I122" t="s">
        <v>136</v>
      </c>
      <c r="J122" t="s">
        <v>137</v>
      </c>
      <c r="K122">
        <v>2.8</v>
      </c>
      <c r="L122">
        <v>0.56000000000000005</v>
      </c>
      <c r="M122" s="41">
        <v>0</v>
      </c>
      <c r="O122" s="1"/>
    </row>
    <row r="123" spans="3:15" x14ac:dyDescent="0.2">
      <c r="C123" s="40">
        <v>19.974881</v>
      </c>
      <c r="D123">
        <v>-102.34103899999999</v>
      </c>
      <c r="E123" t="str">
        <f>Tabla2[[#This Row],[UNIDAD DE MUESTREO]]</f>
        <v>VALLE DE ZAMORA</v>
      </c>
      <c r="F123" t="s">
        <v>108</v>
      </c>
      <c r="G123">
        <v>21.1</v>
      </c>
      <c r="H123" t="s">
        <v>670</v>
      </c>
      <c r="I123" t="s">
        <v>126</v>
      </c>
      <c r="J123" t="s">
        <v>110</v>
      </c>
      <c r="K123">
        <v>2.6</v>
      </c>
      <c r="L123">
        <v>1.8799999999999997</v>
      </c>
      <c r="M123" s="41">
        <v>0.4</v>
      </c>
      <c r="O123" s="1"/>
    </row>
    <row r="124" spans="3:15" x14ac:dyDescent="0.2">
      <c r="C124" s="40">
        <v>19.851603999999998</v>
      </c>
      <c r="D124">
        <v>-102.202381</v>
      </c>
      <c r="E124" t="s">
        <v>108</v>
      </c>
      <c r="F124" t="s">
        <v>127</v>
      </c>
      <c r="G124">
        <v>1.4</v>
      </c>
      <c r="H124" t="s">
        <v>651</v>
      </c>
      <c r="I124" t="s">
        <v>128</v>
      </c>
      <c r="J124" t="s">
        <v>110</v>
      </c>
      <c r="K124">
        <v>2.4</v>
      </c>
      <c r="L124">
        <v>0.52</v>
      </c>
      <c r="M124" s="41">
        <v>0</v>
      </c>
      <c r="O124" s="1"/>
    </row>
    <row r="125" spans="3:15" x14ac:dyDescent="0.2">
      <c r="C125" s="40">
        <v>19.948054200000001</v>
      </c>
      <c r="D125">
        <v>-102.2752496</v>
      </c>
      <c r="E125" t="str">
        <f>Tabla2[[#This Row],[UNIDAD DE MUESTREO]]</f>
        <v>VALLE DE ZAMORA</v>
      </c>
      <c r="F125" t="s">
        <v>108</v>
      </c>
      <c r="G125">
        <v>17</v>
      </c>
      <c r="H125" t="s">
        <v>16</v>
      </c>
      <c r="I125" t="s">
        <v>118</v>
      </c>
      <c r="J125" t="s">
        <v>110</v>
      </c>
      <c r="K125">
        <v>2.2000000000000002</v>
      </c>
      <c r="L125">
        <v>1.64</v>
      </c>
      <c r="M125" s="41">
        <v>1</v>
      </c>
      <c r="O125" s="1"/>
    </row>
    <row r="126" spans="3:15" x14ac:dyDescent="0.2">
      <c r="C126" s="40">
        <v>19.960851000000002</v>
      </c>
      <c r="D126">
        <v>-102.28822099999999</v>
      </c>
      <c r="E126" t="str">
        <f>Tabla2[[#This Row],[UNIDAD DE MUESTREO]]</f>
        <v>VALLE DE ZAMORA</v>
      </c>
      <c r="F126" t="s">
        <v>108</v>
      </c>
      <c r="G126">
        <v>13</v>
      </c>
      <c r="H126" t="s">
        <v>12</v>
      </c>
      <c r="I126" t="s">
        <v>114</v>
      </c>
      <c r="J126" t="s">
        <v>110</v>
      </c>
      <c r="K126">
        <v>2</v>
      </c>
      <c r="L126">
        <v>0.96000000000000019</v>
      </c>
      <c r="M126" s="41">
        <v>0.2</v>
      </c>
      <c r="O126" s="1"/>
    </row>
    <row r="127" spans="3:15" x14ac:dyDescent="0.2">
      <c r="C127" s="40">
        <v>20.587098000000001</v>
      </c>
      <c r="D127">
        <v>-101.39999</v>
      </c>
      <c r="E127" t="str">
        <f>Tabla2[[#This Row],[UNIDAD DE MUESTREO]]</f>
        <v>IRAPUATO</v>
      </c>
      <c r="F127" t="s">
        <v>133</v>
      </c>
      <c r="G127">
        <v>88</v>
      </c>
      <c r="H127" t="s">
        <v>74</v>
      </c>
      <c r="I127" t="s">
        <v>135</v>
      </c>
      <c r="J127" t="s">
        <v>137</v>
      </c>
      <c r="K127">
        <v>2</v>
      </c>
      <c r="L127">
        <v>2</v>
      </c>
      <c r="M127" s="41">
        <v>2</v>
      </c>
      <c r="O127" s="1"/>
    </row>
    <row r="128" spans="3:15" x14ac:dyDescent="0.2">
      <c r="C128" s="40">
        <v>19.891897</v>
      </c>
      <c r="D128">
        <v>-102.183584</v>
      </c>
      <c r="E128" t="s">
        <v>108</v>
      </c>
      <c r="F128" t="s">
        <v>127</v>
      </c>
      <c r="G128">
        <v>4.2</v>
      </c>
      <c r="H128" t="s">
        <v>654</v>
      </c>
      <c r="I128" t="s">
        <v>83</v>
      </c>
      <c r="J128" t="s">
        <v>110</v>
      </c>
      <c r="K128">
        <v>1.8</v>
      </c>
      <c r="L128">
        <v>0.6</v>
      </c>
      <c r="M128" s="41">
        <v>0</v>
      </c>
      <c r="O128" s="1"/>
    </row>
    <row r="129" spans="3:15" x14ac:dyDescent="0.2">
      <c r="C129" s="40">
        <v>19.851088000000001</v>
      </c>
      <c r="D129">
        <v>-102.200778</v>
      </c>
      <c r="E129" t="s">
        <v>108</v>
      </c>
      <c r="F129" t="s">
        <v>127</v>
      </c>
      <c r="G129">
        <v>1.2</v>
      </c>
      <c r="H129" t="s">
        <v>649</v>
      </c>
      <c r="I129" t="s">
        <v>119</v>
      </c>
      <c r="J129" t="s">
        <v>110</v>
      </c>
      <c r="K129">
        <v>1.6</v>
      </c>
      <c r="L129">
        <v>0.64</v>
      </c>
      <c r="M129" s="41">
        <v>0</v>
      </c>
      <c r="O129" s="1"/>
    </row>
    <row r="130" spans="3:15" x14ac:dyDescent="0.2">
      <c r="C130" s="40">
        <v>19.963888000000001</v>
      </c>
      <c r="D130">
        <v>-102.28857600000001</v>
      </c>
      <c r="E130" t="str">
        <f>Tabla2[[#This Row],[UNIDAD DE MUESTREO]]</f>
        <v>VALLE DE ZAMORA</v>
      </c>
      <c r="F130" t="s">
        <v>108</v>
      </c>
      <c r="G130">
        <v>8.1999999999999993</v>
      </c>
      <c r="H130" t="s">
        <v>660</v>
      </c>
      <c r="I130" t="s">
        <v>112</v>
      </c>
      <c r="J130" t="s">
        <v>110</v>
      </c>
      <c r="K130">
        <v>1.6</v>
      </c>
      <c r="L130">
        <v>1.0400000000000003</v>
      </c>
      <c r="M130" s="41">
        <v>0</v>
      </c>
      <c r="O130" s="1"/>
    </row>
    <row r="131" spans="3:15" x14ac:dyDescent="0.2">
      <c r="C131" s="40">
        <v>19.892071999999999</v>
      </c>
      <c r="D131">
        <v>-102.18455</v>
      </c>
      <c r="E131" t="s">
        <v>108</v>
      </c>
      <c r="F131" t="s">
        <v>127</v>
      </c>
      <c r="G131">
        <v>4.0999999999999996</v>
      </c>
      <c r="H131" t="s">
        <v>653</v>
      </c>
      <c r="I131" t="s">
        <v>116</v>
      </c>
      <c r="J131" t="s">
        <v>110</v>
      </c>
      <c r="K131">
        <v>1.4</v>
      </c>
      <c r="L131">
        <v>0.4</v>
      </c>
      <c r="M131" s="41">
        <v>0</v>
      </c>
      <c r="O131" s="1"/>
    </row>
    <row r="132" spans="3:15" x14ac:dyDescent="0.2">
      <c r="C132" s="40">
        <v>19.962468999999999</v>
      </c>
      <c r="D132">
        <v>-102.289018</v>
      </c>
      <c r="E132" t="str">
        <f>Tabla2[[#This Row],[UNIDAD DE MUESTREO]]</f>
        <v>VALLE DE ZAMORA</v>
      </c>
      <c r="F132" t="s">
        <v>108</v>
      </c>
      <c r="G132">
        <v>6</v>
      </c>
      <c r="H132" t="s">
        <v>5</v>
      </c>
      <c r="I132" t="s">
        <v>109</v>
      </c>
      <c r="J132" t="s">
        <v>110</v>
      </c>
      <c r="K132">
        <v>1</v>
      </c>
      <c r="L132">
        <v>0.44000000000000006</v>
      </c>
      <c r="M132" s="41">
        <v>0</v>
      </c>
      <c r="O132" s="1"/>
    </row>
    <row r="133" spans="3:15" x14ac:dyDescent="0.2">
      <c r="C133" s="40">
        <v>19.957212999999999</v>
      </c>
      <c r="D133">
        <v>-102.276111</v>
      </c>
      <c r="E133" t="str">
        <f>Tabla2[[#This Row],[UNIDAD DE MUESTREO]]</f>
        <v>VALLE DE ZAMORA</v>
      </c>
      <c r="F133" t="s">
        <v>108</v>
      </c>
      <c r="G133">
        <v>15.2</v>
      </c>
      <c r="H133" t="s">
        <v>664</v>
      </c>
      <c r="I133" t="s">
        <v>116</v>
      </c>
      <c r="J133" t="s">
        <v>110</v>
      </c>
      <c r="K133">
        <v>0.6</v>
      </c>
      <c r="L133">
        <v>0.52</v>
      </c>
      <c r="M133" s="41">
        <v>0.4</v>
      </c>
      <c r="O133" s="1"/>
    </row>
    <row r="134" spans="3:15" x14ac:dyDescent="0.2">
      <c r="C134" s="40">
        <v>20.58541</v>
      </c>
      <c r="D134">
        <v>-101.400468</v>
      </c>
      <c r="E134" t="str">
        <f>Tabla2[[#This Row],[UNIDAD DE MUESTREO]]</f>
        <v>IRAPUATO</v>
      </c>
      <c r="F134" t="s">
        <v>133</v>
      </c>
      <c r="G134">
        <v>89</v>
      </c>
      <c r="H134" t="s">
        <v>75</v>
      </c>
      <c r="I134" t="s">
        <v>130</v>
      </c>
      <c r="J134" t="s">
        <v>137</v>
      </c>
      <c r="K134">
        <v>0.6</v>
      </c>
      <c r="L134">
        <v>0.12000000000000002</v>
      </c>
      <c r="M134" s="41">
        <v>0</v>
      </c>
      <c r="O134" s="1"/>
    </row>
    <row r="135" spans="3:15" x14ac:dyDescent="0.2">
      <c r="C135" s="40">
        <v>20.622441999999999</v>
      </c>
      <c r="D135">
        <v>-101.48090999999999</v>
      </c>
      <c r="E135" t="str">
        <f>Tabla2[[#This Row],[UNIDAD DE MUESTREO]]</f>
        <v>IRAPUATO</v>
      </c>
      <c r="F135" t="s">
        <v>133</v>
      </c>
      <c r="G135">
        <v>83</v>
      </c>
      <c r="H135" t="s">
        <v>70</v>
      </c>
      <c r="I135" t="s">
        <v>114</v>
      </c>
      <c r="J135" t="s">
        <v>137</v>
      </c>
      <c r="K135">
        <v>0.4</v>
      </c>
      <c r="L135">
        <v>0.12000000000000002</v>
      </c>
      <c r="M135" s="41">
        <v>0</v>
      </c>
      <c r="O135" s="1"/>
    </row>
    <row r="136" spans="3:15" x14ac:dyDescent="0.2">
      <c r="C136" s="40">
        <v>19.892321500000001</v>
      </c>
      <c r="D136">
        <v>-102.18538119999999</v>
      </c>
      <c r="E136" t="s">
        <v>108</v>
      </c>
      <c r="F136" t="s">
        <v>127</v>
      </c>
      <c r="G136">
        <v>4.3</v>
      </c>
      <c r="H136" t="s">
        <v>652</v>
      </c>
      <c r="I136" t="s">
        <v>122</v>
      </c>
      <c r="J136" t="s">
        <v>110</v>
      </c>
      <c r="K136">
        <v>0</v>
      </c>
      <c r="L136">
        <v>0</v>
      </c>
      <c r="M136" s="41">
        <v>0</v>
      </c>
      <c r="O136" s="1"/>
    </row>
    <row r="137" spans="3:15" x14ac:dyDescent="0.2">
      <c r="C137" s="40">
        <v>19.894031999999999</v>
      </c>
      <c r="D137">
        <v>-102.19326700000001</v>
      </c>
      <c r="E137" t="s">
        <v>108</v>
      </c>
      <c r="F137" t="s">
        <v>127</v>
      </c>
      <c r="G137">
        <v>5.0999999999999996</v>
      </c>
      <c r="H137" t="s">
        <v>655</v>
      </c>
      <c r="I137" t="s">
        <v>116</v>
      </c>
      <c r="J137" t="s">
        <v>110</v>
      </c>
      <c r="K137">
        <v>0</v>
      </c>
      <c r="L137">
        <v>0</v>
      </c>
      <c r="M137" s="41">
        <v>0</v>
      </c>
      <c r="O137" s="1"/>
    </row>
    <row r="138" spans="3:15" x14ac:dyDescent="0.2">
      <c r="C138" s="40">
        <v>20.058271000000001</v>
      </c>
      <c r="D138">
        <v>-102.31041500000001</v>
      </c>
      <c r="E138" t="str">
        <f>Tabla2[[#This Row],[UNIDAD DE MUESTREO]]</f>
        <v>VALLE DE ZAMORA</v>
      </c>
      <c r="F138" t="s">
        <v>108</v>
      </c>
      <c r="G138">
        <v>53</v>
      </c>
      <c r="H138" t="s">
        <v>41</v>
      </c>
      <c r="I138" t="s">
        <v>116</v>
      </c>
      <c r="J138" t="s">
        <v>110</v>
      </c>
      <c r="K138">
        <v>0</v>
      </c>
      <c r="L138">
        <v>0</v>
      </c>
      <c r="M138" s="41">
        <v>0</v>
      </c>
      <c r="O138" s="1"/>
    </row>
    <row r="139" spans="3:15" x14ac:dyDescent="0.2">
      <c r="C139" s="40">
        <v>20.627238999999999</v>
      </c>
      <c r="D139">
        <v>-101.49383</v>
      </c>
      <c r="E139" t="str">
        <f>Tabla2[[#This Row],[UNIDAD DE MUESTREO]]</f>
        <v>IRAPUATO</v>
      </c>
      <c r="F139" t="s">
        <v>133</v>
      </c>
      <c r="G139">
        <v>79</v>
      </c>
      <c r="H139" t="s">
        <v>703</v>
      </c>
      <c r="I139" t="s">
        <v>114</v>
      </c>
      <c r="J139" t="s">
        <v>137</v>
      </c>
      <c r="K139">
        <v>0</v>
      </c>
      <c r="L139">
        <v>0</v>
      </c>
      <c r="M139" s="41">
        <v>0</v>
      </c>
      <c r="O139" s="1"/>
    </row>
    <row r="140" spans="3:15" x14ac:dyDescent="0.2">
      <c r="C140" s="40">
        <v>20.614415000000001</v>
      </c>
      <c r="D140">
        <v>-101.483031</v>
      </c>
      <c r="E140" t="str">
        <f>Tabla2[[#This Row],[UNIDAD DE MUESTREO]]</f>
        <v>IRAPUATO</v>
      </c>
      <c r="F140" t="s">
        <v>133</v>
      </c>
      <c r="G140">
        <v>81</v>
      </c>
      <c r="H140" t="s">
        <v>69</v>
      </c>
      <c r="I140" t="s">
        <v>114</v>
      </c>
      <c r="J140" t="s">
        <v>137</v>
      </c>
      <c r="K140">
        <v>0</v>
      </c>
      <c r="L140">
        <v>0</v>
      </c>
      <c r="M140" s="41">
        <v>0</v>
      </c>
      <c r="O140" s="1"/>
    </row>
    <row r="141" spans="3:15" x14ac:dyDescent="0.2">
      <c r="C141" s="40">
        <v>20.620169000000001</v>
      </c>
      <c r="D141">
        <v>-101.480011</v>
      </c>
      <c r="E141" t="str">
        <f>Tabla2[[#This Row],[UNIDAD DE MUESTREO]]</f>
        <v>IRAPUATO</v>
      </c>
      <c r="F141" t="s">
        <v>133</v>
      </c>
      <c r="G141">
        <v>82</v>
      </c>
      <c r="H141" t="s">
        <v>60</v>
      </c>
      <c r="I141" t="s">
        <v>114</v>
      </c>
      <c r="J141" t="s">
        <v>137</v>
      </c>
      <c r="K141">
        <v>0</v>
      </c>
      <c r="L141">
        <v>0</v>
      </c>
      <c r="M141" s="41">
        <v>0</v>
      </c>
      <c r="O141" s="1"/>
    </row>
    <row r="142" spans="3:15" x14ac:dyDescent="0.2">
      <c r="C142" s="40">
        <v>20.6312</v>
      </c>
      <c r="D142">
        <v>-101.493407</v>
      </c>
      <c r="E142" t="str">
        <f>Tabla2[[#This Row],[UNIDAD DE MUESTREO]]</f>
        <v>IRAPUATO</v>
      </c>
      <c r="F142" t="s">
        <v>133</v>
      </c>
      <c r="G142">
        <v>85</v>
      </c>
      <c r="H142" t="s">
        <v>72</v>
      </c>
      <c r="I142" t="s">
        <v>114</v>
      </c>
      <c r="J142" t="s">
        <v>137</v>
      </c>
      <c r="K142">
        <v>0</v>
      </c>
      <c r="L142">
        <v>0</v>
      </c>
      <c r="M142" s="41">
        <v>0</v>
      </c>
      <c r="O142" s="1"/>
    </row>
    <row r="143" spans="3:15" ht="16" thickBot="1" x14ac:dyDescent="0.25">
      <c r="C143" s="42">
        <v>20.769704999999998</v>
      </c>
      <c r="D143" s="43">
        <v>-101.356098</v>
      </c>
      <c r="E143" s="43" t="str">
        <f>Tabla2[[#This Row],[UNIDAD DE MUESTREO]]</f>
        <v>IRAPUATO</v>
      </c>
      <c r="F143" s="43" t="s">
        <v>133</v>
      </c>
      <c r="G143" s="43">
        <v>87</v>
      </c>
      <c r="H143" s="43" t="s">
        <v>49</v>
      </c>
      <c r="I143" t="s">
        <v>119</v>
      </c>
      <c r="J143" s="43" t="s">
        <v>137</v>
      </c>
      <c r="K143" s="43">
        <v>0</v>
      </c>
      <c r="L143" s="43">
        <v>0</v>
      </c>
      <c r="M143" s="44">
        <v>0</v>
      </c>
    </row>
    <row r="145" spans="10:13" x14ac:dyDescent="0.2">
      <c r="J145" t="s">
        <v>133</v>
      </c>
      <c r="K145" s="55">
        <f>AVERAGEIF(Tabla2[UNIDAD DE MUESTREO],J145, Tabla2[[INCIDENCIA ]])</f>
        <v>15.749999999999998</v>
      </c>
      <c r="L145" s="55">
        <f>AVERAGEIF(Tabla2[UNIDAD DE MUESTREO],J145, Tabla2[SEVERIDAD])</f>
        <v>13.024166666666659</v>
      </c>
      <c r="M145" s="55">
        <f>AVERAGEIF(Tabla2[UNIDAD DE MUESTREO],J145, Tabla2[MORTALIDAD])</f>
        <v>11.079166666666666</v>
      </c>
    </row>
    <row r="146" spans="10:13" x14ac:dyDescent="0.2">
      <c r="J146" t="s">
        <v>129</v>
      </c>
      <c r="K146" s="55">
        <f>AVERAGEIF(Tabla2[UNIDAD DE MUESTREO],J146, Tabla2[[INCIDENCIA ]])</f>
        <v>35.291666666666664</v>
      </c>
      <c r="L146" s="55">
        <f>AVERAGEIF(Tabla2[UNIDAD DE MUESTREO],J146, Tabla2[SEVERIDAD])</f>
        <v>25.03833333333333</v>
      </c>
      <c r="M146" s="55">
        <f>AVERAGEIF(Tabla2[UNIDAD DE MUESTREO],J146, Tabla2[MORTALIDAD])</f>
        <v>15.379166666666668</v>
      </c>
    </row>
    <row r="147" spans="10:13" x14ac:dyDescent="0.2">
      <c r="J147" t="s">
        <v>108</v>
      </c>
      <c r="K147" s="55">
        <f>AVERAGEIF(Tabla2[UNIDAD DE MUESTREO],J147, Tabla2[[INCIDENCIA ]])</f>
        <v>24.224137931034488</v>
      </c>
      <c r="L147" s="55">
        <f>AVERAGEIF(Tabla2[UNIDAD DE MUESTREO],J147, Tabla2[SEVERIDAD])</f>
        <v>15.386206896551723</v>
      </c>
      <c r="M147" s="55">
        <f>AVERAGEIF(Tabla2[UNIDAD DE MUESTREO],J147, Tabla2[MORTALIDAD])</f>
        <v>7.4137931034482767</v>
      </c>
    </row>
    <row r="150" spans="10:13" x14ac:dyDescent="0.2">
      <c r="L150" s="55">
        <f>AVERAGE(L145:L147)</f>
        <v>17.816235632183904</v>
      </c>
    </row>
    <row r="151" spans="10:13" x14ac:dyDescent="0.2">
      <c r="L151">
        <f>AVERAGE(Tabla2[SEVERIDAD])</f>
        <v>15.164255319148936</v>
      </c>
    </row>
  </sheetData>
  <phoneticPr fontId="6" type="noConversion"/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9E71-F5CD-40BD-A030-EBF7A7DD4A49}">
  <dimension ref="B2:O717"/>
  <sheetViews>
    <sheetView workbookViewId="0">
      <selection activeCell="D3" sqref="D3"/>
    </sheetView>
  </sheetViews>
  <sheetFormatPr baseColWidth="10" defaultRowHeight="15" x14ac:dyDescent="0.2"/>
  <cols>
    <col min="2" max="2" width="24.5" customWidth="1"/>
  </cols>
  <sheetData>
    <row r="2" spans="2:15" x14ac:dyDescent="0.2">
      <c r="B2" s="16" t="s">
        <v>494</v>
      </c>
      <c r="C2" s="16" t="s">
        <v>495</v>
      </c>
      <c r="D2" s="17">
        <v>0</v>
      </c>
      <c r="E2" s="17">
        <v>1</v>
      </c>
      <c r="F2" s="17">
        <v>2</v>
      </c>
      <c r="G2" s="17">
        <v>3</v>
      </c>
      <c r="H2" s="17">
        <v>4</v>
      </c>
      <c r="I2" s="17">
        <v>5</v>
      </c>
      <c r="J2" s="16" t="s">
        <v>496</v>
      </c>
      <c r="K2" s="16" t="s">
        <v>497</v>
      </c>
      <c r="L2" s="16" t="s">
        <v>498</v>
      </c>
      <c r="M2" s="5" t="s">
        <v>499</v>
      </c>
      <c r="N2" s="5" t="s">
        <v>500</v>
      </c>
      <c r="O2" s="5" t="s">
        <v>501</v>
      </c>
    </row>
    <row r="3" spans="2:15" x14ac:dyDescent="0.2">
      <c r="B3" s="63" t="s">
        <v>502</v>
      </c>
      <c r="C3" s="16">
        <v>1</v>
      </c>
      <c r="D3" s="16">
        <f t="shared" ref="D3:D66" si="0">100-(SUM(E3:I3))</f>
        <v>89</v>
      </c>
      <c r="E3" s="16">
        <v>2</v>
      </c>
      <c r="F3" s="16">
        <v>4</v>
      </c>
      <c r="G3" s="16">
        <v>3</v>
      </c>
      <c r="H3" s="16">
        <v>2</v>
      </c>
      <c r="I3" s="16">
        <v>0</v>
      </c>
      <c r="J3" s="16">
        <f>SUM(E3:I3)</f>
        <v>11</v>
      </c>
      <c r="K3" s="16">
        <f>AVERAGE(SUM(E3*1,F3*2,G3*3,H3*4,I3*5))/(5*100)*100</f>
        <v>5.4</v>
      </c>
      <c r="L3" s="16">
        <f>I3</f>
        <v>0</v>
      </c>
      <c r="M3" s="5">
        <f>AVERAGE((SUM(E3:I3)), (SUM(E4:I4)), (SUM(E5:I5)), (SUM(E6:I6)), (SUM(E7:I7)))</f>
        <v>7</v>
      </c>
      <c r="N3" s="5">
        <f>AVERAGE((SUM(D3*0+E3*1+F3*2+G3*3+H3*4+I3*5)/(5*100)*100), (SUM(D4*0+E4*1+F4*2+G4*3+H4*4+I4*5)/(5*100)*100), (SUM(D5*0+E5*1+F5*2+G5*3+H5*4+I5*5)/(5*100)*100), (SUM(D6*0+E6*1+F6*2+G6*3+H6*4+I6*5)/(5*100)*100), (SUM(D7*0+E7*1+F7*2+G7*3+H7*4+I7*5)/(5*100)*100))</f>
        <v>4.08</v>
      </c>
      <c r="O3" s="5">
        <f>AVERAGE(I3:I7)</f>
        <v>0.2</v>
      </c>
    </row>
    <row r="4" spans="2:15" x14ac:dyDescent="0.2">
      <c r="B4" s="63"/>
      <c r="C4" s="16">
        <v>2</v>
      </c>
      <c r="D4" s="16">
        <f t="shared" si="0"/>
        <v>90</v>
      </c>
      <c r="E4" s="16">
        <v>3</v>
      </c>
      <c r="F4" s="16">
        <v>2</v>
      </c>
      <c r="G4" s="16">
        <v>0</v>
      </c>
      <c r="H4" s="16">
        <v>4</v>
      </c>
      <c r="I4" s="16">
        <v>1</v>
      </c>
      <c r="J4" s="16">
        <f t="shared" ref="J4:J67" si="1">SUM(E4:I4)</f>
        <v>10</v>
      </c>
      <c r="K4" s="16">
        <f t="shared" ref="K4:K67" si="2">AVERAGE(SUM(E4*1,F4*2,G4*3,H4*4,I4*5))/(5*100)*100</f>
        <v>5.6000000000000005</v>
      </c>
      <c r="L4" s="16">
        <f t="shared" ref="L4:L67" si="3">I4</f>
        <v>1</v>
      </c>
      <c r="M4" s="5"/>
      <c r="N4" s="5"/>
      <c r="O4" s="5"/>
    </row>
    <row r="5" spans="2:15" x14ac:dyDescent="0.2">
      <c r="B5" s="63"/>
      <c r="C5" s="16">
        <v>3</v>
      </c>
      <c r="D5" s="16">
        <f t="shared" si="0"/>
        <v>96</v>
      </c>
      <c r="E5" s="16">
        <v>0</v>
      </c>
      <c r="F5" s="16">
        <v>0</v>
      </c>
      <c r="G5" s="16">
        <v>2</v>
      </c>
      <c r="H5" s="16">
        <v>2</v>
      </c>
      <c r="I5" s="16">
        <v>0</v>
      </c>
      <c r="J5" s="16">
        <f t="shared" si="1"/>
        <v>4</v>
      </c>
      <c r="K5" s="16">
        <f t="shared" si="2"/>
        <v>2.8000000000000003</v>
      </c>
      <c r="L5" s="16">
        <f t="shared" si="3"/>
        <v>0</v>
      </c>
      <c r="M5" s="5"/>
      <c r="N5" s="5"/>
      <c r="O5" s="5"/>
    </row>
    <row r="6" spans="2:15" x14ac:dyDescent="0.2">
      <c r="B6" s="63"/>
      <c r="C6" s="16">
        <v>4</v>
      </c>
      <c r="D6" s="16">
        <f t="shared" si="0"/>
        <v>92</v>
      </c>
      <c r="E6" s="16">
        <v>1</v>
      </c>
      <c r="F6" s="16">
        <v>0</v>
      </c>
      <c r="G6" s="16">
        <v>3</v>
      </c>
      <c r="H6" s="16">
        <v>4</v>
      </c>
      <c r="I6" s="16">
        <v>0</v>
      </c>
      <c r="J6" s="16">
        <f t="shared" si="1"/>
        <v>8</v>
      </c>
      <c r="K6" s="16">
        <f t="shared" si="2"/>
        <v>5.2</v>
      </c>
      <c r="L6" s="16">
        <f t="shared" si="3"/>
        <v>0</v>
      </c>
      <c r="M6" s="5"/>
      <c r="N6" s="5"/>
      <c r="O6" s="5"/>
    </row>
    <row r="7" spans="2:15" x14ac:dyDescent="0.2">
      <c r="B7" s="63"/>
      <c r="C7" s="16">
        <v>5</v>
      </c>
      <c r="D7" s="16">
        <f t="shared" si="0"/>
        <v>98</v>
      </c>
      <c r="E7" s="16">
        <v>0</v>
      </c>
      <c r="F7" s="16">
        <v>0</v>
      </c>
      <c r="G7" s="16">
        <v>1</v>
      </c>
      <c r="H7" s="16">
        <v>1</v>
      </c>
      <c r="I7" s="16">
        <v>0</v>
      </c>
      <c r="J7" s="16">
        <f t="shared" si="1"/>
        <v>2</v>
      </c>
      <c r="K7" s="16">
        <f t="shared" si="2"/>
        <v>1.4000000000000001</v>
      </c>
      <c r="L7" s="16">
        <f t="shared" si="3"/>
        <v>0</v>
      </c>
      <c r="M7" s="5"/>
      <c r="N7" s="5"/>
      <c r="O7" s="5"/>
    </row>
    <row r="8" spans="2:15" x14ac:dyDescent="0.2">
      <c r="B8" s="63" t="s">
        <v>503</v>
      </c>
      <c r="C8" s="16">
        <v>1</v>
      </c>
      <c r="D8" s="16">
        <f t="shared" si="0"/>
        <v>93</v>
      </c>
      <c r="E8" s="16">
        <v>1</v>
      </c>
      <c r="F8" s="16">
        <v>5</v>
      </c>
      <c r="G8" s="16">
        <v>1</v>
      </c>
      <c r="H8" s="16">
        <v>0</v>
      </c>
      <c r="I8" s="16">
        <v>0</v>
      </c>
      <c r="J8" s="16">
        <f t="shared" si="1"/>
        <v>7</v>
      </c>
      <c r="K8" s="16">
        <f t="shared" si="2"/>
        <v>2.8000000000000003</v>
      </c>
      <c r="L8" s="16">
        <f t="shared" si="3"/>
        <v>0</v>
      </c>
      <c r="M8" s="5">
        <f>AVERAGE((SUM(E8:I8)), (SUM(E9:I9)), (SUM(E10:I10)), (SUM(E11:I11)), (SUM(E12:I12)))</f>
        <v>1.6</v>
      </c>
      <c r="N8" s="5">
        <f>AVERAGE((SUM(D8*0+E8*1+F8*2+G8*3+H8*4+I8*5)/(5*100)*100), (SUM(D9*0+E9*1+F9*2+G9*3+H9*4+I9*5)/(5*100)*100), (SUM(D10*0+E10*1+F10*2+G10*3+H10*4+I10*5)/(5*100)*100), (SUM(D11*0+E11*1+F11*2+G11*3+H11*4+I11*5)/(5*100)*100), (SUM(D12*0+E12*1+F12*2+G12*3+H12*4+I12*5)/(5*100)*100))</f>
        <v>0.64</v>
      </c>
      <c r="O8" s="5">
        <f>AVERAGE(I8:I12)</f>
        <v>0</v>
      </c>
    </row>
    <row r="9" spans="2:15" x14ac:dyDescent="0.2">
      <c r="B9" s="63"/>
      <c r="C9" s="16">
        <v>2</v>
      </c>
      <c r="D9" s="16">
        <f t="shared" si="0"/>
        <v>99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f t="shared" si="1"/>
        <v>1</v>
      </c>
      <c r="K9" s="16">
        <f t="shared" si="2"/>
        <v>0.4</v>
      </c>
      <c r="L9" s="16">
        <f t="shared" si="3"/>
        <v>0</v>
      </c>
      <c r="M9" s="5"/>
      <c r="N9" s="5"/>
      <c r="O9" s="5"/>
    </row>
    <row r="10" spans="2:15" x14ac:dyDescent="0.2">
      <c r="B10" s="63"/>
      <c r="C10" s="16">
        <v>3</v>
      </c>
      <c r="D10" s="16">
        <f t="shared" si="0"/>
        <v>100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f t="shared" si="1"/>
        <v>0</v>
      </c>
      <c r="K10" s="16">
        <f t="shared" si="2"/>
        <v>0</v>
      </c>
      <c r="L10" s="16">
        <f t="shared" si="3"/>
        <v>0</v>
      </c>
      <c r="M10" s="5"/>
      <c r="N10" s="5"/>
      <c r="O10" s="5"/>
    </row>
    <row r="11" spans="2:15" x14ac:dyDescent="0.2">
      <c r="B11" s="63"/>
      <c r="C11" s="16">
        <v>4</v>
      </c>
      <c r="D11" s="16">
        <f t="shared" si="0"/>
        <v>100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f t="shared" si="1"/>
        <v>0</v>
      </c>
      <c r="K11" s="16">
        <f t="shared" si="2"/>
        <v>0</v>
      </c>
      <c r="L11" s="16">
        <f t="shared" si="3"/>
        <v>0</v>
      </c>
      <c r="M11" s="5"/>
      <c r="N11" s="5"/>
      <c r="O11" s="5"/>
    </row>
    <row r="12" spans="2:15" x14ac:dyDescent="0.2">
      <c r="B12" s="63"/>
      <c r="C12" s="16">
        <v>5</v>
      </c>
      <c r="D12" s="16">
        <f t="shared" si="0"/>
        <v>100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f t="shared" si="1"/>
        <v>0</v>
      </c>
      <c r="K12" s="16">
        <f t="shared" si="2"/>
        <v>0</v>
      </c>
      <c r="L12" s="16">
        <f t="shared" si="3"/>
        <v>0</v>
      </c>
      <c r="M12" s="5"/>
      <c r="N12" s="5"/>
      <c r="O12" s="5"/>
    </row>
    <row r="13" spans="2:15" x14ac:dyDescent="0.2">
      <c r="B13" s="63" t="s">
        <v>504</v>
      </c>
      <c r="C13" s="16">
        <v>1</v>
      </c>
      <c r="D13" s="16">
        <f t="shared" si="0"/>
        <v>80</v>
      </c>
      <c r="E13" s="16">
        <v>3</v>
      </c>
      <c r="F13" s="16">
        <v>6</v>
      </c>
      <c r="G13" s="16">
        <v>8</v>
      </c>
      <c r="H13" s="16">
        <v>3</v>
      </c>
      <c r="I13" s="16">
        <v>0</v>
      </c>
      <c r="J13" s="16">
        <f t="shared" si="1"/>
        <v>20</v>
      </c>
      <c r="K13" s="16">
        <f t="shared" si="2"/>
        <v>10.199999999999999</v>
      </c>
      <c r="L13" s="16">
        <f t="shared" si="3"/>
        <v>0</v>
      </c>
      <c r="M13" s="5">
        <f>AVERAGE((SUM(E13:I13)), (SUM(E14:I14)), (SUM(E15:I15)), (SUM(E16:I16)), (SUM(E17:I17)))</f>
        <v>8.8000000000000007</v>
      </c>
      <c r="N13" s="5">
        <f>AVERAGE((SUM(D13*0+E13*1+F13*2+G13*3+H13*4+I13*5)/(5*100)*100), (SUM(D14*0+E14*1+F14*2+G14*3+H14*4+I14*5)/(5*100)*100), (SUM(D15*0+E15*1+F15*2+G15*3+H15*4+I15*5)/(5*100)*100), (SUM(D16*0+E16*1+F16*2+G16*3+H16*4+I16*5)/(5*100)*100), (SUM(D17*0+E17*1+F17*2+G17*3+H17*4+I17*5)/(5*100)*100))</f>
        <v>3.5999999999999992</v>
      </c>
      <c r="O13" s="5">
        <f>AVERAGE(I13:I17)</f>
        <v>0</v>
      </c>
    </row>
    <row r="14" spans="2:15" x14ac:dyDescent="0.2">
      <c r="B14" s="63"/>
      <c r="C14" s="16">
        <v>2</v>
      </c>
      <c r="D14" s="16">
        <f t="shared" si="0"/>
        <v>89</v>
      </c>
      <c r="E14" s="16">
        <v>3</v>
      </c>
      <c r="F14" s="16">
        <v>6</v>
      </c>
      <c r="G14" s="16">
        <v>2</v>
      </c>
      <c r="H14" s="16">
        <v>0</v>
      </c>
      <c r="I14" s="16">
        <v>0</v>
      </c>
      <c r="J14" s="16">
        <f t="shared" si="1"/>
        <v>11</v>
      </c>
      <c r="K14" s="16">
        <f t="shared" si="2"/>
        <v>4.2</v>
      </c>
      <c r="L14" s="16">
        <f t="shared" si="3"/>
        <v>0</v>
      </c>
      <c r="M14" s="5"/>
      <c r="N14" s="5"/>
      <c r="O14" s="5"/>
    </row>
    <row r="15" spans="2:15" x14ac:dyDescent="0.2">
      <c r="B15" s="63"/>
      <c r="C15" s="16">
        <v>3</v>
      </c>
      <c r="D15" s="16">
        <f t="shared" si="0"/>
        <v>94</v>
      </c>
      <c r="E15" s="16">
        <v>3</v>
      </c>
      <c r="F15" s="16">
        <v>2</v>
      </c>
      <c r="G15" s="16">
        <v>1</v>
      </c>
      <c r="H15" s="16">
        <v>0</v>
      </c>
      <c r="I15" s="16">
        <v>0</v>
      </c>
      <c r="J15" s="16">
        <f t="shared" si="1"/>
        <v>6</v>
      </c>
      <c r="K15" s="16">
        <f t="shared" si="2"/>
        <v>2</v>
      </c>
      <c r="L15" s="16">
        <f t="shared" si="3"/>
        <v>0</v>
      </c>
      <c r="M15" s="5"/>
      <c r="N15" s="5"/>
      <c r="O15" s="5"/>
    </row>
    <row r="16" spans="2:15" x14ac:dyDescent="0.2">
      <c r="B16" s="63"/>
      <c r="C16" s="16">
        <v>4</v>
      </c>
      <c r="D16" s="16">
        <f t="shared" si="0"/>
        <v>94</v>
      </c>
      <c r="E16" s="16">
        <v>5</v>
      </c>
      <c r="F16" s="16">
        <v>1</v>
      </c>
      <c r="G16" s="16">
        <v>0</v>
      </c>
      <c r="H16" s="16">
        <v>0</v>
      </c>
      <c r="I16" s="16">
        <v>0</v>
      </c>
      <c r="J16" s="16">
        <f t="shared" si="1"/>
        <v>6</v>
      </c>
      <c r="K16" s="16">
        <f t="shared" si="2"/>
        <v>1.4000000000000001</v>
      </c>
      <c r="L16" s="16">
        <f t="shared" si="3"/>
        <v>0</v>
      </c>
      <c r="M16" s="5"/>
      <c r="N16" s="5"/>
      <c r="O16" s="5"/>
    </row>
    <row r="17" spans="2:15" x14ac:dyDescent="0.2">
      <c r="B17" s="63"/>
      <c r="C17" s="16">
        <v>5</v>
      </c>
      <c r="D17" s="16">
        <f t="shared" si="0"/>
        <v>99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>
        <f t="shared" si="1"/>
        <v>1</v>
      </c>
      <c r="K17" s="16">
        <f t="shared" si="2"/>
        <v>0.2</v>
      </c>
      <c r="L17" s="16">
        <f t="shared" si="3"/>
        <v>0</v>
      </c>
      <c r="M17" s="5"/>
      <c r="N17" s="5"/>
      <c r="O17" s="5"/>
    </row>
    <row r="18" spans="2:15" x14ac:dyDescent="0.2">
      <c r="B18" s="63" t="s">
        <v>505</v>
      </c>
      <c r="C18" s="16">
        <v>1</v>
      </c>
      <c r="D18" s="16">
        <f t="shared" si="0"/>
        <v>95</v>
      </c>
      <c r="E18" s="16">
        <v>5</v>
      </c>
      <c r="F18" s="16">
        <v>0</v>
      </c>
      <c r="G18" s="16">
        <v>0</v>
      </c>
      <c r="H18" s="16">
        <v>0</v>
      </c>
      <c r="I18" s="16">
        <v>0</v>
      </c>
      <c r="J18" s="16">
        <f t="shared" si="1"/>
        <v>5</v>
      </c>
      <c r="K18" s="16">
        <f t="shared" si="2"/>
        <v>1</v>
      </c>
      <c r="L18" s="16">
        <f t="shared" si="3"/>
        <v>0</v>
      </c>
      <c r="M18" s="5">
        <f>AVERAGE((SUM(E18:I18)), (SUM(E19:I19)), (SUM(E20:I20)), (SUM(E21:I21)), (SUM(E22:I22)))</f>
        <v>2.4</v>
      </c>
      <c r="N18" s="5">
        <f>AVERAGE((SUM(D18*0+E18*1+F18*2+G18*3+H18*4+I18*5)/(5*100)*100), (SUM(D19*0+E19*1+F19*2+G19*3+H19*4+I19*5)/(5*100)*100), (SUM(D20*0+E20*1+F20*2+G20*3+H20*4+I20*5)/(5*100)*100), (SUM(D21*0+E21*1+F21*2+G21*3+H21*4+I21*5)/(5*100)*100), (SUM(D22*0+E22*1+F22*2+G22*3+H22*4+I22*5)/(5*100)*100))</f>
        <v>0.52</v>
      </c>
      <c r="O18" s="5">
        <f>AVERAGE(I18:I22)</f>
        <v>0</v>
      </c>
    </row>
    <row r="19" spans="2:15" x14ac:dyDescent="0.2">
      <c r="B19" s="63"/>
      <c r="C19" s="16">
        <v>2</v>
      </c>
      <c r="D19" s="16">
        <f t="shared" si="0"/>
        <v>94</v>
      </c>
      <c r="E19" s="16">
        <v>6</v>
      </c>
      <c r="F19" s="16">
        <v>0</v>
      </c>
      <c r="G19" s="16">
        <v>0</v>
      </c>
      <c r="H19" s="16">
        <v>0</v>
      </c>
      <c r="I19" s="16">
        <v>0</v>
      </c>
      <c r="J19" s="16">
        <f t="shared" si="1"/>
        <v>6</v>
      </c>
      <c r="K19" s="16">
        <f t="shared" si="2"/>
        <v>1.2</v>
      </c>
      <c r="L19" s="16">
        <f t="shared" si="3"/>
        <v>0</v>
      </c>
      <c r="M19" s="5"/>
      <c r="N19" s="5"/>
      <c r="O19" s="5"/>
    </row>
    <row r="20" spans="2:15" x14ac:dyDescent="0.2">
      <c r="B20" s="63"/>
      <c r="C20" s="16">
        <v>3</v>
      </c>
      <c r="D20" s="16">
        <f t="shared" si="0"/>
        <v>100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f t="shared" si="1"/>
        <v>0</v>
      </c>
      <c r="K20" s="16">
        <f t="shared" si="2"/>
        <v>0</v>
      </c>
      <c r="L20" s="16">
        <f t="shared" si="3"/>
        <v>0</v>
      </c>
      <c r="M20" s="5"/>
      <c r="N20" s="5"/>
      <c r="O20" s="5"/>
    </row>
    <row r="21" spans="2:15" x14ac:dyDescent="0.2">
      <c r="B21" s="63"/>
      <c r="C21" s="16">
        <v>4</v>
      </c>
      <c r="D21" s="16">
        <f t="shared" si="0"/>
        <v>100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f t="shared" si="1"/>
        <v>0</v>
      </c>
      <c r="K21" s="16">
        <f t="shared" si="2"/>
        <v>0</v>
      </c>
      <c r="L21" s="16">
        <f t="shared" si="3"/>
        <v>0</v>
      </c>
      <c r="M21" s="5"/>
      <c r="N21" s="5"/>
      <c r="O21" s="5"/>
    </row>
    <row r="22" spans="2:15" x14ac:dyDescent="0.2">
      <c r="B22" s="63"/>
      <c r="C22" s="16">
        <v>5</v>
      </c>
      <c r="D22" s="16">
        <f t="shared" si="0"/>
        <v>99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f t="shared" si="1"/>
        <v>1</v>
      </c>
      <c r="K22" s="16">
        <f t="shared" si="2"/>
        <v>0.4</v>
      </c>
      <c r="L22" s="16">
        <f t="shared" si="3"/>
        <v>0</v>
      </c>
      <c r="M22" s="5"/>
      <c r="N22" s="5"/>
      <c r="O22" s="5"/>
    </row>
    <row r="23" spans="2:15" x14ac:dyDescent="0.2">
      <c r="B23" s="63" t="s">
        <v>506</v>
      </c>
      <c r="C23" s="16">
        <v>1</v>
      </c>
      <c r="D23" s="16">
        <f t="shared" si="0"/>
        <v>75</v>
      </c>
      <c r="E23" s="16">
        <v>20</v>
      </c>
      <c r="F23" s="16">
        <v>5</v>
      </c>
      <c r="G23" s="16">
        <v>0</v>
      </c>
      <c r="H23" s="16">
        <v>0</v>
      </c>
      <c r="I23" s="16">
        <v>0</v>
      </c>
      <c r="J23" s="16">
        <f t="shared" si="1"/>
        <v>25</v>
      </c>
      <c r="K23" s="16">
        <f t="shared" si="2"/>
        <v>6</v>
      </c>
      <c r="L23" s="16">
        <f t="shared" si="3"/>
        <v>0</v>
      </c>
      <c r="M23" s="5">
        <f>AVERAGE((SUM(E23:I23)), (SUM(E24:I24)), (SUM(E25:I25)), (SUM(E26:I26)), (SUM(E27:I27)))</f>
        <v>10.8</v>
      </c>
      <c r="N23" s="5">
        <f>AVERAGE((SUM(D23*0+E23*1+F23*2+G23*3+H23*4+I23*5)/(5*100)*100), (SUM(D24*0+E24*1+F24*2+G24*3+H24*4+I24*5)/(5*100)*100), (SUM(D25*0+E25*1+F25*2+G25*3+H25*4+I25*5)/(5*100)*100), (SUM(D26*0+E26*1+F26*2+G26*3+H26*4+I26*5)/(5*100)*100), (SUM(D27*0+E27*1+F27*2+G27*3+H27*4+I27*5)/(5*100)*100))</f>
        <v>3.4799999999999995</v>
      </c>
      <c r="O23" s="5">
        <f>AVERAGE(I23:I27)</f>
        <v>0.6</v>
      </c>
    </row>
    <row r="24" spans="2:15" x14ac:dyDescent="0.2">
      <c r="B24" s="63"/>
      <c r="C24" s="16">
        <v>2</v>
      </c>
      <c r="D24" s="16">
        <f t="shared" si="0"/>
        <v>94</v>
      </c>
      <c r="E24" s="16">
        <v>5</v>
      </c>
      <c r="F24" s="16">
        <v>0</v>
      </c>
      <c r="G24" s="16">
        <v>0</v>
      </c>
      <c r="H24" s="16">
        <v>0</v>
      </c>
      <c r="I24" s="16">
        <v>1</v>
      </c>
      <c r="J24" s="16">
        <f t="shared" si="1"/>
        <v>6</v>
      </c>
      <c r="K24" s="16">
        <f t="shared" si="2"/>
        <v>2</v>
      </c>
      <c r="L24" s="16">
        <f t="shared" si="3"/>
        <v>1</v>
      </c>
      <c r="M24" s="5"/>
      <c r="N24" s="5"/>
      <c r="O24" s="5"/>
    </row>
    <row r="25" spans="2:15" x14ac:dyDescent="0.2">
      <c r="B25" s="63"/>
      <c r="C25" s="16">
        <v>3</v>
      </c>
      <c r="D25" s="16">
        <f t="shared" si="0"/>
        <v>93</v>
      </c>
      <c r="E25" s="16">
        <v>4</v>
      </c>
      <c r="F25" s="16">
        <v>0</v>
      </c>
      <c r="G25" s="16">
        <v>2</v>
      </c>
      <c r="H25" s="16">
        <v>0</v>
      </c>
      <c r="I25" s="16">
        <v>1</v>
      </c>
      <c r="J25" s="16">
        <f t="shared" si="1"/>
        <v>7</v>
      </c>
      <c r="K25" s="16">
        <f t="shared" si="2"/>
        <v>3</v>
      </c>
      <c r="L25" s="16">
        <f t="shared" si="3"/>
        <v>1</v>
      </c>
      <c r="M25" s="5"/>
      <c r="N25" s="5"/>
      <c r="O25" s="5"/>
    </row>
    <row r="26" spans="2:15" x14ac:dyDescent="0.2">
      <c r="B26" s="63"/>
      <c r="C26" s="16">
        <v>4</v>
      </c>
      <c r="D26" s="16">
        <f t="shared" si="0"/>
        <v>91</v>
      </c>
      <c r="E26" s="16">
        <v>3</v>
      </c>
      <c r="F26" s="16">
        <v>5</v>
      </c>
      <c r="G26" s="16">
        <v>1</v>
      </c>
      <c r="H26" s="16">
        <v>0</v>
      </c>
      <c r="I26" s="16">
        <v>0</v>
      </c>
      <c r="J26" s="16">
        <f t="shared" si="1"/>
        <v>9</v>
      </c>
      <c r="K26" s="16">
        <f t="shared" si="2"/>
        <v>3.2</v>
      </c>
      <c r="L26" s="16">
        <f t="shared" si="3"/>
        <v>0</v>
      </c>
      <c r="M26" s="5"/>
      <c r="N26" s="5"/>
      <c r="O26" s="5"/>
    </row>
    <row r="27" spans="2:15" x14ac:dyDescent="0.2">
      <c r="B27" s="63"/>
      <c r="C27" s="16">
        <v>5</v>
      </c>
      <c r="D27" s="16">
        <f t="shared" si="0"/>
        <v>93</v>
      </c>
      <c r="E27" s="16">
        <v>3</v>
      </c>
      <c r="F27" s="16">
        <v>1</v>
      </c>
      <c r="G27" s="16">
        <v>2</v>
      </c>
      <c r="H27" s="16">
        <v>0</v>
      </c>
      <c r="I27" s="16">
        <v>1</v>
      </c>
      <c r="J27" s="16">
        <f t="shared" si="1"/>
        <v>7</v>
      </c>
      <c r="K27" s="16">
        <f t="shared" si="2"/>
        <v>3.2</v>
      </c>
      <c r="L27" s="16">
        <f t="shared" si="3"/>
        <v>1</v>
      </c>
      <c r="M27" s="5"/>
      <c r="N27" s="5"/>
      <c r="O27" s="5"/>
    </row>
    <row r="28" spans="2:15" x14ac:dyDescent="0.2">
      <c r="B28" s="63" t="s">
        <v>507</v>
      </c>
      <c r="C28" s="16">
        <v>1</v>
      </c>
      <c r="D28" s="16">
        <f t="shared" si="0"/>
        <v>95</v>
      </c>
      <c r="E28" s="16">
        <v>0</v>
      </c>
      <c r="F28" s="16">
        <v>0</v>
      </c>
      <c r="G28" s="16">
        <v>0</v>
      </c>
      <c r="H28" s="16">
        <v>0</v>
      </c>
      <c r="I28" s="16">
        <v>5</v>
      </c>
      <c r="J28" s="16">
        <f t="shared" si="1"/>
        <v>5</v>
      </c>
      <c r="K28" s="16">
        <f t="shared" si="2"/>
        <v>5</v>
      </c>
      <c r="L28" s="16">
        <f t="shared" si="3"/>
        <v>5</v>
      </c>
      <c r="M28" s="5">
        <f>AVERAGE((SUM(E28:I28)), (SUM(E29:I29)), (SUM(E30:I30)), (SUM(E31:I31)), (SUM(E32:I32)))</f>
        <v>8.8000000000000007</v>
      </c>
      <c r="N28" s="5">
        <f>AVERAGE((SUM(D28*0+E28*1+F28*2+G28*3+H28*4+I28*5)/(5*100)*100), (SUM(D29*0+E29*1+F29*2+G29*3+H29*4+I29*5)/(5*100)*100), (SUM(D30*0+E30*1+F30*2+G30*3+H30*4+I30*5)/(5*100)*100), (SUM(D31*0+E31*1+F31*2+G31*3+H31*4+I31*5)/(5*100)*100), (SUM(D32*0+E32*1+F32*2+G32*3+H32*4+I32*5)/(5*100)*100))</f>
        <v>3.8000000000000007</v>
      </c>
      <c r="O28" s="5">
        <f>AVERAGE(I28:I32)</f>
        <v>1.2</v>
      </c>
    </row>
    <row r="29" spans="2:15" x14ac:dyDescent="0.2">
      <c r="B29" s="63"/>
      <c r="C29" s="16">
        <v>2</v>
      </c>
      <c r="D29" s="16">
        <f t="shared" si="0"/>
        <v>90</v>
      </c>
      <c r="E29" s="16">
        <v>3</v>
      </c>
      <c r="F29" s="16">
        <v>3</v>
      </c>
      <c r="G29" s="16">
        <v>2</v>
      </c>
      <c r="H29" s="16">
        <v>1</v>
      </c>
      <c r="I29" s="16">
        <v>1</v>
      </c>
      <c r="J29" s="16">
        <f t="shared" si="1"/>
        <v>10</v>
      </c>
      <c r="K29" s="16">
        <f t="shared" si="2"/>
        <v>4.8</v>
      </c>
      <c r="L29" s="16">
        <f t="shared" si="3"/>
        <v>1</v>
      </c>
      <c r="M29" s="5"/>
      <c r="N29" s="5"/>
      <c r="O29" s="5"/>
    </row>
    <row r="30" spans="2:15" x14ac:dyDescent="0.2">
      <c r="B30" s="63"/>
      <c r="C30" s="16">
        <v>3</v>
      </c>
      <c r="D30" s="16">
        <f t="shared" si="0"/>
        <v>85</v>
      </c>
      <c r="E30" s="16">
        <v>6</v>
      </c>
      <c r="F30" s="16">
        <v>6</v>
      </c>
      <c r="G30" s="16">
        <v>2</v>
      </c>
      <c r="H30" s="16">
        <v>1</v>
      </c>
      <c r="I30" s="16">
        <v>0</v>
      </c>
      <c r="J30" s="16">
        <f t="shared" si="1"/>
        <v>15</v>
      </c>
      <c r="K30" s="16">
        <f t="shared" si="2"/>
        <v>5.6000000000000005</v>
      </c>
      <c r="L30" s="16">
        <f t="shared" si="3"/>
        <v>0</v>
      </c>
      <c r="M30" s="5"/>
      <c r="N30" s="5"/>
      <c r="O30" s="5"/>
    </row>
    <row r="31" spans="2:15" x14ac:dyDescent="0.2">
      <c r="B31" s="63"/>
      <c r="C31" s="16">
        <v>4</v>
      </c>
      <c r="D31" s="16">
        <f t="shared" si="0"/>
        <v>89</v>
      </c>
      <c r="E31" s="16">
        <v>8</v>
      </c>
      <c r="F31" s="16">
        <v>2</v>
      </c>
      <c r="G31" s="16">
        <v>1</v>
      </c>
      <c r="H31" s="16">
        <v>0</v>
      </c>
      <c r="I31" s="16">
        <v>0</v>
      </c>
      <c r="J31" s="16">
        <f t="shared" si="1"/>
        <v>11</v>
      </c>
      <c r="K31" s="16">
        <f t="shared" si="2"/>
        <v>3</v>
      </c>
      <c r="L31" s="16">
        <f t="shared" si="3"/>
        <v>0</v>
      </c>
      <c r="M31" s="5"/>
      <c r="N31" s="5"/>
      <c r="O31" s="5"/>
    </row>
    <row r="32" spans="2:15" x14ac:dyDescent="0.2">
      <c r="B32" s="63"/>
      <c r="C32" s="16">
        <v>5</v>
      </c>
      <c r="D32" s="16">
        <f t="shared" si="0"/>
        <v>97</v>
      </c>
      <c r="E32" s="16">
        <v>3</v>
      </c>
      <c r="F32" s="16">
        <v>0</v>
      </c>
      <c r="G32" s="16">
        <v>0</v>
      </c>
      <c r="H32" s="16">
        <v>0</v>
      </c>
      <c r="I32" s="16">
        <v>0</v>
      </c>
      <c r="J32" s="16">
        <f t="shared" si="1"/>
        <v>3</v>
      </c>
      <c r="K32" s="16">
        <f t="shared" si="2"/>
        <v>0.6</v>
      </c>
      <c r="L32" s="16">
        <f t="shared" si="3"/>
        <v>0</v>
      </c>
      <c r="M32" s="5"/>
      <c r="N32" s="5"/>
      <c r="O32" s="5"/>
    </row>
    <row r="33" spans="2:15" x14ac:dyDescent="0.2">
      <c r="B33" s="63" t="s">
        <v>508</v>
      </c>
      <c r="C33" s="16">
        <v>1</v>
      </c>
      <c r="D33" s="16">
        <f t="shared" si="0"/>
        <v>100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f t="shared" si="1"/>
        <v>0</v>
      </c>
      <c r="K33" s="16">
        <f t="shared" si="2"/>
        <v>0</v>
      </c>
      <c r="L33" s="16">
        <f t="shared" si="3"/>
        <v>0</v>
      </c>
      <c r="M33" s="5">
        <f>AVERAGE((SUM(E33:I33)), (SUM(E34:I34)), (SUM(E35:I35)), (SUM(E36:I36)), (SUM(E37:I37)))</f>
        <v>0</v>
      </c>
      <c r="N33" s="5">
        <f>AVERAGE((SUM(D33*0+E33*1+F33*2+G33*3+H33*4+I33*5)/(5*100)*100), (SUM(D34*0+E34*1+F34*2+G34*3+H34*4+I34*5)/(5*100)*100), (SUM(D35*0+E35*1+F35*2+G35*3+H35*4+I35*5)/(5*100)*100), (SUM(D36*0+E36*1+F36*2+G36*3+H36*4+I36*5)/(5*100)*100), (SUM(D37*0+E37*1+F37*2+G37*3+H37*4+I37*5)/(5*100)*100))</f>
        <v>0</v>
      </c>
      <c r="O33" s="5">
        <f>AVERAGE(I33:I37)</f>
        <v>0</v>
      </c>
    </row>
    <row r="34" spans="2:15" x14ac:dyDescent="0.2">
      <c r="B34" s="63"/>
      <c r="C34" s="16">
        <v>2</v>
      </c>
      <c r="D34" s="16">
        <f t="shared" si="0"/>
        <v>100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f t="shared" si="1"/>
        <v>0</v>
      </c>
      <c r="K34" s="16">
        <f t="shared" si="2"/>
        <v>0</v>
      </c>
      <c r="L34" s="16">
        <f t="shared" si="3"/>
        <v>0</v>
      </c>
      <c r="M34" s="5"/>
      <c r="N34" s="5"/>
      <c r="O34" s="5"/>
    </row>
    <row r="35" spans="2:15" x14ac:dyDescent="0.2">
      <c r="B35" s="63"/>
      <c r="C35" s="16">
        <v>3</v>
      </c>
      <c r="D35" s="16">
        <f t="shared" si="0"/>
        <v>100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f t="shared" si="1"/>
        <v>0</v>
      </c>
      <c r="K35" s="16">
        <f t="shared" si="2"/>
        <v>0</v>
      </c>
      <c r="L35" s="16">
        <f t="shared" si="3"/>
        <v>0</v>
      </c>
      <c r="M35" s="5"/>
      <c r="N35" s="5"/>
      <c r="O35" s="5"/>
    </row>
    <row r="36" spans="2:15" x14ac:dyDescent="0.2">
      <c r="B36" s="63"/>
      <c r="C36" s="16">
        <v>4</v>
      </c>
      <c r="D36" s="16">
        <f t="shared" si="0"/>
        <v>100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f t="shared" si="1"/>
        <v>0</v>
      </c>
      <c r="K36" s="16">
        <f t="shared" si="2"/>
        <v>0</v>
      </c>
      <c r="L36" s="16">
        <f t="shared" si="3"/>
        <v>0</v>
      </c>
      <c r="M36" s="5"/>
      <c r="N36" s="5"/>
      <c r="O36" s="5"/>
    </row>
    <row r="37" spans="2:15" x14ac:dyDescent="0.2">
      <c r="B37" s="63"/>
      <c r="C37" s="16">
        <v>5</v>
      </c>
      <c r="D37" s="16">
        <f t="shared" si="0"/>
        <v>100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f t="shared" si="1"/>
        <v>0</v>
      </c>
      <c r="K37" s="16">
        <f t="shared" si="2"/>
        <v>0</v>
      </c>
      <c r="L37" s="16">
        <f t="shared" si="3"/>
        <v>0</v>
      </c>
      <c r="M37" s="5"/>
      <c r="N37" s="5"/>
      <c r="O37" s="5"/>
    </row>
    <row r="38" spans="2:15" x14ac:dyDescent="0.2">
      <c r="B38" s="63" t="s">
        <v>509</v>
      </c>
      <c r="C38" s="16">
        <v>1</v>
      </c>
      <c r="D38" s="16">
        <f t="shared" si="0"/>
        <v>98</v>
      </c>
      <c r="E38" s="16">
        <v>2</v>
      </c>
      <c r="F38" s="16">
        <v>0</v>
      </c>
      <c r="G38" s="16">
        <v>0</v>
      </c>
      <c r="H38" s="16">
        <v>0</v>
      </c>
      <c r="I38" s="16">
        <v>0</v>
      </c>
      <c r="J38" s="16">
        <f t="shared" si="1"/>
        <v>2</v>
      </c>
      <c r="K38" s="16">
        <f t="shared" si="2"/>
        <v>0.4</v>
      </c>
      <c r="L38" s="16">
        <f t="shared" si="3"/>
        <v>0</v>
      </c>
      <c r="M38" s="5">
        <f>AVERAGE((SUM(E38:I38)), (SUM(E39:I39)), (SUM(E40:I40)), (SUM(E41:I41)), (SUM(E42:I42)))</f>
        <v>1.4</v>
      </c>
      <c r="N38" s="5">
        <f>AVERAGE((SUM(D38*0+E38*1+F38*2+G38*3+H38*4+I38*5)/(5*100)*100), (SUM(D39*0+E39*1+F39*2+G39*3+H39*4+I39*5)/(5*100)*100), (SUM(D40*0+E40*1+F40*2+G40*3+H40*4+I40*5)/(5*100)*100), (SUM(D41*0+E41*1+F41*2+G41*3+H41*4+I41*5)/(5*100)*100), (SUM(D42*0+E42*1+F42*2+G42*3+H42*4+I42*5)/(5*100)*100))</f>
        <v>0.4</v>
      </c>
      <c r="O38" s="5">
        <f>AVERAGE(I38:I42)</f>
        <v>0</v>
      </c>
    </row>
    <row r="39" spans="2:15" x14ac:dyDescent="0.2">
      <c r="B39" s="63"/>
      <c r="C39" s="16">
        <v>2</v>
      </c>
      <c r="D39" s="16">
        <f t="shared" si="0"/>
        <v>95</v>
      </c>
      <c r="E39" s="16">
        <v>3</v>
      </c>
      <c r="F39" s="16">
        <v>1</v>
      </c>
      <c r="G39" s="16">
        <v>1</v>
      </c>
      <c r="H39" s="16">
        <v>0</v>
      </c>
      <c r="I39" s="16">
        <v>0</v>
      </c>
      <c r="J39" s="16">
        <f t="shared" si="1"/>
        <v>5</v>
      </c>
      <c r="K39" s="16">
        <f t="shared" si="2"/>
        <v>1.6</v>
      </c>
      <c r="L39" s="16">
        <f t="shared" si="3"/>
        <v>0</v>
      </c>
      <c r="M39" s="5"/>
      <c r="N39" s="5"/>
      <c r="O39" s="5"/>
    </row>
    <row r="40" spans="2:15" x14ac:dyDescent="0.2">
      <c r="B40" s="63"/>
      <c r="C40" s="16">
        <v>3</v>
      </c>
      <c r="D40" s="16">
        <f t="shared" si="0"/>
        <v>100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f t="shared" si="1"/>
        <v>0</v>
      </c>
      <c r="K40" s="16">
        <f t="shared" si="2"/>
        <v>0</v>
      </c>
      <c r="L40" s="16">
        <f t="shared" si="3"/>
        <v>0</v>
      </c>
      <c r="M40" s="5"/>
      <c r="N40" s="5"/>
      <c r="O40" s="5"/>
    </row>
    <row r="41" spans="2:15" x14ac:dyDescent="0.2">
      <c r="B41" s="63"/>
      <c r="C41" s="16">
        <v>4</v>
      </c>
      <c r="D41" s="16">
        <f t="shared" si="0"/>
        <v>100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f t="shared" si="1"/>
        <v>0</v>
      </c>
      <c r="K41" s="16">
        <f t="shared" si="2"/>
        <v>0</v>
      </c>
      <c r="L41" s="16">
        <f t="shared" si="3"/>
        <v>0</v>
      </c>
      <c r="M41" s="5"/>
      <c r="N41" s="5"/>
      <c r="O41" s="5"/>
    </row>
    <row r="42" spans="2:15" x14ac:dyDescent="0.2">
      <c r="B42" s="63"/>
      <c r="C42" s="16">
        <v>5</v>
      </c>
      <c r="D42" s="16">
        <f t="shared" si="0"/>
        <v>100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f t="shared" si="1"/>
        <v>0</v>
      </c>
      <c r="K42" s="16">
        <f t="shared" si="2"/>
        <v>0</v>
      </c>
      <c r="L42" s="16">
        <f t="shared" si="3"/>
        <v>0</v>
      </c>
      <c r="M42" s="5"/>
      <c r="N42" s="5"/>
      <c r="O42" s="5"/>
    </row>
    <row r="43" spans="2:15" x14ac:dyDescent="0.2">
      <c r="B43" s="63" t="s">
        <v>510</v>
      </c>
      <c r="C43" s="16">
        <v>1</v>
      </c>
      <c r="D43" s="16">
        <f t="shared" si="0"/>
        <v>93</v>
      </c>
      <c r="E43" s="16">
        <v>2</v>
      </c>
      <c r="F43" s="16">
        <v>4</v>
      </c>
      <c r="G43" s="16">
        <v>1</v>
      </c>
      <c r="H43" s="16">
        <v>0</v>
      </c>
      <c r="I43" s="16">
        <v>0</v>
      </c>
      <c r="J43" s="16">
        <f t="shared" si="1"/>
        <v>7</v>
      </c>
      <c r="K43" s="16">
        <f t="shared" si="2"/>
        <v>2.6</v>
      </c>
      <c r="L43" s="16">
        <f t="shared" si="3"/>
        <v>0</v>
      </c>
      <c r="M43" s="5">
        <f>AVERAGE((SUM(E43:I43)), (SUM(E44:I44)), (SUM(E45:I45)), (SUM(E46:I46)), (SUM(E47:I47)))</f>
        <v>1.8</v>
      </c>
      <c r="N43" s="5">
        <f>AVERAGE((SUM(D43*0+E43*1+F43*2+G43*3+H43*4+I43*5)/(5*100)*100), (SUM(D44*0+E44*1+F44*2+G44*3+H44*4+I44*5)/(5*100)*100), (SUM(D45*0+E45*1+F45*2+G45*3+H45*4+I45*5)/(5*100)*100), (SUM(D46*0+E46*1+F46*2+G46*3+H46*4+I46*5)/(5*100)*100), (SUM(D47*0+E47*1+F47*2+G47*3+H47*4+I47*5)/(5*100)*100))</f>
        <v>0.6</v>
      </c>
      <c r="O43" s="5">
        <f>AVERAGE(I43:I47)</f>
        <v>0</v>
      </c>
    </row>
    <row r="44" spans="2:15" x14ac:dyDescent="0.2">
      <c r="B44" s="63"/>
      <c r="C44" s="16">
        <v>2</v>
      </c>
      <c r="D44" s="16">
        <f t="shared" si="0"/>
        <v>98</v>
      </c>
      <c r="E44" s="16">
        <v>2</v>
      </c>
      <c r="F44" s="16">
        <v>0</v>
      </c>
      <c r="G44" s="16">
        <v>0</v>
      </c>
      <c r="H44" s="16">
        <v>0</v>
      </c>
      <c r="I44" s="16">
        <v>0</v>
      </c>
      <c r="J44" s="16">
        <f t="shared" si="1"/>
        <v>2</v>
      </c>
      <c r="K44" s="16">
        <f t="shared" si="2"/>
        <v>0.4</v>
      </c>
      <c r="L44" s="16">
        <f t="shared" si="3"/>
        <v>0</v>
      </c>
      <c r="M44" s="5"/>
      <c r="N44" s="5"/>
      <c r="O44" s="5"/>
    </row>
    <row r="45" spans="2:15" x14ac:dyDescent="0.2">
      <c r="B45" s="63"/>
      <c r="C45" s="16">
        <v>3</v>
      </c>
      <c r="D45" s="16">
        <f t="shared" si="0"/>
        <v>100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f t="shared" si="1"/>
        <v>0</v>
      </c>
      <c r="K45" s="16">
        <f t="shared" si="2"/>
        <v>0</v>
      </c>
      <c r="L45" s="16">
        <f t="shared" si="3"/>
        <v>0</v>
      </c>
      <c r="M45" s="5"/>
      <c r="N45" s="5"/>
      <c r="O45" s="5"/>
    </row>
    <row r="46" spans="2:15" x14ac:dyDescent="0.2">
      <c r="B46" s="63"/>
      <c r="C46" s="16">
        <v>4</v>
      </c>
      <c r="D46" s="16">
        <f t="shared" si="0"/>
        <v>100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f t="shared" si="1"/>
        <v>0</v>
      </c>
      <c r="K46" s="16">
        <f t="shared" si="2"/>
        <v>0</v>
      </c>
      <c r="L46" s="16">
        <f t="shared" si="3"/>
        <v>0</v>
      </c>
      <c r="M46" s="5"/>
      <c r="N46" s="5"/>
      <c r="O46" s="5"/>
    </row>
    <row r="47" spans="2:15" x14ac:dyDescent="0.2">
      <c r="B47" s="63"/>
      <c r="C47" s="16">
        <v>5</v>
      </c>
      <c r="D47" s="16">
        <f t="shared" si="0"/>
        <v>100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f t="shared" si="1"/>
        <v>0</v>
      </c>
      <c r="K47" s="16">
        <f t="shared" si="2"/>
        <v>0</v>
      </c>
      <c r="L47" s="16">
        <f t="shared" si="3"/>
        <v>0</v>
      </c>
      <c r="M47" s="5"/>
      <c r="N47" s="5"/>
      <c r="O47" s="5"/>
    </row>
    <row r="48" spans="2:15" x14ac:dyDescent="0.2">
      <c r="B48" s="63" t="s">
        <v>511</v>
      </c>
      <c r="C48" s="16">
        <v>1</v>
      </c>
      <c r="D48" s="16">
        <f t="shared" si="0"/>
        <v>89</v>
      </c>
      <c r="E48" s="16">
        <v>5</v>
      </c>
      <c r="F48" s="16">
        <v>6</v>
      </c>
      <c r="G48" s="16">
        <v>0</v>
      </c>
      <c r="H48" s="16">
        <v>0</v>
      </c>
      <c r="I48" s="16">
        <v>0</v>
      </c>
      <c r="J48" s="16">
        <f t="shared" si="1"/>
        <v>11</v>
      </c>
      <c r="K48" s="16">
        <f t="shared" si="2"/>
        <v>3.4000000000000004</v>
      </c>
      <c r="L48" s="16">
        <f t="shared" si="3"/>
        <v>0</v>
      </c>
      <c r="M48" s="5">
        <f>AVERAGE((SUM(E48:I48)), (SUM(E49:I49)), (SUM(E50:I50)), (SUM(E51:I51)), (SUM(E52:I52)))</f>
        <v>6.2</v>
      </c>
      <c r="N48" s="5">
        <f>AVERAGE((SUM(D48*0+E48*1+F48*2+G48*3+H48*4+I48*5)/(5*100)*100), (SUM(D49*0+E49*1+F49*2+G49*3+H49*4+I49*5)/(5*100)*100), (SUM(D50*0+E50*1+F50*2+G50*3+H50*4+I50*5)/(5*100)*100), (SUM(D51*0+E51*1+F51*2+G51*3+H51*4+I51*5)/(5*100)*100), (SUM(D52*0+E52*1+F52*2+G52*3+H52*4+I52*5)/(5*100)*100))</f>
        <v>2.56</v>
      </c>
      <c r="O48" s="5">
        <f>AVERAGE(I48:I52)</f>
        <v>0</v>
      </c>
    </row>
    <row r="49" spans="2:15" x14ac:dyDescent="0.2">
      <c r="B49" s="63"/>
      <c r="C49" s="16">
        <v>2</v>
      </c>
      <c r="D49" s="16">
        <f t="shared" si="0"/>
        <v>99</v>
      </c>
      <c r="E49" s="16">
        <v>0</v>
      </c>
      <c r="F49" s="16">
        <v>0</v>
      </c>
      <c r="G49" s="16">
        <v>0</v>
      </c>
      <c r="H49" s="16">
        <v>1</v>
      </c>
      <c r="I49" s="16">
        <v>0</v>
      </c>
      <c r="J49" s="16">
        <f t="shared" si="1"/>
        <v>1</v>
      </c>
      <c r="K49" s="16">
        <f t="shared" si="2"/>
        <v>0.8</v>
      </c>
      <c r="L49" s="16">
        <f t="shared" si="3"/>
        <v>0</v>
      </c>
    </row>
    <row r="50" spans="2:15" x14ac:dyDescent="0.2">
      <c r="B50" s="63"/>
      <c r="C50" s="16">
        <v>3</v>
      </c>
      <c r="D50" s="16">
        <f t="shared" si="0"/>
        <v>81</v>
      </c>
      <c r="E50" s="16">
        <v>7</v>
      </c>
      <c r="F50" s="16">
        <v>4</v>
      </c>
      <c r="G50" s="16">
        <v>4</v>
      </c>
      <c r="H50" s="16">
        <v>4</v>
      </c>
      <c r="I50" s="16">
        <v>0</v>
      </c>
      <c r="J50" s="16">
        <f t="shared" si="1"/>
        <v>19</v>
      </c>
      <c r="K50" s="16">
        <f t="shared" si="2"/>
        <v>8.6</v>
      </c>
      <c r="L50" s="16">
        <f t="shared" si="3"/>
        <v>0</v>
      </c>
    </row>
    <row r="51" spans="2:15" x14ac:dyDescent="0.2">
      <c r="B51" s="63"/>
      <c r="C51" s="16">
        <v>4</v>
      </c>
      <c r="D51" s="16">
        <f t="shared" si="0"/>
        <v>100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f t="shared" si="1"/>
        <v>0</v>
      </c>
      <c r="K51" s="16">
        <f t="shared" si="2"/>
        <v>0</v>
      </c>
      <c r="L51" s="16">
        <f t="shared" si="3"/>
        <v>0</v>
      </c>
    </row>
    <row r="52" spans="2:15" x14ac:dyDescent="0.2">
      <c r="B52" s="63"/>
      <c r="C52" s="16">
        <v>5</v>
      </c>
      <c r="D52" s="16">
        <f t="shared" si="0"/>
        <v>100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f t="shared" si="1"/>
        <v>0</v>
      </c>
      <c r="K52" s="16">
        <f t="shared" si="2"/>
        <v>0</v>
      </c>
      <c r="L52" s="16">
        <f t="shared" si="3"/>
        <v>0</v>
      </c>
    </row>
    <row r="53" spans="2:15" x14ac:dyDescent="0.2">
      <c r="B53" s="63" t="s">
        <v>512</v>
      </c>
      <c r="C53" s="16">
        <v>1</v>
      </c>
      <c r="D53" s="16">
        <f t="shared" si="0"/>
        <v>100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f t="shared" si="1"/>
        <v>0</v>
      </c>
      <c r="K53" s="16">
        <f t="shared" si="2"/>
        <v>0</v>
      </c>
      <c r="L53" s="16">
        <f t="shared" si="3"/>
        <v>0</v>
      </c>
      <c r="M53" s="5">
        <f>AVERAGE((SUM(E53:I53)), (SUM(E54:I54)), (SUM(E55:I55)), (SUM(E56:I56)), (SUM(E57:I57)))</f>
        <v>0</v>
      </c>
      <c r="N53" s="5">
        <f>AVERAGE((SUM(D53*0+E53*1+F53*2+G53*3+H53*4+I53*5)/(5*100)*100), (SUM(D54*0+E54*1+F54*2+G54*3+H54*4+I54*5)/(5*100)*100), (SUM(D55*0+E55*1+F55*2+G55*3+H55*4+I55*5)/(5*100)*100), (SUM(D56*0+E56*1+F56*2+G56*3+H56*4+I56*5)/(5*100)*100), (SUM(D57*0+E57*1+F57*2+G57*3+H57*4+I57*5)/(5*100)*100))</f>
        <v>0</v>
      </c>
      <c r="O53" s="5">
        <f>AVERAGE(I53:I57)</f>
        <v>0</v>
      </c>
    </row>
    <row r="54" spans="2:15" x14ac:dyDescent="0.2">
      <c r="B54" s="63"/>
      <c r="C54" s="16">
        <v>2</v>
      </c>
      <c r="D54" s="16">
        <f t="shared" si="0"/>
        <v>100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f t="shared" si="1"/>
        <v>0</v>
      </c>
      <c r="K54" s="16">
        <f t="shared" si="2"/>
        <v>0</v>
      </c>
      <c r="L54" s="16">
        <f t="shared" si="3"/>
        <v>0</v>
      </c>
      <c r="M54" s="5"/>
      <c r="N54" s="5"/>
      <c r="O54" s="5"/>
    </row>
    <row r="55" spans="2:15" x14ac:dyDescent="0.2">
      <c r="B55" s="63"/>
      <c r="C55" s="16">
        <v>3</v>
      </c>
      <c r="D55" s="16">
        <f t="shared" si="0"/>
        <v>100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f t="shared" si="1"/>
        <v>0</v>
      </c>
      <c r="K55" s="16">
        <f t="shared" si="2"/>
        <v>0</v>
      </c>
      <c r="L55" s="16">
        <f t="shared" si="3"/>
        <v>0</v>
      </c>
      <c r="M55" s="5"/>
      <c r="N55" s="5"/>
      <c r="O55" s="5"/>
    </row>
    <row r="56" spans="2:15" x14ac:dyDescent="0.2">
      <c r="B56" s="63"/>
      <c r="C56" s="16">
        <v>4</v>
      </c>
      <c r="D56" s="16">
        <f t="shared" si="0"/>
        <v>100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f t="shared" si="1"/>
        <v>0</v>
      </c>
      <c r="K56" s="16">
        <f t="shared" si="2"/>
        <v>0</v>
      </c>
      <c r="L56" s="16">
        <f t="shared" si="3"/>
        <v>0</v>
      </c>
      <c r="M56" s="5"/>
      <c r="N56" s="5"/>
      <c r="O56" s="5"/>
    </row>
    <row r="57" spans="2:15" x14ac:dyDescent="0.2">
      <c r="B57" s="63"/>
      <c r="C57" s="16">
        <v>5</v>
      </c>
      <c r="D57" s="16">
        <f t="shared" si="0"/>
        <v>100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f t="shared" si="1"/>
        <v>0</v>
      </c>
      <c r="K57" s="16">
        <f t="shared" si="2"/>
        <v>0</v>
      </c>
      <c r="L57" s="16">
        <f t="shared" si="3"/>
        <v>0</v>
      </c>
      <c r="M57" s="5"/>
      <c r="N57" s="5"/>
      <c r="O57" s="5"/>
    </row>
    <row r="58" spans="2:15" x14ac:dyDescent="0.2">
      <c r="B58" s="63" t="s">
        <v>513</v>
      </c>
      <c r="C58" s="16">
        <v>1</v>
      </c>
      <c r="D58" s="16">
        <f t="shared" si="0"/>
        <v>99</v>
      </c>
      <c r="E58" s="16">
        <v>1</v>
      </c>
      <c r="F58" s="16">
        <v>0</v>
      </c>
      <c r="G58" s="16">
        <v>0</v>
      </c>
      <c r="H58" s="16">
        <v>0</v>
      </c>
      <c r="I58" s="16">
        <v>0</v>
      </c>
      <c r="J58" s="16">
        <f t="shared" si="1"/>
        <v>1</v>
      </c>
      <c r="K58" s="16">
        <f t="shared" si="2"/>
        <v>0.2</v>
      </c>
      <c r="L58" s="16">
        <f t="shared" si="3"/>
        <v>0</v>
      </c>
      <c r="M58" s="5">
        <f>AVERAGE((SUM(E58:I58)), (SUM(E59:I59)), (SUM(E60:I60)), (SUM(E61:I61)), (SUM(E62:I62)))</f>
        <v>1</v>
      </c>
      <c r="N58" s="5">
        <f>AVERAGE((SUM(D58*0+E58*1+F58*2+G58*3+H58*4+I58*5)/(5*100)*100), (SUM(D59*0+E59*1+F59*2+G59*3+H59*4+I59*5)/(5*100)*100), (SUM(D60*0+E60*1+F60*2+G60*3+H60*4+I60*5)/(5*100)*100), (SUM(D61*0+E61*1+F61*2+G61*3+H61*4+I61*5)/(5*100)*100), (SUM(D62*0+E62*1+F62*2+G62*3+H62*4+I62*5)/(5*100)*100))</f>
        <v>0.44000000000000006</v>
      </c>
      <c r="O58" s="5">
        <f>AVERAGE(I58:I62)</f>
        <v>0</v>
      </c>
    </row>
    <row r="59" spans="2:15" x14ac:dyDescent="0.2">
      <c r="B59" s="63"/>
      <c r="C59" s="16">
        <v>2</v>
      </c>
      <c r="D59" s="16">
        <f t="shared" si="0"/>
        <v>97</v>
      </c>
      <c r="E59" s="16">
        <v>0</v>
      </c>
      <c r="F59" s="16">
        <v>2</v>
      </c>
      <c r="G59" s="16">
        <v>0</v>
      </c>
      <c r="H59" s="16">
        <v>1</v>
      </c>
      <c r="I59" s="16">
        <v>0</v>
      </c>
      <c r="J59" s="16">
        <f t="shared" si="1"/>
        <v>3</v>
      </c>
      <c r="K59" s="16">
        <f t="shared" si="2"/>
        <v>1.6</v>
      </c>
      <c r="L59" s="16">
        <f t="shared" si="3"/>
        <v>0</v>
      </c>
      <c r="M59" s="5"/>
      <c r="N59" s="5"/>
      <c r="O59" s="5"/>
    </row>
    <row r="60" spans="2:15" x14ac:dyDescent="0.2">
      <c r="B60" s="63"/>
      <c r="C60" s="16">
        <v>3</v>
      </c>
      <c r="D60" s="16">
        <f t="shared" si="0"/>
        <v>99</v>
      </c>
      <c r="E60" s="16">
        <v>0</v>
      </c>
      <c r="F60" s="16">
        <v>1</v>
      </c>
      <c r="G60" s="16">
        <v>0</v>
      </c>
      <c r="H60" s="16">
        <v>0</v>
      </c>
      <c r="I60" s="16">
        <v>0</v>
      </c>
      <c r="J60" s="16">
        <f t="shared" si="1"/>
        <v>1</v>
      </c>
      <c r="K60" s="16">
        <f t="shared" si="2"/>
        <v>0.4</v>
      </c>
      <c r="L60" s="16">
        <f t="shared" si="3"/>
        <v>0</v>
      </c>
      <c r="M60" s="5"/>
      <c r="N60" s="5"/>
      <c r="O60" s="5"/>
    </row>
    <row r="61" spans="2:15" x14ac:dyDescent="0.2">
      <c r="B61" s="63"/>
      <c r="C61" s="16">
        <v>4</v>
      </c>
      <c r="D61" s="16">
        <f t="shared" si="0"/>
        <v>100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f t="shared" si="1"/>
        <v>0</v>
      </c>
      <c r="K61" s="16">
        <f t="shared" si="2"/>
        <v>0</v>
      </c>
      <c r="L61" s="16">
        <f t="shared" si="3"/>
        <v>0</v>
      </c>
      <c r="M61" s="5"/>
      <c r="N61" s="5"/>
      <c r="O61" s="5"/>
    </row>
    <row r="62" spans="2:15" x14ac:dyDescent="0.2">
      <c r="B62" s="63"/>
      <c r="C62" s="16">
        <v>5</v>
      </c>
      <c r="D62" s="16">
        <f t="shared" si="0"/>
        <v>100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f t="shared" si="1"/>
        <v>0</v>
      </c>
      <c r="K62" s="16">
        <f t="shared" si="2"/>
        <v>0</v>
      </c>
      <c r="L62" s="16">
        <f t="shared" si="3"/>
        <v>0</v>
      </c>
      <c r="M62" s="5"/>
      <c r="N62" s="5"/>
      <c r="O62" s="5"/>
    </row>
    <row r="63" spans="2:15" x14ac:dyDescent="0.2">
      <c r="B63" s="63" t="s">
        <v>514</v>
      </c>
      <c r="C63" s="16">
        <v>1</v>
      </c>
      <c r="D63" s="16">
        <f t="shared" si="0"/>
        <v>100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f t="shared" si="1"/>
        <v>0</v>
      </c>
      <c r="K63" s="16">
        <f t="shared" si="2"/>
        <v>0</v>
      </c>
      <c r="L63" s="16">
        <f t="shared" si="3"/>
        <v>0</v>
      </c>
      <c r="M63" s="5">
        <f>AVERAGE((SUM(E63:I63)), (SUM(E64:I64)), (SUM(E65:I65)), (SUM(E66:I66)), (SUM(E67:I67)))</f>
        <v>2.8</v>
      </c>
      <c r="N63" s="5">
        <f>AVERAGE((SUM(D63*0+E63*1+F63*2+G63*3+H63*4+I63*5)/(5*100)*100), (SUM(D64*0+E64*1+F64*2+G64*3+H64*4+I64*5)/(5*100)*100), (SUM(D65*0+E65*1+F65*2+G65*3+H65*4+I65*5)/(5*100)*100), (SUM(D66*0+E66*1+F66*2+G66*3+H66*4+I66*5)/(5*100)*100), (SUM(D67*0+E67*1+F67*2+G67*3+H67*4+I67*5)/(5*100)*100))</f>
        <v>1.52</v>
      </c>
      <c r="O63" s="5">
        <f>AVERAGE(I63:I67)</f>
        <v>0.4</v>
      </c>
    </row>
    <row r="64" spans="2:15" x14ac:dyDescent="0.2">
      <c r="B64" s="63"/>
      <c r="C64" s="16">
        <v>2</v>
      </c>
      <c r="D64" s="16">
        <f t="shared" si="0"/>
        <v>95</v>
      </c>
      <c r="E64" s="16">
        <v>0</v>
      </c>
      <c r="F64" s="16">
        <v>1</v>
      </c>
      <c r="G64" s="16">
        <v>0</v>
      </c>
      <c r="H64" s="16">
        <v>2</v>
      </c>
      <c r="I64" s="16">
        <v>2</v>
      </c>
      <c r="J64" s="16">
        <f t="shared" si="1"/>
        <v>5</v>
      </c>
      <c r="K64" s="16">
        <f t="shared" si="2"/>
        <v>4</v>
      </c>
      <c r="L64" s="16">
        <f t="shared" si="3"/>
        <v>2</v>
      </c>
      <c r="M64" s="5"/>
      <c r="N64" s="5"/>
      <c r="O64" s="5"/>
    </row>
    <row r="65" spans="2:15" x14ac:dyDescent="0.2">
      <c r="B65" s="63"/>
      <c r="C65" s="16">
        <v>3</v>
      </c>
      <c r="D65" s="16">
        <f t="shared" si="0"/>
        <v>97</v>
      </c>
      <c r="E65" s="16">
        <v>1</v>
      </c>
      <c r="F65" s="16">
        <v>1</v>
      </c>
      <c r="G65" s="16">
        <v>1</v>
      </c>
      <c r="H65" s="16">
        <v>0</v>
      </c>
      <c r="I65" s="16">
        <v>0</v>
      </c>
      <c r="J65" s="16">
        <f t="shared" si="1"/>
        <v>3</v>
      </c>
      <c r="K65" s="16">
        <f t="shared" si="2"/>
        <v>1.2</v>
      </c>
      <c r="L65" s="16">
        <f t="shared" si="3"/>
        <v>0</v>
      </c>
      <c r="M65" s="5"/>
      <c r="N65" s="5"/>
      <c r="O65" s="5"/>
    </row>
    <row r="66" spans="2:15" x14ac:dyDescent="0.2">
      <c r="B66" s="63"/>
      <c r="C66" s="16">
        <v>4</v>
      </c>
      <c r="D66" s="16">
        <f t="shared" si="0"/>
        <v>94</v>
      </c>
      <c r="E66" s="16">
        <v>2</v>
      </c>
      <c r="F66" s="16">
        <v>2</v>
      </c>
      <c r="G66" s="16">
        <v>2</v>
      </c>
      <c r="H66" s="16">
        <v>0</v>
      </c>
      <c r="I66" s="16">
        <v>0</v>
      </c>
      <c r="J66" s="16">
        <f t="shared" si="1"/>
        <v>6</v>
      </c>
      <c r="K66" s="16">
        <f t="shared" si="2"/>
        <v>2.4</v>
      </c>
      <c r="L66" s="16">
        <f t="shared" si="3"/>
        <v>0</v>
      </c>
      <c r="M66" s="5"/>
      <c r="N66" s="5"/>
      <c r="O66" s="5"/>
    </row>
    <row r="67" spans="2:15" x14ac:dyDescent="0.2">
      <c r="B67" s="63"/>
      <c r="C67" s="16">
        <v>5</v>
      </c>
      <c r="D67" s="16">
        <f t="shared" ref="D67:D130" si="4">100-(SUM(E67:I67))</f>
        <v>100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f t="shared" si="1"/>
        <v>0</v>
      </c>
      <c r="K67" s="16">
        <f t="shared" si="2"/>
        <v>0</v>
      </c>
      <c r="L67" s="16">
        <f t="shared" si="3"/>
        <v>0</v>
      </c>
      <c r="M67" s="5"/>
      <c r="N67" s="5"/>
      <c r="O67" s="5"/>
    </row>
    <row r="68" spans="2:15" x14ac:dyDescent="0.2">
      <c r="B68" s="63" t="s">
        <v>515</v>
      </c>
      <c r="C68" s="16">
        <v>1</v>
      </c>
      <c r="D68" s="16">
        <f t="shared" si="4"/>
        <v>91</v>
      </c>
      <c r="E68" s="16">
        <v>0</v>
      </c>
      <c r="F68" s="16">
        <v>3</v>
      </c>
      <c r="G68" s="16">
        <v>0</v>
      </c>
      <c r="H68" s="16">
        <v>0</v>
      </c>
      <c r="I68" s="16">
        <v>6</v>
      </c>
      <c r="J68" s="16">
        <f t="shared" ref="J68:J131" si="5">SUM(E68:I68)</f>
        <v>9</v>
      </c>
      <c r="K68" s="16">
        <f t="shared" ref="K68:K131" si="6">AVERAGE(SUM(E68*1,F68*2,G68*3,H68*4,I68*5))/(5*100)*100</f>
        <v>7.1999999999999993</v>
      </c>
      <c r="L68" s="16">
        <f t="shared" ref="L68:L131" si="7">I68</f>
        <v>6</v>
      </c>
      <c r="M68" s="5">
        <f>AVERAGE((SUM(E68:I68)), (SUM(E69:I69)), (SUM(E70:I70)), (SUM(E71:I71)), (SUM(E72:I72)))</f>
        <v>9.6</v>
      </c>
      <c r="N68" s="5">
        <f>AVERAGE((SUM(D68*0+E68*1+F68*2+G68*3+H68*4+I68*5)/(5*100)*100), (SUM(D69*0+E69*1+F69*2+G69*3+H69*4+I69*5)/(5*100)*100), (SUM(D70*0+E70*1+F70*2+G70*3+H70*4+I70*5)/(5*100)*100), (SUM(D71*0+E71*1+F71*2+G71*3+H71*4+I71*5)/(5*100)*100), (SUM(D72*0+E72*1+F72*2+G72*3+H72*4+I72*5)/(5*100)*100))</f>
        <v>6.919999999999999</v>
      </c>
      <c r="O68" s="5">
        <f>AVERAGE(I68:I72)</f>
        <v>4.5999999999999996</v>
      </c>
    </row>
    <row r="69" spans="2:15" x14ac:dyDescent="0.2">
      <c r="B69" s="63"/>
      <c r="C69" s="16">
        <v>2</v>
      </c>
      <c r="D69" s="16">
        <f t="shared" si="4"/>
        <v>91</v>
      </c>
      <c r="E69" s="16">
        <v>1</v>
      </c>
      <c r="F69" s="16">
        <v>0</v>
      </c>
      <c r="G69" s="16">
        <v>2</v>
      </c>
      <c r="H69" s="16">
        <v>0</v>
      </c>
      <c r="I69" s="16">
        <v>6</v>
      </c>
      <c r="J69" s="16">
        <f t="shared" si="5"/>
        <v>9</v>
      </c>
      <c r="K69" s="16">
        <f t="shared" si="6"/>
        <v>7.3999999999999995</v>
      </c>
      <c r="L69" s="16">
        <f t="shared" si="7"/>
        <v>6</v>
      </c>
    </row>
    <row r="70" spans="2:15" x14ac:dyDescent="0.2">
      <c r="B70" s="63"/>
      <c r="C70" s="16">
        <v>3</v>
      </c>
      <c r="D70" s="16">
        <f t="shared" si="4"/>
        <v>100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f t="shared" si="5"/>
        <v>0</v>
      </c>
      <c r="K70" s="16">
        <f t="shared" si="6"/>
        <v>0</v>
      </c>
      <c r="L70" s="16">
        <f t="shared" si="7"/>
        <v>0</v>
      </c>
    </row>
    <row r="71" spans="2:15" x14ac:dyDescent="0.2">
      <c r="B71" s="63"/>
      <c r="C71" s="16">
        <v>4</v>
      </c>
      <c r="D71" s="16">
        <f t="shared" si="4"/>
        <v>86</v>
      </c>
      <c r="E71" s="16">
        <v>4</v>
      </c>
      <c r="F71" s="16">
        <v>5</v>
      </c>
      <c r="G71" s="16">
        <v>3</v>
      </c>
      <c r="H71" s="16">
        <v>2</v>
      </c>
      <c r="I71" s="16">
        <v>0</v>
      </c>
      <c r="J71" s="16">
        <f t="shared" si="5"/>
        <v>14</v>
      </c>
      <c r="K71" s="16">
        <f t="shared" si="6"/>
        <v>6.2</v>
      </c>
      <c r="L71" s="16">
        <f t="shared" si="7"/>
        <v>0</v>
      </c>
    </row>
    <row r="72" spans="2:15" x14ac:dyDescent="0.2">
      <c r="B72" s="63"/>
      <c r="C72" s="16">
        <v>5</v>
      </c>
      <c r="D72" s="16">
        <f t="shared" si="4"/>
        <v>84</v>
      </c>
      <c r="E72" s="16">
        <v>2</v>
      </c>
      <c r="F72" s="16">
        <v>0</v>
      </c>
      <c r="G72" s="16">
        <v>0</v>
      </c>
      <c r="H72" s="16">
        <v>3</v>
      </c>
      <c r="I72" s="16">
        <v>11</v>
      </c>
      <c r="J72" s="16">
        <f t="shared" si="5"/>
        <v>16</v>
      </c>
      <c r="K72" s="16">
        <f t="shared" si="6"/>
        <v>13.8</v>
      </c>
      <c r="L72" s="16">
        <f t="shared" si="7"/>
        <v>11</v>
      </c>
    </row>
    <row r="73" spans="2:15" x14ac:dyDescent="0.2">
      <c r="B73" s="63" t="s">
        <v>516</v>
      </c>
      <c r="C73" s="16">
        <v>1</v>
      </c>
      <c r="D73" s="16">
        <f t="shared" si="4"/>
        <v>99</v>
      </c>
      <c r="E73" s="16">
        <v>1</v>
      </c>
      <c r="F73" s="16">
        <v>0</v>
      </c>
      <c r="G73" s="16">
        <v>0</v>
      </c>
      <c r="H73" s="16">
        <v>0</v>
      </c>
      <c r="I73" s="16">
        <v>0</v>
      </c>
      <c r="J73" s="16">
        <f t="shared" si="5"/>
        <v>1</v>
      </c>
      <c r="K73" s="16">
        <f t="shared" si="6"/>
        <v>0.2</v>
      </c>
      <c r="L73" s="16">
        <f t="shared" si="7"/>
        <v>0</v>
      </c>
      <c r="M73" s="5">
        <f>AVERAGE((SUM(E73:I73)), (SUM(E74:I74)), (SUM(E75:I75)), (SUM(E76:I76)), (SUM(E77:I77)))</f>
        <v>1.6</v>
      </c>
      <c r="N73" s="5">
        <f>AVERAGE((SUM(D73*0+E73*1+F73*2+G73*3+H73*4+I73*5)/(5*100)*100), (SUM(D74*0+E74*1+F74*2+G74*3+H74*4+I74*5)/(5*100)*100), (SUM(D75*0+E75*1+F75*2+G75*3+H75*4+I75*5)/(5*100)*100), (SUM(D76*0+E76*1+F76*2+G76*3+H76*4+I76*5)/(5*100)*100), (SUM(D77*0+E77*1+F77*2+G77*3+H77*4+I77*5)/(5*100)*100))</f>
        <v>1.0400000000000003</v>
      </c>
      <c r="O73" s="5">
        <f>AVERAGE(I73:I77)</f>
        <v>0</v>
      </c>
    </row>
    <row r="74" spans="2:15" x14ac:dyDescent="0.2">
      <c r="B74" s="63"/>
      <c r="C74" s="16">
        <v>2</v>
      </c>
      <c r="D74" s="16">
        <f t="shared" si="4"/>
        <v>100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f t="shared" si="5"/>
        <v>0</v>
      </c>
      <c r="K74" s="16">
        <f t="shared" si="6"/>
        <v>0</v>
      </c>
      <c r="L74" s="16">
        <f t="shared" si="7"/>
        <v>0</v>
      </c>
      <c r="M74" s="5"/>
      <c r="N74" s="5"/>
      <c r="O74" s="5"/>
    </row>
    <row r="75" spans="2:15" x14ac:dyDescent="0.2">
      <c r="B75" s="63"/>
      <c r="C75" s="16">
        <v>3</v>
      </c>
      <c r="D75" s="16">
        <f t="shared" si="4"/>
        <v>95</v>
      </c>
      <c r="E75" s="16">
        <v>1</v>
      </c>
      <c r="F75" s="16">
        <v>0</v>
      </c>
      <c r="G75" s="16">
        <v>0</v>
      </c>
      <c r="H75" s="16">
        <v>4</v>
      </c>
      <c r="I75" s="16">
        <v>0</v>
      </c>
      <c r="J75" s="16">
        <f t="shared" si="5"/>
        <v>5</v>
      </c>
      <c r="K75" s="16">
        <f t="shared" si="6"/>
        <v>3.4000000000000004</v>
      </c>
      <c r="L75" s="16">
        <f t="shared" si="7"/>
        <v>0</v>
      </c>
      <c r="M75" s="5"/>
      <c r="N75" s="5"/>
      <c r="O75" s="5"/>
    </row>
    <row r="76" spans="2:15" x14ac:dyDescent="0.2">
      <c r="B76" s="63"/>
      <c r="C76" s="16">
        <v>4</v>
      </c>
      <c r="D76" s="16">
        <f t="shared" si="4"/>
        <v>98</v>
      </c>
      <c r="E76" s="16">
        <v>0</v>
      </c>
      <c r="F76" s="16">
        <v>0</v>
      </c>
      <c r="G76" s="16">
        <v>0</v>
      </c>
      <c r="H76" s="16">
        <v>2</v>
      </c>
      <c r="I76" s="16">
        <v>0</v>
      </c>
      <c r="J76" s="16">
        <f t="shared" si="5"/>
        <v>2</v>
      </c>
      <c r="K76" s="16">
        <f t="shared" si="6"/>
        <v>1.6</v>
      </c>
      <c r="L76" s="16">
        <f t="shared" si="7"/>
        <v>0</v>
      </c>
      <c r="M76" s="5"/>
      <c r="N76" s="5"/>
      <c r="O76" s="5"/>
    </row>
    <row r="77" spans="2:15" x14ac:dyDescent="0.2">
      <c r="B77" s="63"/>
      <c r="C77" s="16">
        <v>5</v>
      </c>
      <c r="D77" s="16">
        <f t="shared" si="4"/>
        <v>100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f t="shared" si="5"/>
        <v>0</v>
      </c>
      <c r="K77" s="16">
        <f t="shared" si="6"/>
        <v>0</v>
      </c>
      <c r="L77" s="16">
        <f t="shared" si="7"/>
        <v>0</v>
      </c>
      <c r="M77" s="5"/>
      <c r="N77" s="5"/>
      <c r="O77" s="5"/>
    </row>
    <row r="78" spans="2:15" x14ac:dyDescent="0.2">
      <c r="B78" s="63" t="s">
        <v>517</v>
      </c>
      <c r="C78" s="16">
        <v>1</v>
      </c>
      <c r="D78" s="16">
        <f t="shared" si="4"/>
        <v>97</v>
      </c>
      <c r="E78" s="16">
        <v>0</v>
      </c>
      <c r="F78" s="16">
        <v>0</v>
      </c>
      <c r="G78" s="16">
        <v>0</v>
      </c>
      <c r="H78" s="16">
        <v>1</v>
      </c>
      <c r="I78" s="16">
        <v>2</v>
      </c>
      <c r="J78" s="16">
        <f t="shared" si="5"/>
        <v>3</v>
      </c>
      <c r="K78" s="16">
        <f t="shared" si="6"/>
        <v>2.8000000000000003</v>
      </c>
      <c r="L78" s="16">
        <f t="shared" si="7"/>
        <v>2</v>
      </c>
      <c r="M78" s="5">
        <f>AVERAGE((SUM(E78:I78)), (SUM(E79:I79)), (SUM(E80:I80)), (SUM(E81:I81)), (SUM(E82:I82)))</f>
        <v>6.2</v>
      </c>
      <c r="N78" s="5">
        <f>AVERAGE((SUM(D78*0+E78*1+F78*2+G78*3+H78*4+I78*5)/(5*100)*100), (SUM(D79*0+E79*1+F79*2+G79*3+H79*4+I79*5)/(5*100)*100), (SUM(D80*0+E80*1+F80*2+G80*3+H80*4+I80*5)/(5*100)*100), (SUM(D81*0+E81*1+F81*2+G81*3+H81*4+I81*5)/(5*100)*100), (SUM(D82*0+E82*1+F82*2+G82*3+H82*4+I82*5)/(5*100)*100))</f>
        <v>4.8</v>
      </c>
      <c r="O78" s="5">
        <f>AVERAGE(I78:I82)</f>
        <v>2.8</v>
      </c>
    </row>
    <row r="79" spans="2:15" x14ac:dyDescent="0.2">
      <c r="B79" s="63"/>
      <c r="C79" s="16">
        <v>2</v>
      </c>
      <c r="D79" s="16">
        <f t="shared" si="4"/>
        <v>100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f t="shared" si="5"/>
        <v>0</v>
      </c>
      <c r="K79" s="16">
        <f t="shared" si="6"/>
        <v>0</v>
      </c>
      <c r="L79" s="16">
        <f t="shared" si="7"/>
        <v>0</v>
      </c>
      <c r="M79" s="5"/>
      <c r="N79" s="5"/>
      <c r="O79" s="5"/>
    </row>
    <row r="80" spans="2:15" x14ac:dyDescent="0.2">
      <c r="B80" s="63"/>
      <c r="C80" s="16">
        <v>3</v>
      </c>
      <c r="D80" s="16">
        <f t="shared" si="4"/>
        <v>77</v>
      </c>
      <c r="E80" s="16">
        <v>2</v>
      </c>
      <c r="F80" s="16">
        <v>4</v>
      </c>
      <c r="G80" s="16">
        <v>1</v>
      </c>
      <c r="H80" s="16">
        <v>8</v>
      </c>
      <c r="I80" s="16">
        <v>8</v>
      </c>
      <c r="J80" s="16">
        <f t="shared" si="5"/>
        <v>23</v>
      </c>
      <c r="K80" s="16">
        <f t="shared" si="6"/>
        <v>17</v>
      </c>
      <c r="L80" s="16">
        <f t="shared" si="7"/>
        <v>8</v>
      </c>
      <c r="M80" s="5"/>
      <c r="N80" s="5"/>
      <c r="O80" s="5"/>
    </row>
    <row r="81" spans="2:15" x14ac:dyDescent="0.2">
      <c r="B81" s="63"/>
      <c r="C81" s="16">
        <v>4</v>
      </c>
      <c r="D81" s="16">
        <f t="shared" si="4"/>
        <v>99</v>
      </c>
      <c r="E81" s="16">
        <v>1</v>
      </c>
      <c r="F81" s="16">
        <v>0</v>
      </c>
      <c r="G81" s="16">
        <v>0</v>
      </c>
      <c r="H81" s="16">
        <v>0</v>
      </c>
      <c r="I81" s="16">
        <v>0</v>
      </c>
      <c r="J81" s="16">
        <f t="shared" si="5"/>
        <v>1</v>
      </c>
      <c r="K81" s="16">
        <f t="shared" si="6"/>
        <v>0.2</v>
      </c>
      <c r="L81" s="16">
        <f t="shared" si="7"/>
        <v>0</v>
      </c>
      <c r="M81" s="5"/>
      <c r="N81" s="5"/>
      <c r="O81" s="5"/>
    </row>
    <row r="82" spans="2:15" x14ac:dyDescent="0.2">
      <c r="B82" s="63"/>
      <c r="C82" s="16">
        <v>5</v>
      </c>
      <c r="D82" s="16">
        <f t="shared" si="4"/>
        <v>96</v>
      </c>
      <c r="E82" s="16">
        <v>0</v>
      </c>
      <c r="F82" s="16">
        <v>0</v>
      </c>
      <c r="G82" s="16">
        <v>0</v>
      </c>
      <c r="H82" s="16">
        <v>0</v>
      </c>
      <c r="I82" s="16">
        <v>4</v>
      </c>
      <c r="J82" s="16">
        <f t="shared" si="5"/>
        <v>4</v>
      </c>
      <c r="K82" s="16">
        <f t="shared" si="6"/>
        <v>4</v>
      </c>
      <c r="L82" s="16">
        <f t="shared" si="7"/>
        <v>4</v>
      </c>
      <c r="M82" s="5"/>
      <c r="N82" s="5"/>
      <c r="O82" s="5"/>
    </row>
    <row r="83" spans="2:15" x14ac:dyDescent="0.2">
      <c r="B83" s="63" t="s">
        <v>518</v>
      </c>
      <c r="C83" s="16">
        <v>1</v>
      </c>
      <c r="D83" s="16">
        <f t="shared" si="4"/>
        <v>83</v>
      </c>
      <c r="E83" s="16">
        <v>0</v>
      </c>
      <c r="F83" s="16">
        <v>1</v>
      </c>
      <c r="G83" s="16">
        <v>3</v>
      </c>
      <c r="H83" s="16">
        <v>4</v>
      </c>
      <c r="I83" s="16">
        <v>9</v>
      </c>
      <c r="J83" s="16">
        <f t="shared" si="5"/>
        <v>17</v>
      </c>
      <c r="K83" s="16">
        <f t="shared" si="6"/>
        <v>14.399999999999999</v>
      </c>
      <c r="L83" s="16">
        <f t="shared" si="7"/>
        <v>9</v>
      </c>
      <c r="M83" s="5">
        <f>AVERAGE((SUM(E83:I83)), (SUM(E84:I84)), (SUM(E85:I85)), (SUM(E86:I86)), (SUM(E87:I87)))</f>
        <v>15</v>
      </c>
      <c r="N83" s="5">
        <f>AVERAGE((SUM(D83*0+E83*1+F83*2+G83*3+H83*4+I83*5)/(5*100)*100), (SUM(D84*0+E84*1+F84*2+G84*3+H84*4+I84*5)/(5*100)*100), (SUM(D85*0+E85*1+F85*2+G85*3+H85*4+I85*5)/(5*100)*100), (SUM(D86*0+E86*1+F86*2+G86*3+H86*4+I86*5)/(5*100)*100), (SUM(D87*0+E87*1+F87*2+G87*3+H87*4+I87*5)/(5*100)*100))</f>
        <v>11.76</v>
      </c>
      <c r="O83" s="5">
        <f>AVERAGE(I83:I87)</f>
        <v>5.4</v>
      </c>
    </row>
    <row r="84" spans="2:15" x14ac:dyDescent="0.2">
      <c r="B84" s="63"/>
      <c r="C84" s="16">
        <v>2</v>
      </c>
      <c r="D84" s="16">
        <f t="shared" si="4"/>
        <v>85</v>
      </c>
      <c r="E84" s="16">
        <v>0</v>
      </c>
      <c r="F84" s="16">
        <v>1</v>
      </c>
      <c r="G84" s="16">
        <v>0</v>
      </c>
      <c r="H84" s="16">
        <v>4</v>
      </c>
      <c r="I84" s="16">
        <v>10</v>
      </c>
      <c r="J84" s="16">
        <f t="shared" si="5"/>
        <v>15</v>
      </c>
      <c r="K84" s="16">
        <f t="shared" si="6"/>
        <v>13.600000000000001</v>
      </c>
      <c r="L84" s="16">
        <f t="shared" si="7"/>
        <v>10</v>
      </c>
      <c r="M84" s="5"/>
      <c r="N84" s="5"/>
      <c r="O84" s="5"/>
    </row>
    <row r="85" spans="2:15" x14ac:dyDescent="0.2">
      <c r="B85" s="63"/>
      <c r="C85" s="16">
        <v>3</v>
      </c>
      <c r="D85" s="16">
        <f t="shared" si="4"/>
        <v>85</v>
      </c>
      <c r="E85" s="16">
        <v>2</v>
      </c>
      <c r="F85" s="16">
        <v>4</v>
      </c>
      <c r="G85" s="16">
        <v>1</v>
      </c>
      <c r="H85" s="16">
        <v>8</v>
      </c>
      <c r="I85" s="16">
        <v>0</v>
      </c>
      <c r="J85" s="16">
        <f t="shared" si="5"/>
        <v>15</v>
      </c>
      <c r="K85" s="16">
        <f t="shared" si="6"/>
        <v>9</v>
      </c>
      <c r="L85" s="16">
        <f t="shared" si="7"/>
        <v>0</v>
      </c>
      <c r="M85" s="5"/>
      <c r="N85" s="5"/>
      <c r="O85" s="5"/>
    </row>
    <row r="86" spans="2:15" x14ac:dyDescent="0.2">
      <c r="B86" s="63"/>
      <c r="C86" s="16">
        <v>4</v>
      </c>
      <c r="D86" s="16">
        <f t="shared" si="4"/>
        <v>85</v>
      </c>
      <c r="E86" s="16">
        <v>0</v>
      </c>
      <c r="F86" s="16">
        <v>1</v>
      </c>
      <c r="G86" s="16">
        <v>4</v>
      </c>
      <c r="H86" s="16">
        <v>6</v>
      </c>
      <c r="I86" s="16">
        <v>4</v>
      </c>
      <c r="J86" s="16">
        <f t="shared" si="5"/>
        <v>15</v>
      </c>
      <c r="K86" s="16">
        <f t="shared" si="6"/>
        <v>11.600000000000001</v>
      </c>
      <c r="L86" s="16">
        <f t="shared" si="7"/>
        <v>4</v>
      </c>
      <c r="M86" s="5"/>
      <c r="N86" s="5"/>
      <c r="O86" s="5"/>
    </row>
    <row r="87" spans="2:15" x14ac:dyDescent="0.2">
      <c r="B87" s="63"/>
      <c r="C87" s="16">
        <v>5</v>
      </c>
      <c r="D87" s="16">
        <f t="shared" si="4"/>
        <v>87</v>
      </c>
      <c r="E87" s="16">
        <v>1</v>
      </c>
      <c r="F87" s="16">
        <v>0</v>
      </c>
      <c r="G87" s="16">
        <v>2</v>
      </c>
      <c r="H87" s="16">
        <v>6</v>
      </c>
      <c r="I87" s="16">
        <v>4</v>
      </c>
      <c r="J87" s="16">
        <f t="shared" si="5"/>
        <v>13</v>
      </c>
      <c r="K87" s="16">
        <f t="shared" si="6"/>
        <v>10.199999999999999</v>
      </c>
      <c r="L87" s="16">
        <f t="shared" si="7"/>
        <v>4</v>
      </c>
      <c r="M87" s="5"/>
      <c r="N87" s="5"/>
      <c r="O87" s="5"/>
    </row>
    <row r="88" spans="2:15" x14ac:dyDescent="0.2">
      <c r="B88" s="63" t="s">
        <v>519</v>
      </c>
      <c r="C88" s="16">
        <v>1</v>
      </c>
      <c r="D88" s="16">
        <f t="shared" si="4"/>
        <v>99</v>
      </c>
      <c r="E88" s="16">
        <v>0</v>
      </c>
      <c r="F88" s="16">
        <v>1</v>
      </c>
      <c r="G88" s="16">
        <v>0</v>
      </c>
      <c r="H88" s="16">
        <v>0</v>
      </c>
      <c r="I88" s="16">
        <v>0</v>
      </c>
      <c r="J88" s="16">
        <f t="shared" si="5"/>
        <v>1</v>
      </c>
      <c r="K88" s="16">
        <f t="shared" si="6"/>
        <v>0.4</v>
      </c>
      <c r="L88" s="16">
        <f t="shared" si="7"/>
        <v>0</v>
      </c>
      <c r="M88" s="5">
        <f>AVERAGE((SUM(E88:I88)), (SUM(E89:I89)), (SUM(E90:I90)), (SUM(E91:I91)), (SUM(E92:I92)))</f>
        <v>6</v>
      </c>
      <c r="N88" s="5">
        <f>AVERAGE((SUM(D88*0+E88*1+F88*2+G88*3+H88*4+I88*5)/(5*100)*100), (SUM(D89*0+E89*1+F89*2+G89*3+H89*4+I89*5)/(5*100)*100), (SUM(D90*0+E90*1+F90*2+G90*3+H90*4+I90*5)/(5*100)*100), (SUM(D91*0+E91*1+F91*2+G91*3+H91*4+I91*5)/(5*100)*100), (SUM(D92*0+E92*1+F92*2+G92*3+H92*4+I92*5)/(5*100)*100))</f>
        <v>4.9599999999999991</v>
      </c>
      <c r="O88" s="5">
        <f>AVERAGE(I88:I92)</f>
        <v>3.8</v>
      </c>
    </row>
    <row r="89" spans="2:15" x14ac:dyDescent="0.2">
      <c r="B89" s="63"/>
      <c r="C89" s="16">
        <v>2</v>
      </c>
      <c r="D89" s="16">
        <f t="shared" si="4"/>
        <v>82</v>
      </c>
      <c r="E89" s="16">
        <v>0</v>
      </c>
      <c r="F89" s="16">
        <v>0</v>
      </c>
      <c r="G89" s="16">
        <v>0</v>
      </c>
      <c r="H89" s="16">
        <v>1</v>
      </c>
      <c r="I89" s="16">
        <v>17</v>
      </c>
      <c r="J89" s="16">
        <f t="shared" si="5"/>
        <v>18</v>
      </c>
      <c r="K89" s="16">
        <f t="shared" si="6"/>
        <v>17.8</v>
      </c>
      <c r="L89" s="16">
        <f t="shared" si="7"/>
        <v>17</v>
      </c>
    </row>
    <row r="90" spans="2:15" x14ac:dyDescent="0.2">
      <c r="B90" s="63"/>
      <c r="C90" s="16">
        <v>3</v>
      </c>
      <c r="D90" s="16">
        <f t="shared" si="4"/>
        <v>94</v>
      </c>
      <c r="E90" s="16">
        <v>2</v>
      </c>
      <c r="F90" s="16">
        <v>2</v>
      </c>
      <c r="G90" s="16">
        <v>0</v>
      </c>
      <c r="H90" s="16">
        <v>0</v>
      </c>
      <c r="I90" s="16">
        <v>2</v>
      </c>
      <c r="J90" s="16">
        <f t="shared" si="5"/>
        <v>6</v>
      </c>
      <c r="K90" s="16">
        <f t="shared" si="6"/>
        <v>3.2</v>
      </c>
      <c r="L90" s="16">
        <f t="shared" si="7"/>
        <v>2</v>
      </c>
    </row>
    <row r="91" spans="2:15" x14ac:dyDescent="0.2">
      <c r="B91" s="63"/>
      <c r="C91" s="16">
        <v>4</v>
      </c>
      <c r="D91" s="16">
        <f t="shared" si="4"/>
        <v>95</v>
      </c>
      <c r="E91" s="16">
        <v>0</v>
      </c>
      <c r="F91" s="16">
        <v>0</v>
      </c>
      <c r="G91" s="16">
        <v>3</v>
      </c>
      <c r="H91" s="16">
        <v>2</v>
      </c>
      <c r="I91" s="16">
        <v>0</v>
      </c>
      <c r="J91" s="16">
        <f t="shared" si="5"/>
        <v>5</v>
      </c>
      <c r="K91" s="16">
        <f t="shared" si="6"/>
        <v>3.4000000000000004</v>
      </c>
      <c r="L91" s="16">
        <f t="shared" si="7"/>
        <v>0</v>
      </c>
    </row>
    <row r="92" spans="2:15" x14ac:dyDescent="0.2">
      <c r="B92" s="63"/>
      <c r="C92" s="16">
        <v>5</v>
      </c>
      <c r="D92" s="16">
        <f t="shared" si="4"/>
        <v>100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f t="shared" si="5"/>
        <v>0</v>
      </c>
      <c r="K92" s="16">
        <f t="shared" si="6"/>
        <v>0</v>
      </c>
      <c r="L92" s="16">
        <f t="shared" si="7"/>
        <v>0</v>
      </c>
    </row>
    <row r="93" spans="2:15" x14ac:dyDescent="0.2">
      <c r="B93" s="63" t="s">
        <v>520</v>
      </c>
      <c r="C93" s="16">
        <v>1</v>
      </c>
      <c r="D93" s="16">
        <f t="shared" si="4"/>
        <v>98</v>
      </c>
      <c r="E93" s="16">
        <v>0</v>
      </c>
      <c r="F93" s="16">
        <v>0</v>
      </c>
      <c r="G93" s="16">
        <v>0</v>
      </c>
      <c r="H93" s="16">
        <v>1</v>
      </c>
      <c r="I93" s="16">
        <v>1</v>
      </c>
      <c r="J93" s="16">
        <f t="shared" si="5"/>
        <v>2</v>
      </c>
      <c r="K93" s="16">
        <f t="shared" si="6"/>
        <v>1.7999999999999998</v>
      </c>
      <c r="L93" s="16">
        <f t="shared" si="7"/>
        <v>1</v>
      </c>
      <c r="M93" s="5">
        <f>AVERAGE((SUM(E93:I93)), (SUM(E94:I94)), (SUM(E95:I95)), (SUM(E96:I96)), (SUM(E97:I97)))</f>
        <v>3.4</v>
      </c>
      <c r="N93" s="5">
        <f>AVERAGE((SUM(D93*0+E93*1+F93*2+G93*3+H93*4+I93*5)/(5*100)*100), (SUM(D94*0+E94*1+F94*2+G94*3+H94*4+I94*5)/(5*100)*100), (SUM(D95*0+E95*1+F95*2+G95*3+H95*4+I95*5)/(5*100)*100), (SUM(D96*0+E96*1+F96*2+G96*3+H96*4+I96*5)/(5*100)*100), (SUM(D97*0+E97*1+F97*2+G97*3+H97*4+I97*5)/(5*100)*100))</f>
        <v>2.44</v>
      </c>
      <c r="O93" s="5">
        <f>AVERAGE(I93:I97)</f>
        <v>0.6</v>
      </c>
    </row>
    <row r="94" spans="2:15" x14ac:dyDescent="0.2">
      <c r="B94" s="63"/>
      <c r="C94" s="16">
        <v>2</v>
      </c>
      <c r="D94" s="16">
        <f t="shared" si="4"/>
        <v>98</v>
      </c>
      <c r="E94" s="16">
        <v>0</v>
      </c>
      <c r="F94" s="16">
        <v>0</v>
      </c>
      <c r="G94" s="16">
        <v>0</v>
      </c>
      <c r="H94" s="16">
        <v>1</v>
      </c>
      <c r="I94" s="16">
        <v>1</v>
      </c>
      <c r="J94" s="16">
        <f t="shared" si="5"/>
        <v>2</v>
      </c>
      <c r="K94" s="16">
        <f t="shared" si="6"/>
        <v>1.7999999999999998</v>
      </c>
      <c r="L94" s="16">
        <f t="shared" si="7"/>
        <v>1</v>
      </c>
      <c r="M94" s="5"/>
      <c r="N94" s="5"/>
      <c r="O94" s="5"/>
    </row>
    <row r="95" spans="2:15" x14ac:dyDescent="0.2">
      <c r="B95" s="63"/>
      <c r="C95" s="16">
        <v>3</v>
      </c>
      <c r="D95" s="16">
        <f t="shared" si="4"/>
        <v>94</v>
      </c>
      <c r="E95" s="16">
        <v>0</v>
      </c>
      <c r="F95" s="16">
        <v>2</v>
      </c>
      <c r="G95" s="16">
        <v>1</v>
      </c>
      <c r="H95" s="16">
        <v>3</v>
      </c>
      <c r="I95" s="16">
        <v>0</v>
      </c>
      <c r="J95" s="16">
        <f t="shared" si="5"/>
        <v>6</v>
      </c>
      <c r="K95" s="16">
        <f t="shared" si="6"/>
        <v>3.8</v>
      </c>
      <c r="L95" s="16">
        <f t="shared" si="7"/>
        <v>0</v>
      </c>
      <c r="M95" s="5"/>
      <c r="N95" s="5"/>
      <c r="O95" s="5"/>
    </row>
    <row r="96" spans="2:15" x14ac:dyDescent="0.2">
      <c r="B96" s="63"/>
      <c r="C96" s="16">
        <v>4</v>
      </c>
      <c r="D96" s="16">
        <f t="shared" si="4"/>
        <v>97</v>
      </c>
      <c r="E96" s="16">
        <v>0</v>
      </c>
      <c r="F96" s="16">
        <v>1</v>
      </c>
      <c r="G96" s="16">
        <v>0</v>
      </c>
      <c r="H96" s="16">
        <v>1</v>
      </c>
      <c r="I96" s="16">
        <v>1</v>
      </c>
      <c r="J96" s="16">
        <f t="shared" si="5"/>
        <v>3</v>
      </c>
      <c r="K96" s="16">
        <f t="shared" si="6"/>
        <v>2.1999999999999997</v>
      </c>
      <c r="L96" s="16">
        <f t="shared" si="7"/>
        <v>1</v>
      </c>
      <c r="M96" s="5"/>
      <c r="N96" s="5"/>
      <c r="O96" s="5"/>
    </row>
    <row r="97" spans="2:15" x14ac:dyDescent="0.2">
      <c r="B97" s="63"/>
      <c r="C97" s="16">
        <v>5</v>
      </c>
      <c r="D97" s="16">
        <f t="shared" si="4"/>
        <v>96</v>
      </c>
      <c r="E97" s="16">
        <v>1</v>
      </c>
      <c r="F97" s="16">
        <v>0</v>
      </c>
      <c r="G97" s="16">
        <v>0</v>
      </c>
      <c r="H97" s="16">
        <v>3</v>
      </c>
      <c r="I97" s="16">
        <v>0</v>
      </c>
      <c r="J97" s="16">
        <f t="shared" si="5"/>
        <v>4</v>
      </c>
      <c r="K97" s="16">
        <f t="shared" si="6"/>
        <v>2.6</v>
      </c>
      <c r="L97" s="16">
        <f t="shared" si="7"/>
        <v>0</v>
      </c>
      <c r="M97" s="5"/>
      <c r="N97" s="5"/>
      <c r="O97" s="5"/>
    </row>
    <row r="98" spans="2:15" x14ac:dyDescent="0.2">
      <c r="B98" s="63" t="s">
        <v>521</v>
      </c>
      <c r="C98" s="16">
        <v>1</v>
      </c>
      <c r="D98" s="16">
        <f t="shared" si="4"/>
        <v>91</v>
      </c>
      <c r="E98" s="16">
        <v>1</v>
      </c>
      <c r="F98" s="16">
        <v>2</v>
      </c>
      <c r="G98" s="16">
        <v>1</v>
      </c>
      <c r="H98" s="16">
        <v>0</v>
      </c>
      <c r="I98" s="16">
        <v>5</v>
      </c>
      <c r="J98" s="16">
        <f t="shared" si="5"/>
        <v>9</v>
      </c>
      <c r="K98" s="16">
        <f t="shared" si="6"/>
        <v>6.6000000000000005</v>
      </c>
      <c r="L98" s="16">
        <f t="shared" si="7"/>
        <v>5</v>
      </c>
      <c r="M98" s="5">
        <f>AVERAGE((SUM(E98:I98)), (SUM(E99:I99)), (SUM(E100:I100)), (SUM(E101:I101)), (SUM(E102:I102)))</f>
        <v>9.4</v>
      </c>
      <c r="N98" s="5">
        <f>AVERAGE((SUM(D98*0+E98*1+F98*2+G98*3+H98*4+I98*5)/(5*100)*100), (SUM(D99*0+E99*1+F99*2+G99*3+H99*4+I99*5)/(5*100)*100), (SUM(D100*0+E100*1+F100*2+G100*3+H100*4+I100*5)/(5*100)*100), (SUM(D101*0+E101*1+F101*2+G101*3+H101*4+I101*5)/(5*100)*100), (SUM(D102*0+E102*1+F102*2+G102*3+H102*4+I102*5)/(5*100)*100))</f>
        <v>6.44</v>
      </c>
      <c r="O98" s="5">
        <f>AVERAGE(I98:I102)</f>
        <v>3</v>
      </c>
    </row>
    <row r="99" spans="2:15" x14ac:dyDescent="0.2">
      <c r="B99" s="63"/>
      <c r="C99" s="16">
        <v>2</v>
      </c>
      <c r="D99" s="16">
        <f t="shared" si="4"/>
        <v>94</v>
      </c>
      <c r="E99" s="16">
        <v>1</v>
      </c>
      <c r="F99" s="16">
        <v>0</v>
      </c>
      <c r="G99" s="16">
        <v>0</v>
      </c>
      <c r="H99" s="16">
        <v>1</v>
      </c>
      <c r="I99" s="16">
        <v>4</v>
      </c>
      <c r="J99" s="16">
        <f t="shared" si="5"/>
        <v>6</v>
      </c>
      <c r="K99" s="16">
        <f t="shared" si="6"/>
        <v>5</v>
      </c>
      <c r="L99" s="16">
        <f t="shared" si="7"/>
        <v>4</v>
      </c>
      <c r="M99" s="5"/>
      <c r="N99" s="5"/>
      <c r="O99" s="5"/>
    </row>
    <row r="100" spans="2:15" x14ac:dyDescent="0.2">
      <c r="B100" s="63"/>
      <c r="C100" s="16">
        <v>3</v>
      </c>
      <c r="D100" s="16">
        <f t="shared" si="4"/>
        <v>91</v>
      </c>
      <c r="E100" s="16">
        <v>0</v>
      </c>
      <c r="F100" s="16">
        <v>1</v>
      </c>
      <c r="G100" s="16">
        <v>2</v>
      </c>
      <c r="H100" s="16">
        <v>4</v>
      </c>
      <c r="I100" s="16">
        <v>2</v>
      </c>
      <c r="J100" s="16">
        <f t="shared" si="5"/>
        <v>9</v>
      </c>
      <c r="K100" s="16">
        <f t="shared" si="6"/>
        <v>6.8000000000000007</v>
      </c>
      <c r="L100" s="16">
        <f t="shared" si="7"/>
        <v>2</v>
      </c>
      <c r="M100" s="5"/>
      <c r="N100" s="5"/>
      <c r="O100" s="5"/>
    </row>
    <row r="101" spans="2:15" x14ac:dyDescent="0.2">
      <c r="B101" s="63"/>
      <c r="C101" s="16">
        <v>4</v>
      </c>
      <c r="D101" s="16">
        <f t="shared" si="4"/>
        <v>86</v>
      </c>
      <c r="E101" s="16">
        <v>2</v>
      </c>
      <c r="F101" s="16">
        <v>4</v>
      </c>
      <c r="G101" s="16">
        <v>2</v>
      </c>
      <c r="H101" s="16">
        <v>3</v>
      </c>
      <c r="I101" s="16">
        <v>3</v>
      </c>
      <c r="J101" s="16">
        <f t="shared" si="5"/>
        <v>14</v>
      </c>
      <c r="K101" s="16">
        <f t="shared" si="6"/>
        <v>8.6</v>
      </c>
      <c r="L101" s="16">
        <f t="shared" si="7"/>
        <v>3</v>
      </c>
      <c r="M101" s="5"/>
      <c r="N101" s="5"/>
      <c r="O101" s="5"/>
    </row>
    <row r="102" spans="2:15" x14ac:dyDescent="0.2">
      <c r="B102" s="63"/>
      <c r="C102" s="16">
        <v>5</v>
      </c>
      <c r="D102" s="16">
        <f t="shared" si="4"/>
        <v>91</v>
      </c>
      <c r="E102" s="16">
        <v>1</v>
      </c>
      <c r="F102" s="16">
        <v>3</v>
      </c>
      <c r="G102" s="16">
        <v>2</v>
      </c>
      <c r="H102" s="16">
        <v>2</v>
      </c>
      <c r="I102" s="16">
        <v>1</v>
      </c>
      <c r="J102" s="16">
        <f t="shared" si="5"/>
        <v>9</v>
      </c>
      <c r="K102" s="16">
        <f t="shared" si="6"/>
        <v>5.2</v>
      </c>
      <c r="L102" s="16">
        <f t="shared" si="7"/>
        <v>1</v>
      </c>
      <c r="M102" s="5"/>
      <c r="N102" s="5"/>
      <c r="O102" s="5"/>
    </row>
    <row r="103" spans="2:15" x14ac:dyDescent="0.2">
      <c r="B103" s="63" t="s">
        <v>522</v>
      </c>
      <c r="C103" s="16">
        <v>1</v>
      </c>
      <c r="D103" s="16">
        <f t="shared" si="4"/>
        <v>97</v>
      </c>
      <c r="E103" s="16">
        <v>1</v>
      </c>
      <c r="F103" s="16">
        <v>0</v>
      </c>
      <c r="G103" s="16">
        <v>2</v>
      </c>
      <c r="H103" s="16">
        <v>0</v>
      </c>
      <c r="I103" s="16">
        <v>0</v>
      </c>
      <c r="J103" s="16">
        <f t="shared" si="5"/>
        <v>3</v>
      </c>
      <c r="K103" s="16">
        <f t="shared" si="6"/>
        <v>1.4000000000000001</v>
      </c>
      <c r="L103" s="16">
        <f t="shared" si="7"/>
        <v>0</v>
      </c>
      <c r="M103" s="5">
        <f>AVERAGE((SUM(E103:I103)), (SUM(E104:I104)), (SUM(E105:I105)), (SUM(E106:I106)), (SUM(E107:I107)))</f>
        <v>2</v>
      </c>
      <c r="N103" s="5">
        <f>AVERAGE((SUM(D103*0+E103*1+F103*2+G103*3+H103*4+I103*5)/(5*100)*100), (SUM(D104*0+E104*1+F104*2+G104*3+H104*4+I104*5)/(5*100)*100), (SUM(D105*0+E105*1+F105*2+G105*3+H105*4+I105*5)/(5*100)*100), (SUM(D106*0+E106*1+F106*2+G106*3+H106*4+I106*5)/(5*100)*100), (SUM(D107*0+E107*1+F107*2+G107*3+H107*4+I107*5)/(5*100)*100))</f>
        <v>0.96000000000000019</v>
      </c>
      <c r="O103" s="5">
        <f>AVERAGE(I103:I107)</f>
        <v>0.2</v>
      </c>
    </row>
    <row r="104" spans="2:15" x14ac:dyDescent="0.2">
      <c r="B104" s="63"/>
      <c r="C104" s="16">
        <v>2</v>
      </c>
      <c r="D104" s="16">
        <f t="shared" si="4"/>
        <v>93</v>
      </c>
      <c r="E104" s="16">
        <v>2</v>
      </c>
      <c r="F104" s="16">
        <v>2</v>
      </c>
      <c r="G104" s="16">
        <v>2</v>
      </c>
      <c r="H104" s="16">
        <v>0</v>
      </c>
      <c r="I104" s="16">
        <v>1</v>
      </c>
      <c r="J104" s="16">
        <f t="shared" si="5"/>
        <v>7</v>
      </c>
      <c r="K104" s="16">
        <f t="shared" si="6"/>
        <v>3.4000000000000004</v>
      </c>
      <c r="L104" s="16">
        <f t="shared" si="7"/>
        <v>1</v>
      </c>
      <c r="M104" s="5"/>
      <c r="N104" s="5"/>
      <c r="O104" s="5"/>
    </row>
    <row r="105" spans="2:15" x14ac:dyDescent="0.2">
      <c r="B105" s="63"/>
      <c r="C105" s="16">
        <v>3</v>
      </c>
      <c r="D105" s="16">
        <f t="shared" si="4"/>
        <v>100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f t="shared" si="5"/>
        <v>0</v>
      </c>
      <c r="K105" s="16">
        <f t="shared" si="6"/>
        <v>0</v>
      </c>
      <c r="L105" s="16">
        <f t="shared" si="7"/>
        <v>0</v>
      </c>
      <c r="M105" s="5"/>
      <c r="N105" s="5"/>
      <c r="O105" s="5"/>
    </row>
    <row r="106" spans="2:15" x14ac:dyDescent="0.2">
      <c r="B106" s="63"/>
      <c r="C106" s="16">
        <v>4</v>
      </c>
      <c r="D106" s="16">
        <f t="shared" si="4"/>
        <v>100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f t="shared" si="5"/>
        <v>0</v>
      </c>
      <c r="K106" s="16">
        <f t="shared" si="6"/>
        <v>0</v>
      </c>
      <c r="L106" s="16">
        <f t="shared" si="7"/>
        <v>0</v>
      </c>
      <c r="M106" s="5"/>
      <c r="N106" s="5"/>
      <c r="O106" s="5"/>
    </row>
    <row r="107" spans="2:15" x14ac:dyDescent="0.2">
      <c r="B107" s="63"/>
      <c r="C107" s="16">
        <v>5</v>
      </c>
      <c r="D107" s="16">
        <f t="shared" si="4"/>
        <v>100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f t="shared" si="5"/>
        <v>0</v>
      </c>
      <c r="K107" s="16">
        <f t="shared" si="6"/>
        <v>0</v>
      </c>
      <c r="L107" s="16">
        <f t="shared" si="7"/>
        <v>0</v>
      </c>
      <c r="M107" s="5"/>
      <c r="N107" s="5"/>
      <c r="O107" s="5"/>
    </row>
    <row r="108" spans="2:15" x14ac:dyDescent="0.2">
      <c r="B108" s="63" t="s">
        <v>523</v>
      </c>
      <c r="C108" s="16">
        <v>1</v>
      </c>
      <c r="D108" s="16">
        <f t="shared" si="4"/>
        <v>96</v>
      </c>
      <c r="E108" s="16">
        <v>0</v>
      </c>
      <c r="F108" s="16">
        <v>0</v>
      </c>
      <c r="G108" s="16">
        <v>0</v>
      </c>
      <c r="H108" s="16">
        <v>2</v>
      </c>
      <c r="I108" s="16">
        <v>2</v>
      </c>
      <c r="J108" s="16">
        <f t="shared" si="5"/>
        <v>4</v>
      </c>
      <c r="K108" s="16">
        <f t="shared" si="6"/>
        <v>3.5999999999999996</v>
      </c>
      <c r="L108" s="16">
        <f t="shared" si="7"/>
        <v>2</v>
      </c>
      <c r="M108" s="5">
        <f>AVERAGE((SUM(E108:I108)), (SUM(E109:I109)), (SUM(E110:I110)), (SUM(E111:I111)), (SUM(E112:I112)))</f>
        <v>3.2</v>
      </c>
      <c r="N108" s="5">
        <f>AVERAGE((SUM(D108*0+E108*1+F108*2+G108*3+H108*4+I108*5)/(5*100)*100), (SUM(D109*0+E109*1+F109*2+G109*3+H109*4+I109*5)/(5*100)*100), (SUM(D110*0+E110*1+F110*2+G110*3+H110*4+I110*5)/(5*100)*100), (SUM(D111*0+E111*1+F111*2+G111*3+H111*4+I111*5)/(5*100)*100), (SUM(D112*0+E112*1+F112*2+G112*3+H112*4+I112*5)/(5*100)*100))</f>
        <v>2.6</v>
      </c>
      <c r="O108" s="5">
        <f>AVERAGE(I108:I112)</f>
        <v>1</v>
      </c>
    </row>
    <row r="109" spans="2:15" x14ac:dyDescent="0.2">
      <c r="B109" s="63"/>
      <c r="C109" s="16">
        <v>2</v>
      </c>
      <c r="D109" s="16">
        <f t="shared" si="4"/>
        <v>93</v>
      </c>
      <c r="E109" s="16">
        <v>1</v>
      </c>
      <c r="F109" s="16">
        <v>0</v>
      </c>
      <c r="G109" s="16">
        <v>1</v>
      </c>
      <c r="H109" s="16">
        <v>4</v>
      </c>
      <c r="I109" s="16">
        <v>1</v>
      </c>
      <c r="J109" s="16">
        <f t="shared" si="5"/>
        <v>7</v>
      </c>
      <c r="K109" s="16">
        <f t="shared" si="6"/>
        <v>5</v>
      </c>
      <c r="L109" s="16">
        <f t="shared" si="7"/>
        <v>1</v>
      </c>
    </row>
    <row r="110" spans="2:15" x14ac:dyDescent="0.2">
      <c r="B110" s="63"/>
      <c r="C110" s="16">
        <v>3</v>
      </c>
      <c r="D110" s="16">
        <f t="shared" si="4"/>
        <v>95</v>
      </c>
      <c r="E110" s="16">
        <v>0</v>
      </c>
      <c r="F110" s="16">
        <v>0</v>
      </c>
      <c r="G110" s="16">
        <v>0</v>
      </c>
      <c r="H110" s="16">
        <v>3</v>
      </c>
      <c r="I110" s="16">
        <v>2</v>
      </c>
      <c r="J110" s="16">
        <f t="shared" si="5"/>
        <v>5</v>
      </c>
      <c r="K110" s="16">
        <f t="shared" si="6"/>
        <v>4.3999999999999995</v>
      </c>
      <c r="L110" s="16">
        <f t="shared" si="7"/>
        <v>2</v>
      </c>
    </row>
    <row r="111" spans="2:15" x14ac:dyDescent="0.2">
      <c r="B111" s="63"/>
      <c r="C111" s="16">
        <v>4</v>
      </c>
      <c r="D111" s="16">
        <f t="shared" si="4"/>
        <v>100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f t="shared" si="5"/>
        <v>0</v>
      </c>
      <c r="K111" s="16">
        <f t="shared" si="6"/>
        <v>0</v>
      </c>
      <c r="L111" s="16">
        <f t="shared" si="7"/>
        <v>0</v>
      </c>
    </row>
    <row r="112" spans="2:15" x14ac:dyDescent="0.2">
      <c r="B112" s="63"/>
      <c r="C112" s="16">
        <v>5</v>
      </c>
      <c r="D112" s="16">
        <f t="shared" si="4"/>
        <v>100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f t="shared" si="5"/>
        <v>0</v>
      </c>
      <c r="K112" s="16">
        <f t="shared" si="6"/>
        <v>0</v>
      </c>
      <c r="L112" s="16">
        <f t="shared" si="7"/>
        <v>0</v>
      </c>
    </row>
    <row r="113" spans="2:15" x14ac:dyDescent="0.2">
      <c r="B113" s="63" t="s">
        <v>524</v>
      </c>
      <c r="C113" s="16">
        <v>1</v>
      </c>
      <c r="D113" s="16">
        <f t="shared" si="4"/>
        <v>100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f t="shared" si="5"/>
        <v>0</v>
      </c>
      <c r="K113" s="16">
        <f t="shared" si="6"/>
        <v>0</v>
      </c>
      <c r="L113" s="16">
        <f t="shared" si="7"/>
        <v>0</v>
      </c>
      <c r="M113" s="5">
        <f>AVERAGE((SUM(E113:I113)), (SUM(E114:I114)), (SUM(E115:I115)), (SUM(E116:I116)), (SUM(E117:I117)))</f>
        <v>5</v>
      </c>
      <c r="N113" s="5">
        <f>AVERAGE((SUM(D113*0+E113*1+F113*2+G113*3+H113*4+I113*5)/(5*100)*100), (SUM(D114*0+E114*1+F114*2+G114*3+H114*4+I114*5)/(5*100)*100), (SUM(D115*0+E115*1+F115*2+G115*3+H115*4+I115*5)/(5*100)*100), (SUM(D116*0+E116*1+F116*2+G116*3+H116*4+I116*5)/(5*100)*100), (SUM(D117*0+E117*1+F117*2+G117*3+H117*4+I117*5)/(5*100)*100))</f>
        <v>4.4400000000000004</v>
      </c>
      <c r="O113" s="5">
        <f>AVERAGE(I113:I117)</f>
        <v>2.2000000000000002</v>
      </c>
    </row>
    <row r="114" spans="2:15" x14ac:dyDescent="0.2">
      <c r="B114" s="63"/>
      <c r="C114" s="16">
        <v>2</v>
      </c>
      <c r="D114" s="16">
        <f t="shared" si="4"/>
        <v>96</v>
      </c>
      <c r="E114" s="16">
        <v>0</v>
      </c>
      <c r="F114" s="16">
        <v>0</v>
      </c>
      <c r="G114" s="16">
        <v>0</v>
      </c>
      <c r="H114" s="16">
        <v>2</v>
      </c>
      <c r="I114" s="16">
        <v>2</v>
      </c>
      <c r="J114" s="16">
        <f t="shared" si="5"/>
        <v>4</v>
      </c>
      <c r="K114" s="16">
        <f t="shared" si="6"/>
        <v>3.5999999999999996</v>
      </c>
      <c r="L114" s="16">
        <f t="shared" si="7"/>
        <v>2</v>
      </c>
      <c r="M114" s="5"/>
      <c r="N114" s="5"/>
      <c r="O114" s="5"/>
    </row>
    <row r="115" spans="2:15" x14ac:dyDescent="0.2">
      <c r="B115" s="63"/>
      <c r="C115" s="16">
        <v>3</v>
      </c>
      <c r="D115" s="16">
        <f t="shared" si="4"/>
        <v>91</v>
      </c>
      <c r="E115" s="16">
        <v>0</v>
      </c>
      <c r="F115" s="16">
        <v>0</v>
      </c>
      <c r="G115" s="16">
        <v>0</v>
      </c>
      <c r="H115" s="16">
        <v>4</v>
      </c>
      <c r="I115" s="16">
        <v>5</v>
      </c>
      <c r="J115" s="16">
        <f t="shared" si="5"/>
        <v>9</v>
      </c>
      <c r="K115" s="16">
        <f t="shared" si="6"/>
        <v>8.2000000000000011</v>
      </c>
      <c r="L115" s="16">
        <f t="shared" si="7"/>
        <v>5</v>
      </c>
      <c r="M115" s="5"/>
      <c r="N115" s="5"/>
      <c r="O115" s="5"/>
    </row>
    <row r="116" spans="2:15" x14ac:dyDescent="0.2">
      <c r="B116" s="63"/>
      <c r="C116" s="16">
        <v>4</v>
      </c>
      <c r="D116" s="16">
        <f t="shared" si="4"/>
        <v>92</v>
      </c>
      <c r="E116" s="16">
        <v>0</v>
      </c>
      <c r="F116" s="16">
        <v>0</v>
      </c>
      <c r="G116" s="16">
        <v>0</v>
      </c>
      <c r="H116" s="16">
        <v>6</v>
      </c>
      <c r="I116" s="16">
        <v>2</v>
      </c>
      <c r="J116" s="16">
        <f t="shared" si="5"/>
        <v>8</v>
      </c>
      <c r="K116" s="16">
        <f t="shared" si="6"/>
        <v>6.8000000000000007</v>
      </c>
      <c r="L116" s="16">
        <f t="shared" si="7"/>
        <v>2</v>
      </c>
      <c r="M116" s="5"/>
      <c r="N116" s="5"/>
      <c r="O116" s="5"/>
    </row>
    <row r="117" spans="2:15" x14ac:dyDescent="0.2">
      <c r="B117" s="63"/>
      <c r="C117" s="16">
        <v>5</v>
      </c>
      <c r="D117" s="16">
        <f t="shared" si="4"/>
        <v>96</v>
      </c>
      <c r="E117" s="16">
        <v>0</v>
      </c>
      <c r="F117" s="16">
        <v>0</v>
      </c>
      <c r="G117" s="16">
        <v>0</v>
      </c>
      <c r="H117" s="16">
        <v>2</v>
      </c>
      <c r="I117" s="16">
        <v>2</v>
      </c>
      <c r="J117" s="16">
        <f t="shared" si="5"/>
        <v>4</v>
      </c>
      <c r="K117" s="16">
        <f t="shared" si="6"/>
        <v>3.5999999999999996</v>
      </c>
      <c r="L117" s="16">
        <f t="shared" si="7"/>
        <v>2</v>
      </c>
      <c r="M117" s="5"/>
      <c r="N117" s="5"/>
      <c r="O117" s="5"/>
    </row>
    <row r="118" spans="2:15" x14ac:dyDescent="0.2">
      <c r="B118" s="63" t="s">
        <v>525</v>
      </c>
      <c r="C118" s="16">
        <v>1</v>
      </c>
      <c r="D118" s="16">
        <f t="shared" si="4"/>
        <v>94</v>
      </c>
      <c r="E118" s="16">
        <v>3</v>
      </c>
      <c r="F118" s="16">
        <v>0</v>
      </c>
      <c r="G118" s="16">
        <v>0</v>
      </c>
      <c r="H118" s="16">
        <v>1</v>
      </c>
      <c r="I118" s="16">
        <v>2</v>
      </c>
      <c r="J118" s="16">
        <f t="shared" si="5"/>
        <v>6</v>
      </c>
      <c r="K118" s="16">
        <f t="shared" si="6"/>
        <v>3.4000000000000004</v>
      </c>
      <c r="L118" s="16">
        <f t="shared" si="7"/>
        <v>2</v>
      </c>
      <c r="M118" s="5">
        <f>AVERAGE((SUM(E118:I118)), (SUM(E119:I119)), (SUM(E120:I120)), (SUM(E121:I121)), (SUM(E122:I122)))</f>
        <v>4</v>
      </c>
      <c r="N118" s="5">
        <f>AVERAGE((SUM(D118*0+E118*1+F118*2+G118*3+H118*4+I118*5)/(5*100)*100), (SUM(D119*0+E119*1+F119*2+G119*3+H119*4+I119*5)/(5*100)*100), (SUM(D120*0+E120*1+F120*2+G120*3+H120*4+I120*5)/(5*100)*100), (SUM(D121*0+E121*1+F121*2+G121*3+H121*4+I121*5)/(5*100)*100), (SUM(D122*0+E122*1+F122*2+G122*3+H122*4+I122*5)/(5*100)*100))</f>
        <v>2.96</v>
      </c>
      <c r="O118" s="5">
        <f>AVERAGE(I118:I122)</f>
        <v>2</v>
      </c>
    </row>
    <row r="119" spans="2:15" x14ac:dyDescent="0.2">
      <c r="B119" s="63"/>
      <c r="C119" s="16">
        <v>2</v>
      </c>
      <c r="D119" s="16">
        <f t="shared" si="4"/>
        <v>95</v>
      </c>
      <c r="E119" s="16">
        <v>1</v>
      </c>
      <c r="F119" s="16">
        <v>0</v>
      </c>
      <c r="G119" s="16">
        <v>1</v>
      </c>
      <c r="H119" s="16">
        <v>1</v>
      </c>
      <c r="I119" s="16">
        <v>2</v>
      </c>
      <c r="J119" s="16">
        <f t="shared" si="5"/>
        <v>5</v>
      </c>
      <c r="K119" s="16">
        <f t="shared" si="6"/>
        <v>3.5999999999999996</v>
      </c>
      <c r="L119" s="16">
        <f t="shared" si="7"/>
        <v>2</v>
      </c>
      <c r="M119" s="5"/>
      <c r="N119" s="5"/>
      <c r="O119" s="5"/>
    </row>
    <row r="120" spans="2:15" x14ac:dyDescent="0.2">
      <c r="B120" s="63"/>
      <c r="C120" s="16">
        <v>3</v>
      </c>
      <c r="D120" s="16">
        <f t="shared" si="4"/>
        <v>97</v>
      </c>
      <c r="E120" s="16">
        <v>0</v>
      </c>
      <c r="F120" s="16">
        <v>0</v>
      </c>
      <c r="G120" s="16">
        <v>0</v>
      </c>
      <c r="H120" s="16">
        <v>0</v>
      </c>
      <c r="I120" s="16">
        <v>3</v>
      </c>
      <c r="J120" s="16">
        <f t="shared" si="5"/>
        <v>3</v>
      </c>
      <c r="K120" s="16">
        <f t="shared" si="6"/>
        <v>3</v>
      </c>
      <c r="L120" s="16">
        <f t="shared" si="7"/>
        <v>3</v>
      </c>
      <c r="M120" s="5"/>
      <c r="N120" s="5"/>
      <c r="O120" s="5"/>
    </row>
    <row r="121" spans="2:15" x14ac:dyDescent="0.2">
      <c r="B121" s="63"/>
      <c r="C121" s="16">
        <v>4</v>
      </c>
      <c r="D121" s="16">
        <f t="shared" si="4"/>
        <v>97</v>
      </c>
      <c r="E121" s="16">
        <v>1</v>
      </c>
      <c r="F121" s="16">
        <v>0</v>
      </c>
      <c r="G121" s="16">
        <v>0</v>
      </c>
      <c r="H121" s="16">
        <v>0</v>
      </c>
      <c r="I121" s="16">
        <v>2</v>
      </c>
      <c r="J121" s="16">
        <f t="shared" si="5"/>
        <v>3</v>
      </c>
      <c r="K121" s="16">
        <f t="shared" si="6"/>
        <v>2.1999999999999997</v>
      </c>
      <c r="L121" s="16">
        <f t="shared" si="7"/>
        <v>2</v>
      </c>
      <c r="M121" s="5"/>
      <c r="N121" s="5"/>
      <c r="O121" s="5"/>
    </row>
    <row r="122" spans="2:15" x14ac:dyDescent="0.2">
      <c r="B122" s="63"/>
      <c r="C122" s="16">
        <v>5</v>
      </c>
      <c r="D122" s="16">
        <f t="shared" si="4"/>
        <v>97</v>
      </c>
      <c r="E122" s="16">
        <v>0</v>
      </c>
      <c r="F122" s="16">
        <v>0</v>
      </c>
      <c r="G122" s="16">
        <v>0</v>
      </c>
      <c r="H122" s="16">
        <v>2</v>
      </c>
      <c r="I122" s="16">
        <v>1</v>
      </c>
      <c r="J122" s="16">
        <f t="shared" si="5"/>
        <v>3</v>
      </c>
      <c r="K122" s="16">
        <f t="shared" si="6"/>
        <v>2.6</v>
      </c>
      <c r="L122" s="16">
        <f t="shared" si="7"/>
        <v>1</v>
      </c>
      <c r="M122" s="5"/>
      <c r="N122" s="5"/>
      <c r="O122" s="5"/>
    </row>
    <row r="123" spans="2:15" x14ac:dyDescent="0.2">
      <c r="B123" s="63" t="s">
        <v>526</v>
      </c>
      <c r="C123" s="16">
        <v>1</v>
      </c>
      <c r="D123" s="16">
        <f t="shared" si="4"/>
        <v>97</v>
      </c>
      <c r="E123" s="16">
        <v>0</v>
      </c>
      <c r="F123" s="16">
        <v>0</v>
      </c>
      <c r="G123" s="16">
        <v>1</v>
      </c>
      <c r="H123" s="16">
        <v>0</v>
      </c>
      <c r="I123" s="16">
        <v>2</v>
      </c>
      <c r="J123" s="16">
        <f t="shared" si="5"/>
        <v>3</v>
      </c>
      <c r="K123" s="16">
        <f t="shared" si="6"/>
        <v>2.6</v>
      </c>
      <c r="L123" s="16">
        <f t="shared" si="7"/>
        <v>2</v>
      </c>
      <c r="M123" s="5">
        <f>AVERAGE((SUM(E123:I123)), (SUM(E124:I124)), (SUM(E125:I125)), (SUM(E126:I126)), (SUM(E127:I127)))</f>
        <v>0.6</v>
      </c>
      <c r="N123" s="5">
        <f>AVERAGE((SUM(D123*0+E123*1+F123*2+G123*3+H123*4+I123*5)/(5*100)*100), (SUM(D124*0+E124*1+F124*2+G124*3+H124*4+I124*5)/(5*100)*100), (SUM(D125*0+E125*1+F125*2+G125*3+H125*4+I125*5)/(5*100)*100), (SUM(D126*0+E126*1+F126*2+G126*3+H126*4+I126*5)/(5*100)*100), (SUM(D127*0+E127*1+F127*2+G127*3+H127*4+I127*5)/(5*100)*100))</f>
        <v>0.52</v>
      </c>
      <c r="O123" s="5">
        <f>AVERAGE(I123:I127)</f>
        <v>0.4</v>
      </c>
    </row>
    <row r="124" spans="2:15" x14ac:dyDescent="0.2">
      <c r="B124" s="63"/>
      <c r="C124" s="16">
        <v>2</v>
      </c>
      <c r="D124" s="16">
        <f t="shared" si="4"/>
        <v>100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f t="shared" si="5"/>
        <v>0</v>
      </c>
      <c r="K124" s="16">
        <f t="shared" si="6"/>
        <v>0</v>
      </c>
      <c r="L124" s="16">
        <f t="shared" si="7"/>
        <v>0</v>
      </c>
      <c r="M124" s="5"/>
      <c r="N124" s="5"/>
      <c r="O124" s="5"/>
    </row>
    <row r="125" spans="2:15" x14ac:dyDescent="0.2">
      <c r="B125" s="63"/>
      <c r="C125" s="16">
        <v>3</v>
      </c>
      <c r="D125" s="16">
        <f t="shared" si="4"/>
        <v>100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f t="shared" si="5"/>
        <v>0</v>
      </c>
      <c r="K125" s="16">
        <f t="shared" si="6"/>
        <v>0</v>
      </c>
      <c r="L125" s="16">
        <f t="shared" si="7"/>
        <v>0</v>
      </c>
      <c r="M125" s="5"/>
      <c r="N125" s="5"/>
      <c r="O125" s="5"/>
    </row>
    <row r="126" spans="2:15" x14ac:dyDescent="0.2">
      <c r="B126" s="63"/>
      <c r="C126" s="16">
        <v>4</v>
      </c>
      <c r="D126" s="16">
        <f t="shared" si="4"/>
        <v>100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f t="shared" si="5"/>
        <v>0</v>
      </c>
      <c r="K126" s="16">
        <f t="shared" si="6"/>
        <v>0</v>
      </c>
      <c r="L126" s="16">
        <f t="shared" si="7"/>
        <v>0</v>
      </c>
      <c r="M126" s="5"/>
      <c r="N126" s="5"/>
      <c r="O126" s="5"/>
    </row>
    <row r="127" spans="2:15" x14ac:dyDescent="0.2">
      <c r="B127" s="63"/>
      <c r="C127" s="16">
        <v>5</v>
      </c>
      <c r="D127" s="16">
        <f t="shared" si="4"/>
        <v>100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f t="shared" si="5"/>
        <v>0</v>
      </c>
      <c r="K127" s="16">
        <f t="shared" si="6"/>
        <v>0</v>
      </c>
      <c r="L127" s="16">
        <f t="shared" si="7"/>
        <v>0</v>
      </c>
      <c r="M127" s="5"/>
      <c r="N127" s="5"/>
      <c r="O127" s="5"/>
    </row>
    <row r="128" spans="2:15" x14ac:dyDescent="0.2">
      <c r="B128" s="63" t="s">
        <v>527</v>
      </c>
      <c r="C128" s="16">
        <v>1</v>
      </c>
      <c r="D128" s="16">
        <f t="shared" si="4"/>
        <v>76</v>
      </c>
      <c r="E128" s="16">
        <v>9</v>
      </c>
      <c r="F128" s="16">
        <v>4</v>
      </c>
      <c r="G128" s="16">
        <v>2</v>
      </c>
      <c r="H128" s="16">
        <v>7</v>
      </c>
      <c r="I128" s="16">
        <v>2</v>
      </c>
      <c r="J128" s="16">
        <f t="shared" si="5"/>
        <v>24</v>
      </c>
      <c r="K128" s="16">
        <f t="shared" si="6"/>
        <v>12.2</v>
      </c>
      <c r="L128" s="16">
        <f t="shared" si="7"/>
        <v>2</v>
      </c>
      <c r="M128" s="5">
        <f>AVERAGE((SUM(E128:I128)), (SUM(E129:I129)), (SUM(E130:I130)), (SUM(E131:I131)), (SUM(E132:I132)))</f>
        <v>5</v>
      </c>
      <c r="N128" s="5">
        <f>AVERAGE((SUM(D128*0+E128*1+F128*2+G128*3+H128*4+I128*5)/(5*100)*100), (SUM(D129*0+E129*1+F129*2+G129*3+H129*4+I129*5)/(5*100)*100), (SUM(D130*0+E130*1+F130*2+G130*3+H130*4+I130*5)/(5*100)*100), (SUM(D131*0+E131*1+F131*2+G131*3+H131*4+I131*5)/(5*100)*100), (SUM(D132*0+E132*1+F132*2+G132*3+H132*4+I132*5)/(5*100)*100))</f>
        <v>2.4799999999999995</v>
      </c>
      <c r="O128" s="5">
        <f>AVERAGE(I128:I132)</f>
        <v>0.4</v>
      </c>
    </row>
    <row r="129" spans="2:15" x14ac:dyDescent="0.2">
      <c r="B129" s="63"/>
      <c r="C129" s="16">
        <v>2</v>
      </c>
      <c r="D129" s="16">
        <f t="shared" si="4"/>
        <v>100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f t="shared" si="5"/>
        <v>0</v>
      </c>
      <c r="K129" s="16">
        <f t="shared" si="6"/>
        <v>0</v>
      </c>
      <c r="L129" s="16">
        <f t="shared" si="7"/>
        <v>0</v>
      </c>
    </row>
    <row r="130" spans="2:15" x14ac:dyDescent="0.2">
      <c r="B130" s="63"/>
      <c r="C130" s="16">
        <v>3</v>
      </c>
      <c r="D130" s="16">
        <f t="shared" si="4"/>
        <v>99</v>
      </c>
      <c r="E130" s="16">
        <v>1</v>
      </c>
      <c r="F130" s="16">
        <v>0</v>
      </c>
      <c r="G130" s="16">
        <v>0</v>
      </c>
      <c r="H130" s="16">
        <v>0</v>
      </c>
      <c r="I130" s="16">
        <v>0</v>
      </c>
      <c r="J130" s="16">
        <f t="shared" si="5"/>
        <v>1</v>
      </c>
      <c r="K130" s="16">
        <f t="shared" si="6"/>
        <v>0.2</v>
      </c>
      <c r="L130" s="16">
        <f t="shared" si="7"/>
        <v>0</v>
      </c>
    </row>
    <row r="131" spans="2:15" x14ac:dyDescent="0.2">
      <c r="B131" s="63"/>
      <c r="C131" s="16">
        <v>4</v>
      </c>
      <c r="D131" s="16">
        <f t="shared" ref="D131:D194" si="8">100-(SUM(E131:I131))</f>
        <v>100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f t="shared" si="5"/>
        <v>0</v>
      </c>
      <c r="K131" s="16">
        <f t="shared" si="6"/>
        <v>0</v>
      </c>
      <c r="L131" s="16">
        <f t="shared" si="7"/>
        <v>0</v>
      </c>
    </row>
    <row r="132" spans="2:15" x14ac:dyDescent="0.2">
      <c r="B132" s="63"/>
      <c r="C132" s="16">
        <v>5</v>
      </c>
      <c r="D132" s="16">
        <f t="shared" si="8"/>
        <v>100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f t="shared" ref="J132:J195" si="9">SUM(E132:I132)</f>
        <v>0</v>
      </c>
      <c r="K132" s="16">
        <f t="shared" ref="K132:K195" si="10">AVERAGE(SUM(E132*1,F132*2,G132*3,H132*4,I132*5))/(5*100)*100</f>
        <v>0</v>
      </c>
      <c r="L132" s="16">
        <f t="shared" ref="L132:L195" si="11">I132</f>
        <v>0</v>
      </c>
    </row>
    <row r="133" spans="2:15" x14ac:dyDescent="0.2">
      <c r="B133" s="63" t="s">
        <v>528</v>
      </c>
      <c r="C133" s="16">
        <v>1</v>
      </c>
      <c r="D133" s="16">
        <f t="shared" si="8"/>
        <v>76</v>
      </c>
      <c r="E133" s="16">
        <v>9</v>
      </c>
      <c r="F133" s="16">
        <v>4</v>
      </c>
      <c r="G133" s="16">
        <v>2</v>
      </c>
      <c r="H133" s="16">
        <v>7</v>
      </c>
      <c r="I133" s="16">
        <v>2</v>
      </c>
      <c r="J133" s="16">
        <f t="shared" si="9"/>
        <v>24</v>
      </c>
      <c r="K133" s="16">
        <f t="shared" si="10"/>
        <v>12.2</v>
      </c>
      <c r="L133" s="16">
        <f t="shared" si="11"/>
        <v>2</v>
      </c>
      <c r="M133" s="5">
        <f>AVERAGE((SUM(E133:I133)), (SUM(E134:I134)), (SUM(E135:I135)), (SUM(E136:I136)), (SUM(E137:I137)))</f>
        <v>5.4</v>
      </c>
      <c r="N133" s="5">
        <f>AVERAGE((SUM(D133*0+E133*1+F133*2+G133*3+H133*4+I133*5)/(5*100)*100), (SUM(D134*0+E134*1+F134*2+G134*3+H134*4+I134*5)/(5*100)*100), (SUM(D135*0+E135*1+F135*2+G135*3+H135*4+I135*5)/(5*100)*100), (SUM(D136*0+E136*1+F136*2+G136*3+H136*4+I136*5)/(5*100)*100), (SUM(D137*0+E137*1+F137*2+G137*3+H137*4+I137*5)/(5*100)*100))</f>
        <v>2.88</v>
      </c>
      <c r="O133" s="5">
        <f>AVERAGE(I133:I137)</f>
        <v>0.8</v>
      </c>
    </row>
    <row r="134" spans="2:15" x14ac:dyDescent="0.2">
      <c r="B134" s="63"/>
      <c r="C134" s="16">
        <v>2</v>
      </c>
      <c r="D134" s="16">
        <f t="shared" si="8"/>
        <v>98</v>
      </c>
      <c r="E134" s="16">
        <v>0</v>
      </c>
      <c r="F134" s="16">
        <v>0</v>
      </c>
      <c r="G134" s="16">
        <v>0</v>
      </c>
      <c r="H134" s="16">
        <v>0</v>
      </c>
      <c r="I134" s="16">
        <v>2</v>
      </c>
      <c r="J134" s="16">
        <f t="shared" si="9"/>
        <v>2</v>
      </c>
      <c r="K134" s="16">
        <f t="shared" si="10"/>
        <v>2</v>
      </c>
      <c r="L134" s="16">
        <f t="shared" si="11"/>
        <v>2</v>
      </c>
      <c r="M134" s="5"/>
      <c r="N134" s="5"/>
      <c r="O134" s="5"/>
    </row>
    <row r="135" spans="2:15" x14ac:dyDescent="0.2">
      <c r="B135" s="63"/>
      <c r="C135" s="16">
        <v>3</v>
      </c>
      <c r="D135" s="16">
        <f t="shared" si="8"/>
        <v>100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f t="shared" si="9"/>
        <v>0</v>
      </c>
      <c r="K135" s="16">
        <f t="shared" si="10"/>
        <v>0</v>
      </c>
      <c r="L135" s="16">
        <f t="shared" si="11"/>
        <v>0</v>
      </c>
      <c r="M135" s="5"/>
      <c r="N135" s="5"/>
      <c r="O135" s="5"/>
    </row>
    <row r="136" spans="2:15" x14ac:dyDescent="0.2">
      <c r="B136" s="63"/>
      <c r="C136" s="16">
        <v>4</v>
      </c>
      <c r="D136" s="16">
        <f t="shared" si="8"/>
        <v>99</v>
      </c>
      <c r="E136" s="16">
        <v>1</v>
      </c>
      <c r="F136" s="16">
        <v>0</v>
      </c>
      <c r="G136" s="16">
        <v>0</v>
      </c>
      <c r="H136" s="16">
        <v>0</v>
      </c>
      <c r="I136" s="16">
        <v>0</v>
      </c>
      <c r="J136" s="16">
        <f t="shared" si="9"/>
        <v>1</v>
      </c>
      <c r="K136" s="16">
        <f t="shared" si="10"/>
        <v>0.2</v>
      </c>
      <c r="L136" s="16">
        <f t="shared" si="11"/>
        <v>0</v>
      </c>
      <c r="M136" s="5"/>
      <c r="N136" s="5"/>
      <c r="O136" s="5"/>
    </row>
    <row r="137" spans="2:15" x14ac:dyDescent="0.2">
      <c r="B137" s="63"/>
      <c r="C137" s="16">
        <v>5</v>
      </c>
      <c r="D137" s="16">
        <f t="shared" si="8"/>
        <v>100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f t="shared" si="9"/>
        <v>0</v>
      </c>
      <c r="K137" s="16">
        <f t="shared" si="10"/>
        <v>0</v>
      </c>
      <c r="L137" s="16">
        <f t="shared" si="11"/>
        <v>0</v>
      </c>
      <c r="M137" s="5"/>
      <c r="N137" s="5"/>
      <c r="O137" s="5"/>
    </row>
    <row r="138" spans="2:15" x14ac:dyDescent="0.2">
      <c r="B138" s="63" t="s">
        <v>529</v>
      </c>
      <c r="C138" s="16">
        <v>1</v>
      </c>
      <c r="D138" s="16">
        <f t="shared" si="8"/>
        <v>97</v>
      </c>
      <c r="E138" s="16">
        <v>0</v>
      </c>
      <c r="F138" s="16">
        <v>1</v>
      </c>
      <c r="G138" s="16">
        <v>0</v>
      </c>
      <c r="H138" s="16">
        <v>2</v>
      </c>
      <c r="I138" s="16">
        <v>0</v>
      </c>
      <c r="J138" s="16">
        <f t="shared" si="9"/>
        <v>3</v>
      </c>
      <c r="K138" s="16">
        <f t="shared" si="10"/>
        <v>2</v>
      </c>
      <c r="L138" s="16">
        <f t="shared" si="11"/>
        <v>0</v>
      </c>
      <c r="M138" s="5">
        <f>AVERAGE((SUM(E138:I138)), (SUM(E139:I139)), (SUM(E140:I140)), (SUM(E141:I141)), (SUM(E142:I142)))</f>
        <v>2.2000000000000002</v>
      </c>
      <c r="N138" s="5">
        <f>AVERAGE((SUM(D138*0+E138*1+F138*2+G138*3+H138*4+I138*5)/(5*100)*100), (SUM(D139*0+E139*1+F139*2+G139*3+H139*4+I139*5)/(5*100)*100), (SUM(D140*0+E140*1+F140*2+G140*3+H140*4+I140*5)/(5*100)*100), (SUM(D141*0+E141*1+F141*2+G141*3+H141*4+I141*5)/(5*100)*100), (SUM(D142*0+E142*1+F142*2+G142*3+H142*4+I142*5)/(5*100)*100))</f>
        <v>1.64</v>
      </c>
      <c r="O138" s="5">
        <f>AVERAGE(I138:I142)</f>
        <v>1</v>
      </c>
    </row>
    <row r="139" spans="2:15" x14ac:dyDescent="0.2">
      <c r="B139" s="63"/>
      <c r="C139" s="16">
        <v>2</v>
      </c>
      <c r="D139" s="16">
        <f t="shared" si="8"/>
        <v>92</v>
      </c>
      <c r="E139" s="16">
        <v>0</v>
      </c>
      <c r="F139" s="16">
        <v>3</v>
      </c>
      <c r="G139" s="16">
        <v>0</v>
      </c>
      <c r="H139" s="16">
        <v>0</v>
      </c>
      <c r="I139" s="16">
        <v>5</v>
      </c>
      <c r="J139" s="16">
        <f t="shared" si="9"/>
        <v>8</v>
      </c>
      <c r="K139" s="16">
        <f t="shared" si="10"/>
        <v>6.2</v>
      </c>
      <c r="L139" s="16">
        <f t="shared" si="11"/>
        <v>5</v>
      </c>
      <c r="M139" s="5"/>
      <c r="N139" s="5"/>
      <c r="O139" s="5"/>
    </row>
    <row r="140" spans="2:15" x14ac:dyDescent="0.2">
      <c r="B140" s="63"/>
      <c r="C140" s="16">
        <v>3</v>
      </c>
      <c r="D140" s="16">
        <f t="shared" si="8"/>
        <v>100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f t="shared" si="9"/>
        <v>0</v>
      </c>
      <c r="K140" s="16">
        <f t="shared" si="10"/>
        <v>0</v>
      </c>
      <c r="L140" s="16">
        <f t="shared" si="11"/>
        <v>0</v>
      </c>
      <c r="M140" s="5"/>
      <c r="N140" s="5"/>
      <c r="O140" s="5"/>
    </row>
    <row r="141" spans="2:15" x14ac:dyDescent="0.2">
      <c r="B141" s="63"/>
      <c r="C141" s="16">
        <v>4</v>
      </c>
      <c r="D141" s="16">
        <f t="shared" si="8"/>
        <v>100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f t="shared" si="9"/>
        <v>0</v>
      </c>
      <c r="K141" s="16">
        <f t="shared" si="10"/>
        <v>0</v>
      </c>
      <c r="L141" s="16">
        <f t="shared" si="11"/>
        <v>0</v>
      </c>
      <c r="M141" s="5"/>
      <c r="N141" s="5"/>
      <c r="O141" s="5"/>
    </row>
    <row r="142" spans="2:15" x14ac:dyDescent="0.2">
      <c r="B142" s="63"/>
      <c r="C142" s="16">
        <v>5</v>
      </c>
      <c r="D142" s="16">
        <f t="shared" si="8"/>
        <v>100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f t="shared" si="9"/>
        <v>0</v>
      </c>
      <c r="K142" s="16">
        <f t="shared" si="10"/>
        <v>0</v>
      </c>
      <c r="L142" s="16">
        <f t="shared" si="11"/>
        <v>0</v>
      </c>
      <c r="M142" s="5"/>
      <c r="N142" s="5"/>
      <c r="O142" s="5"/>
    </row>
    <row r="143" spans="2:15" x14ac:dyDescent="0.2">
      <c r="B143" s="63">
        <v>18</v>
      </c>
      <c r="C143" s="16">
        <v>1</v>
      </c>
      <c r="D143" s="16">
        <f t="shared" si="8"/>
        <v>50</v>
      </c>
      <c r="E143" s="16">
        <v>17</v>
      </c>
      <c r="F143" s="16">
        <v>9</v>
      </c>
      <c r="G143" s="16">
        <v>15</v>
      </c>
      <c r="H143" s="16">
        <v>9</v>
      </c>
      <c r="I143" s="16">
        <v>0</v>
      </c>
      <c r="J143" s="16">
        <f t="shared" si="9"/>
        <v>50</v>
      </c>
      <c r="K143" s="16">
        <f t="shared" si="10"/>
        <v>23.200000000000003</v>
      </c>
      <c r="L143" s="16">
        <f t="shared" si="11"/>
        <v>0</v>
      </c>
      <c r="M143" s="5">
        <f>AVERAGE((SUM(E143:I143)), (SUM(E144:I144)), (SUM(E145:I145)), (SUM(E146:I146)), (SUM(E147:I147)))</f>
        <v>35.6</v>
      </c>
      <c r="N143" s="5">
        <f>AVERAGE((SUM(D143*0+E143*1+F143*2+G143*3+H143*4+I143*5)/(5*100)*100), (SUM(D144*0+E144*1+F144*2+G144*3+H144*4+I144*5)/(5*100)*100), (SUM(D145*0+E145*1+F145*2+G145*3+H145*4+I145*5)/(5*100)*100), (SUM(D146*0+E146*1+F146*2+G146*3+H146*4+I146*5)/(5*100)*100), (SUM(D147*0+E147*1+F147*2+G147*3+H147*4+I147*5)/(5*100)*100))</f>
        <v>18.119999999999997</v>
      </c>
      <c r="O143" s="5">
        <f>AVERAGE(I143:I147)</f>
        <v>0</v>
      </c>
    </row>
    <row r="144" spans="2:15" x14ac:dyDescent="0.2">
      <c r="B144" s="63"/>
      <c r="C144" s="16">
        <v>2</v>
      </c>
      <c r="D144" s="16">
        <f t="shared" si="8"/>
        <v>66</v>
      </c>
      <c r="E144" s="16">
        <v>1</v>
      </c>
      <c r="F144" s="16">
        <v>4</v>
      </c>
      <c r="G144" s="16">
        <v>12</v>
      </c>
      <c r="H144" s="16">
        <v>17</v>
      </c>
      <c r="I144" s="16">
        <v>0</v>
      </c>
      <c r="J144" s="16">
        <f t="shared" si="9"/>
        <v>34</v>
      </c>
      <c r="K144" s="16">
        <f t="shared" si="10"/>
        <v>22.6</v>
      </c>
      <c r="L144" s="16">
        <f t="shared" si="11"/>
        <v>0</v>
      </c>
      <c r="M144" s="5"/>
      <c r="N144" s="5"/>
      <c r="O144" s="5"/>
    </row>
    <row r="145" spans="2:15" x14ac:dyDescent="0.2">
      <c r="B145" s="63"/>
      <c r="C145" s="16">
        <v>3</v>
      </c>
      <c r="D145" s="16">
        <f t="shared" si="8"/>
        <v>81</v>
      </c>
      <c r="E145" s="16">
        <v>7</v>
      </c>
      <c r="F145" s="16">
        <v>6</v>
      </c>
      <c r="G145" s="16">
        <v>3</v>
      </c>
      <c r="H145" s="16">
        <v>3</v>
      </c>
      <c r="I145" s="16">
        <v>0</v>
      </c>
      <c r="J145" s="16">
        <f t="shared" si="9"/>
        <v>19</v>
      </c>
      <c r="K145" s="16">
        <f t="shared" si="10"/>
        <v>8</v>
      </c>
      <c r="L145" s="16">
        <f t="shared" si="11"/>
        <v>0</v>
      </c>
      <c r="M145" s="5"/>
      <c r="N145" s="5"/>
      <c r="O145" s="5"/>
    </row>
    <row r="146" spans="2:15" x14ac:dyDescent="0.2">
      <c r="B146" s="63"/>
      <c r="C146" s="16">
        <v>4</v>
      </c>
      <c r="D146" s="16">
        <f t="shared" si="8"/>
        <v>85</v>
      </c>
      <c r="E146" s="16">
        <v>1</v>
      </c>
      <c r="F146" s="16">
        <v>7</v>
      </c>
      <c r="G146" s="16">
        <v>3</v>
      </c>
      <c r="H146" s="16">
        <v>4</v>
      </c>
      <c r="I146" s="16">
        <v>0</v>
      </c>
      <c r="J146" s="16">
        <f t="shared" si="9"/>
        <v>15</v>
      </c>
      <c r="K146" s="16">
        <f t="shared" si="10"/>
        <v>8</v>
      </c>
      <c r="L146" s="16">
        <f t="shared" si="11"/>
        <v>0</v>
      </c>
      <c r="M146" s="5"/>
      <c r="N146" s="5"/>
      <c r="O146" s="5"/>
    </row>
    <row r="147" spans="2:15" x14ac:dyDescent="0.2">
      <c r="B147" s="63"/>
      <c r="C147" s="16">
        <v>5</v>
      </c>
      <c r="D147" s="16">
        <f t="shared" si="8"/>
        <v>40</v>
      </c>
      <c r="E147" s="16">
        <v>8</v>
      </c>
      <c r="F147" s="16">
        <v>25</v>
      </c>
      <c r="G147" s="16">
        <v>22</v>
      </c>
      <c r="H147" s="16">
        <v>5</v>
      </c>
      <c r="I147" s="16">
        <v>0</v>
      </c>
      <c r="J147" s="16">
        <f t="shared" si="9"/>
        <v>60</v>
      </c>
      <c r="K147" s="16">
        <f t="shared" si="10"/>
        <v>28.799999999999997</v>
      </c>
      <c r="L147" s="16">
        <f t="shared" si="11"/>
        <v>0</v>
      </c>
      <c r="M147" s="5"/>
      <c r="N147" s="5"/>
      <c r="O147" s="5"/>
    </row>
    <row r="148" spans="2:15" x14ac:dyDescent="0.2">
      <c r="B148" s="63">
        <v>19</v>
      </c>
      <c r="C148" s="16">
        <v>1</v>
      </c>
      <c r="D148" s="16">
        <f t="shared" si="8"/>
        <v>43</v>
      </c>
      <c r="E148" s="16">
        <v>22</v>
      </c>
      <c r="F148" s="16">
        <v>18</v>
      </c>
      <c r="G148" s="16">
        <v>9</v>
      </c>
      <c r="H148" s="16">
        <v>7</v>
      </c>
      <c r="I148" s="16">
        <v>1</v>
      </c>
      <c r="J148" s="16">
        <f t="shared" si="9"/>
        <v>57</v>
      </c>
      <c r="K148" s="16">
        <f t="shared" si="10"/>
        <v>23.599999999999998</v>
      </c>
      <c r="L148" s="16">
        <f t="shared" si="11"/>
        <v>1</v>
      </c>
      <c r="M148" s="5">
        <f>AVERAGE((SUM(E148:I148)), (SUM(E149:I149)), (SUM(E150:I150)), (SUM(E151:I151)), (SUM(E152:I152)))</f>
        <v>34.6</v>
      </c>
      <c r="N148" s="5">
        <f>AVERAGE((SUM(D148*0+E148*1+F148*2+G148*3+H148*4+I148*5)/(5*100)*100), (SUM(D149*0+E149*1+F149*2+G149*3+H149*4+I149*5)/(5*100)*100), (SUM(D150*0+E150*1+F150*2+G150*3+H150*4+I150*5)/(5*100)*100), (SUM(D151*0+E151*1+F151*2+G151*3+H151*4+I151*5)/(5*100)*100), (SUM(D152*0+E152*1+F152*2+G152*3+H152*4+I152*5)/(5*100)*100))</f>
        <v>15.959999999999999</v>
      </c>
      <c r="O148" s="5">
        <f>AVERAGE(I148:I152)</f>
        <v>4.5999999999999996</v>
      </c>
    </row>
    <row r="149" spans="2:15" x14ac:dyDescent="0.2">
      <c r="B149" s="63"/>
      <c r="C149" s="16">
        <v>2</v>
      </c>
      <c r="D149" s="16">
        <f t="shared" si="8"/>
        <v>79</v>
      </c>
      <c r="E149" s="16">
        <v>2</v>
      </c>
      <c r="F149" s="16">
        <v>4</v>
      </c>
      <c r="G149" s="16">
        <v>4</v>
      </c>
      <c r="H149" s="16">
        <v>3</v>
      </c>
      <c r="I149" s="16">
        <v>8</v>
      </c>
      <c r="J149" s="16">
        <f t="shared" si="9"/>
        <v>21</v>
      </c>
      <c r="K149" s="16">
        <f t="shared" si="10"/>
        <v>14.799999999999999</v>
      </c>
      <c r="L149" s="16">
        <f t="shared" si="11"/>
        <v>8</v>
      </c>
    </row>
    <row r="150" spans="2:15" x14ac:dyDescent="0.2">
      <c r="B150" s="63"/>
      <c r="C150" s="16">
        <v>3</v>
      </c>
      <c r="D150" s="16">
        <f t="shared" si="8"/>
        <v>72</v>
      </c>
      <c r="E150" s="16">
        <v>9</v>
      </c>
      <c r="F150" s="16">
        <v>3</v>
      </c>
      <c r="G150" s="16">
        <v>3</v>
      </c>
      <c r="H150" s="16">
        <v>3</v>
      </c>
      <c r="I150" s="16">
        <v>10</v>
      </c>
      <c r="J150" s="16">
        <f t="shared" si="9"/>
        <v>28</v>
      </c>
      <c r="K150" s="16">
        <f t="shared" si="10"/>
        <v>17.2</v>
      </c>
      <c r="L150" s="16">
        <f t="shared" si="11"/>
        <v>10</v>
      </c>
    </row>
    <row r="151" spans="2:15" x14ac:dyDescent="0.2">
      <c r="B151" s="63"/>
      <c r="C151" s="16">
        <v>4</v>
      </c>
      <c r="D151" s="16">
        <f t="shared" si="8"/>
        <v>68</v>
      </c>
      <c r="E151" s="16">
        <v>18</v>
      </c>
      <c r="F151" s="16">
        <v>12</v>
      </c>
      <c r="G151" s="16">
        <v>1</v>
      </c>
      <c r="H151" s="16">
        <v>0</v>
      </c>
      <c r="I151" s="16">
        <v>1</v>
      </c>
      <c r="J151" s="16">
        <f t="shared" si="9"/>
        <v>32</v>
      </c>
      <c r="K151" s="16">
        <f t="shared" si="10"/>
        <v>10</v>
      </c>
      <c r="L151" s="16">
        <f t="shared" si="11"/>
        <v>1</v>
      </c>
    </row>
    <row r="152" spans="2:15" x14ac:dyDescent="0.2">
      <c r="B152" s="63"/>
      <c r="C152" s="16">
        <v>5</v>
      </c>
      <c r="D152" s="16">
        <f t="shared" si="8"/>
        <v>65</v>
      </c>
      <c r="E152" s="16">
        <v>16</v>
      </c>
      <c r="F152" s="16">
        <v>11</v>
      </c>
      <c r="G152" s="16">
        <v>2</v>
      </c>
      <c r="H152" s="16">
        <v>3</v>
      </c>
      <c r="I152" s="16">
        <v>3</v>
      </c>
      <c r="J152" s="16">
        <f t="shared" si="9"/>
        <v>35</v>
      </c>
      <c r="K152" s="16">
        <f t="shared" si="10"/>
        <v>14.2</v>
      </c>
      <c r="L152" s="16">
        <f t="shared" si="11"/>
        <v>3</v>
      </c>
    </row>
    <row r="153" spans="2:15" x14ac:dyDescent="0.2">
      <c r="B153" s="63">
        <v>20</v>
      </c>
      <c r="C153" s="16">
        <v>1</v>
      </c>
      <c r="D153" s="16">
        <f t="shared" si="8"/>
        <v>24</v>
      </c>
      <c r="E153" s="16">
        <v>1</v>
      </c>
      <c r="F153" s="16">
        <v>0</v>
      </c>
      <c r="G153" s="16">
        <v>13</v>
      </c>
      <c r="H153" s="16">
        <v>12</v>
      </c>
      <c r="I153" s="16">
        <v>50</v>
      </c>
      <c r="J153" s="16">
        <f t="shared" si="9"/>
        <v>76</v>
      </c>
      <c r="K153" s="16">
        <f t="shared" si="10"/>
        <v>67.600000000000009</v>
      </c>
      <c r="L153" s="16">
        <f t="shared" si="11"/>
        <v>50</v>
      </c>
      <c r="M153" s="5">
        <f>AVERAGE((SUM(E153:I153)), (SUM(E154:I154)), (SUM(E155:I155)), (SUM(E156:I156)), (SUM(E157:I157)))</f>
        <v>26</v>
      </c>
      <c r="N153" s="5">
        <f>AVERAGE((SUM(D153*0+E153*1+F153*2+G153*3+H153*4+I153*5)/(5*100)*100), (SUM(D154*0+E154*1+F154*2+G154*3+H154*4+I154*5)/(5*100)*100), (SUM(D155*0+E155*1+F155*2+G155*3+H155*4+I155*5)/(5*100)*100), (SUM(D156*0+E156*1+F156*2+G156*3+H156*4+I156*5)/(5*100)*100), (SUM(D157*0+E157*1+F157*2+G157*3+H157*4+I157*5)/(5*100)*100))</f>
        <v>22.640000000000004</v>
      </c>
      <c r="O153" s="5">
        <f>AVERAGE(I153:I157)</f>
        <v>15.8</v>
      </c>
    </row>
    <row r="154" spans="2:15" x14ac:dyDescent="0.2">
      <c r="B154" s="63"/>
      <c r="C154" s="16">
        <v>2</v>
      </c>
      <c r="D154" s="16">
        <f t="shared" si="8"/>
        <v>79</v>
      </c>
      <c r="E154" s="16">
        <v>1</v>
      </c>
      <c r="F154" s="16">
        <v>4</v>
      </c>
      <c r="G154" s="16">
        <v>2</v>
      </c>
      <c r="H154" s="16">
        <v>7</v>
      </c>
      <c r="I154" s="16">
        <v>7</v>
      </c>
      <c r="J154" s="16">
        <f t="shared" si="9"/>
        <v>21</v>
      </c>
      <c r="K154" s="16">
        <f t="shared" si="10"/>
        <v>15.6</v>
      </c>
      <c r="L154" s="16">
        <f t="shared" si="11"/>
        <v>7</v>
      </c>
      <c r="M154" s="5"/>
      <c r="N154" s="5"/>
      <c r="O154" s="5"/>
    </row>
    <row r="155" spans="2:15" x14ac:dyDescent="0.2">
      <c r="B155" s="63"/>
      <c r="C155" s="16">
        <v>3</v>
      </c>
      <c r="D155" s="16">
        <f t="shared" si="8"/>
        <v>90</v>
      </c>
      <c r="E155" s="16">
        <v>0</v>
      </c>
      <c r="F155" s="16">
        <v>0</v>
      </c>
      <c r="G155" s="16">
        <v>2</v>
      </c>
      <c r="H155" s="16">
        <v>4</v>
      </c>
      <c r="I155" s="16">
        <v>4</v>
      </c>
      <c r="J155" s="16">
        <f t="shared" si="9"/>
        <v>10</v>
      </c>
      <c r="K155" s="16">
        <f t="shared" si="10"/>
        <v>8.4</v>
      </c>
      <c r="L155" s="16">
        <f t="shared" si="11"/>
        <v>4</v>
      </c>
      <c r="M155" s="5"/>
      <c r="N155" s="5"/>
      <c r="O155" s="5"/>
    </row>
    <row r="156" spans="2:15" x14ac:dyDescent="0.2">
      <c r="B156" s="63"/>
      <c r="C156" s="16">
        <v>4</v>
      </c>
      <c r="D156" s="16">
        <f t="shared" si="8"/>
        <v>77</v>
      </c>
      <c r="E156" s="16">
        <v>0</v>
      </c>
      <c r="F156" s="16">
        <v>0</v>
      </c>
      <c r="G156" s="16">
        <v>2</v>
      </c>
      <c r="H156" s="16">
        <v>3</v>
      </c>
      <c r="I156" s="16">
        <v>18</v>
      </c>
      <c r="J156" s="16">
        <f t="shared" si="9"/>
        <v>23</v>
      </c>
      <c r="K156" s="16">
        <f t="shared" si="10"/>
        <v>21.6</v>
      </c>
      <c r="L156" s="16">
        <f t="shared" si="11"/>
        <v>18</v>
      </c>
      <c r="M156" s="5"/>
      <c r="N156" s="5"/>
      <c r="O156" s="5"/>
    </row>
    <row r="157" spans="2:15" x14ac:dyDescent="0.2">
      <c r="B157" s="63"/>
      <c r="C157" s="16">
        <v>5</v>
      </c>
      <c r="D157" s="16">
        <f t="shared" si="8"/>
        <v>100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f t="shared" si="9"/>
        <v>0</v>
      </c>
      <c r="K157" s="16">
        <f t="shared" si="10"/>
        <v>0</v>
      </c>
      <c r="L157" s="16">
        <f t="shared" si="11"/>
        <v>0</v>
      </c>
      <c r="M157" s="5"/>
      <c r="N157" s="5"/>
      <c r="O157" s="5"/>
    </row>
    <row r="158" spans="2:15" x14ac:dyDescent="0.2">
      <c r="B158" s="63" t="s">
        <v>530</v>
      </c>
      <c r="C158" s="16">
        <v>1</v>
      </c>
      <c r="D158" s="16">
        <f t="shared" si="8"/>
        <v>98</v>
      </c>
      <c r="E158" s="16">
        <v>0</v>
      </c>
      <c r="F158" s="16">
        <v>0</v>
      </c>
      <c r="G158" s="16">
        <v>2</v>
      </c>
      <c r="H158" s="16">
        <v>0</v>
      </c>
      <c r="I158" s="16">
        <v>0</v>
      </c>
      <c r="J158" s="16">
        <f t="shared" si="9"/>
        <v>2</v>
      </c>
      <c r="K158" s="16">
        <f t="shared" si="10"/>
        <v>1.2</v>
      </c>
      <c r="L158" s="16">
        <f t="shared" si="11"/>
        <v>0</v>
      </c>
      <c r="M158" s="5">
        <f>AVERAGE((SUM(E158:I158)), (SUM(E159:I159)), (SUM(E160:I160)), (SUM(E161:I161)), (SUM(E162:I162)))</f>
        <v>2.6</v>
      </c>
      <c r="N158" s="5">
        <f>AVERAGE((SUM(D158*0+E158*1+F158*2+G158*3+H158*4+I158*5)/(5*100)*100), (SUM(D159*0+E159*1+F159*2+G159*3+H159*4+I159*5)/(5*100)*100), (SUM(D160*0+E160*1+F160*2+G160*3+H160*4+I160*5)/(5*100)*100), (SUM(D161*0+E161*1+F161*2+G161*3+H161*4+I161*5)/(5*100)*100), (SUM(D162*0+E162*1+F162*2+G162*3+H162*4+I162*5)/(5*100)*100))</f>
        <v>1.8799999999999997</v>
      </c>
      <c r="O158" s="5">
        <f>AVERAGE(I158:I162)</f>
        <v>0.4</v>
      </c>
    </row>
    <row r="159" spans="2:15" x14ac:dyDescent="0.2">
      <c r="B159" s="63"/>
      <c r="C159" s="16">
        <v>2</v>
      </c>
      <c r="D159" s="16">
        <f t="shared" si="8"/>
        <v>96</v>
      </c>
      <c r="E159" s="16">
        <v>0</v>
      </c>
      <c r="F159" s="16">
        <v>0</v>
      </c>
      <c r="G159" s="16">
        <v>4</v>
      </c>
      <c r="H159" s="16">
        <v>0</v>
      </c>
      <c r="I159" s="16">
        <v>0</v>
      </c>
      <c r="J159" s="16">
        <f t="shared" si="9"/>
        <v>4</v>
      </c>
      <c r="K159" s="16">
        <f t="shared" si="10"/>
        <v>2.4</v>
      </c>
      <c r="L159" s="16">
        <f t="shared" si="11"/>
        <v>0</v>
      </c>
      <c r="M159" s="5"/>
      <c r="N159" s="5"/>
      <c r="O159" s="5"/>
    </row>
    <row r="160" spans="2:15" x14ac:dyDescent="0.2">
      <c r="B160" s="63"/>
      <c r="C160" s="16">
        <v>3</v>
      </c>
      <c r="D160" s="16">
        <f t="shared" si="8"/>
        <v>99</v>
      </c>
      <c r="E160" s="16">
        <v>0</v>
      </c>
      <c r="F160" s="16">
        <v>0</v>
      </c>
      <c r="G160" s="16">
        <v>0</v>
      </c>
      <c r="H160" s="16">
        <v>0</v>
      </c>
      <c r="I160" s="16">
        <v>1</v>
      </c>
      <c r="J160" s="16">
        <f t="shared" si="9"/>
        <v>1</v>
      </c>
      <c r="K160" s="16">
        <f t="shared" si="10"/>
        <v>1</v>
      </c>
      <c r="L160" s="16">
        <f t="shared" si="11"/>
        <v>1</v>
      </c>
      <c r="M160" s="5"/>
      <c r="N160" s="5"/>
      <c r="O160" s="5"/>
    </row>
    <row r="161" spans="2:15" x14ac:dyDescent="0.2">
      <c r="B161" s="63"/>
      <c r="C161" s="16">
        <v>4</v>
      </c>
      <c r="D161" s="16">
        <f t="shared" si="8"/>
        <v>95</v>
      </c>
      <c r="E161" s="16">
        <v>0</v>
      </c>
      <c r="F161" s="16">
        <v>0</v>
      </c>
      <c r="G161" s="16">
        <v>1</v>
      </c>
      <c r="H161" s="16">
        <v>4</v>
      </c>
      <c r="I161" s="16">
        <v>0</v>
      </c>
      <c r="J161" s="16">
        <f t="shared" si="9"/>
        <v>5</v>
      </c>
      <c r="K161" s="16">
        <f t="shared" si="10"/>
        <v>3.8</v>
      </c>
      <c r="L161" s="16">
        <f t="shared" si="11"/>
        <v>0</v>
      </c>
      <c r="M161" s="5"/>
      <c r="N161" s="5"/>
      <c r="O161" s="5"/>
    </row>
    <row r="162" spans="2:15" x14ac:dyDescent="0.2">
      <c r="B162" s="63"/>
      <c r="C162" s="16">
        <v>5</v>
      </c>
      <c r="D162" s="16">
        <f t="shared" si="8"/>
        <v>99</v>
      </c>
      <c r="E162" s="16">
        <v>0</v>
      </c>
      <c r="F162" s="16">
        <v>0</v>
      </c>
      <c r="G162" s="16">
        <v>0</v>
      </c>
      <c r="H162" s="16">
        <v>0</v>
      </c>
      <c r="I162" s="16">
        <v>1</v>
      </c>
      <c r="J162" s="16">
        <f t="shared" si="9"/>
        <v>1</v>
      </c>
      <c r="K162" s="16">
        <f t="shared" si="10"/>
        <v>1</v>
      </c>
      <c r="L162" s="16">
        <f t="shared" si="11"/>
        <v>1</v>
      </c>
      <c r="M162" s="5"/>
      <c r="N162" s="5"/>
      <c r="O162" s="5"/>
    </row>
    <row r="163" spans="2:15" x14ac:dyDescent="0.2">
      <c r="B163" s="63" t="s">
        <v>531</v>
      </c>
      <c r="C163" s="16">
        <v>1</v>
      </c>
      <c r="D163" s="16">
        <f t="shared" si="8"/>
        <v>97</v>
      </c>
      <c r="E163" s="16">
        <v>0</v>
      </c>
      <c r="F163" s="16">
        <v>0</v>
      </c>
      <c r="G163" s="16">
        <v>1</v>
      </c>
      <c r="H163" s="16">
        <v>1</v>
      </c>
      <c r="I163" s="16">
        <v>1</v>
      </c>
      <c r="J163" s="16">
        <f t="shared" si="9"/>
        <v>3</v>
      </c>
      <c r="K163" s="16">
        <f t="shared" si="10"/>
        <v>2.4</v>
      </c>
      <c r="L163" s="16">
        <f t="shared" si="11"/>
        <v>1</v>
      </c>
      <c r="M163" s="5">
        <f>AVERAGE((SUM(E163:I163)), (SUM(E164:I164)), (SUM(E165:I165)), (SUM(E166:I166)), (SUM(E167:I167)))</f>
        <v>18.8</v>
      </c>
      <c r="N163" s="5">
        <f>AVERAGE((SUM(D163*0+E163*1+F163*2+G163*3+H163*4+I163*5)/(5*100)*100), (SUM(D164*0+E164*1+F164*2+G164*3+H164*4+I164*5)/(5*100)*100), (SUM(D165*0+E165*1+F165*2+G165*3+H165*4+I165*5)/(5*100)*100), (SUM(D166*0+E166*1+F166*2+G166*3+H166*4+I166*5)/(5*100)*100), (SUM(D167*0+E167*1+F167*2+G167*3+H167*4+I167*5)/(5*100)*100))</f>
        <v>9.8000000000000007</v>
      </c>
      <c r="O163" s="5">
        <f>AVERAGE(I163:I167)</f>
        <v>3</v>
      </c>
    </row>
    <row r="164" spans="2:15" x14ac:dyDescent="0.2">
      <c r="B164" s="63"/>
      <c r="C164" s="16">
        <v>2</v>
      </c>
      <c r="D164" s="16">
        <f t="shared" si="8"/>
        <v>89</v>
      </c>
      <c r="E164" s="16">
        <v>4</v>
      </c>
      <c r="F164" s="16">
        <v>1</v>
      </c>
      <c r="G164" s="16">
        <v>1</v>
      </c>
      <c r="H164" s="16">
        <v>2</v>
      </c>
      <c r="I164" s="16">
        <v>3</v>
      </c>
      <c r="J164" s="16">
        <f t="shared" si="9"/>
        <v>11</v>
      </c>
      <c r="K164" s="16">
        <f t="shared" si="10"/>
        <v>6.4</v>
      </c>
      <c r="L164" s="16">
        <f t="shared" si="11"/>
        <v>3</v>
      </c>
      <c r="M164" s="5"/>
      <c r="N164" s="5"/>
      <c r="O164" s="5"/>
    </row>
    <row r="165" spans="2:15" x14ac:dyDescent="0.2">
      <c r="B165" s="63"/>
      <c r="C165" s="16">
        <v>3</v>
      </c>
      <c r="D165" s="16">
        <f t="shared" si="8"/>
        <v>95</v>
      </c>
      <c r="E165" s="16">
        <v>1</v>
      </c>
      <c r="F165" s="16">
        <v>2</v>
      </c>
      <c r="G165" s="16">
        <v>0</v>
      </c>
      <c r="H165" s="16">
        <v>0</v>
      </c>
      <c r="I165" s="16">
        <v>2</v>
      </c>
      <c r="J165" s="16">
        <f t="shared" si="9"/>
        <v>5</v>
      </c>
      <c r="K165" s="16">
        <f t="shared" si="10"/>
        <v>3</v>
      </c>
      <c r="L165" s="16">
        <f t="shared" si="11"/>
        <v>2</v>
      </c>
      <c r="M165" s="5"/>
      <c r="N165" s="5"/>
      <c r="O165" s="5"/>
    </row>
    <row r="166" spans="2:15" x14ac:dyDescent="0.2">
      <c r="B166" s="63"/>
      <c r="C166" s="16">
        <v>4</v>
      </c>
      <c r="D166" s="16">
        <f t="shared" si="8"/>
        <v>61</v>
      </c>
      <c r="E166" s="16">
        <v>9</v>
      </c>
      <c r="F166" s="16">
        <v>13</v>
      </c>
      <c r="G166" s="16">
        <v>7</v>
      </c>
      <c r="H166" s="16">
        <v>4</v>
      </c>
      <c r="I166" s="16">
        <v>6</v>
      </c>
      <c r="J166" s="16">
        <f t="shared" si="9"/>
        <v>39</v>
      </c>
      <c r="K166" s="16">
        <f t="shared" si="10"/>
        <v>20.399999999999999</v>
      </c>
      <c r="L166" s="16">
        <f t="shared" si="11"/>
        <v>6</v>
      </c>
      <c r="M166" s="5"/>
      <c r="N166" s="5"/>
      <c r="O166" s="5"/>
    </row>
    <row r="167" spans="2:15" x14ac:dyDescent="0.2">
      <c r="B167" s="63"/>
      <c r="C167" s="16">
        <v>5</v>
      </c>
      <c r="D167" s="16">
        <f t="shared" si="8"/>
        <v>64</v>
      </c>
      <c r="E167" s="16">
        <v>12</v>
      </c>
      <c r="F167" s="16">
        <v>11</v>
      </c>
      <c r="G167" s="16">
        <v>5</v>
      </c>
      <c r="H167" s="16">
        <v>5</v>
      </c>
      <c r="I167" s="16">
        <v>3</v>
      </c>
      <c r="J167" s="16">
        <f t="shared" si="9"/>
        <v>36</v>
      </c>
      <c r="K167" s="16">
        <f t="shared" si="10"/>
        <v>16.8</v>
      </c>
      <c r="L167" s="16">
        <f t="shared" si="11"/>
        <v>3</v>
      </c>
      <c r="M167" s="5"/>
      <c r="N167" s="5"/>
      <c r="O167" s="5"/>
    </row>
    <row r="168" spans="2:15" x14ac:dyDescent="0.2">
      <c r="B168" s="63" t="s">
        <v>532</v>
      </c>
      <c r="C168" s="16">
        <v>1</v>
      </c>
      <c r="D168" s="16">
        <f t="shared" si="8"/>
        <v>62</v>
      </c>
      <c r="E168" s="16">
        <v>9</v>
      </c>
      <c r="F168" s="16">
        <v>4</v>
      </c>
      <c r="G168" s="16">
        <v>1</v>
      </c>
      <c r="H168" s="16">
        <v>1</v>
      </c>
      <c r="I168" s="16">
        <v>23</v>
      </c>
      <c r="J168" s="16">
        <f t="shared" si="9"/>
        <v>38</v>
      </c>
      <c r="K168" s="16">
        <f t="shared" si="10"/>
        <v>27.800000000000004</v>
      </c>
      <c r="L168" s="16">
        <f t="shared" si="11"/>
        <v>23</v>
      </c>
      <c r="M168" s="5">
        <f>AVERAGE((SUM(E168:I168)), (SUM(E169:I169)), (SUM(E170:I170)), (SUM(E171:I171)), (SUM(E172:I172)))</f>
        <v>31.6</v>
      </c>
      <c r="N168" s="5">
        <f>AVERAGE((SUM(D168*0+E168*1+F168*2+G168*3+H168*4+I168*5)/(5*100)*100), (SUM(D169*0+E169*1+F169*2+G169*3+H169*4+I169*5)/(5*100)*100), (SUM(D170*0+E170*1+F170*2+G170*3+H170*4+I170*5)/(5*100)*100), (SUM(D171*0+E171*1+F171*2+G171*3+H171*4+I171*5)/(5*100)*100), (SUM(D172*0+E172*1+F172*2+G172*3+H172*4+I172*5)/(5*100)*100))</f>
        <v>18</v>
      </c>
      <c r="O168" s="5">
        <f>AVERAGE(I168:I172)</f>
        <v>9.8000000000000007</v>
      </c>
    </row>
    <row r="169" spans="2:15" x14ac:dyDescent="0.2">
      <c r="B169" s="63"/>
      <c r="C169" s="16">
        <v>2</v>
      </c>
      <c r="D169" s="16">
        <f t="shared" si="8"/>
        <v>17</v>
      </c>
      <c r="E169" s="16">
        <v>38</v>
      </c>
      <c r="F169" s="16">
        <v>27</v>
      </c>
      <c r="G169" s="16">
        <v>12</v>
      </c>
      <c r="H169" s="16">
        <v>4</v>
      </c>
      <c r="I169" s="16">
        <v>2</v>
      </c>
      <c r="J169" s="16">
        <f t="shared" si="9"/>
        <v>83</v>
      </c>
      <c r="K169" s="16">
        <f t="shared" si="10"/>
        <v>30.8</v>
      </c>
      <c r="L169" s="16">
        <f t="shared" si="11"/>
        <v>2</v>
      </c>
    </row>
    <row r="170" spans="2:15" x14ac:dyDescent="0.2">
      <c r="B170" s="63"/>
      <c r="C170" s="16">
        <v>3</v>
      </c>
      <c r="D170" s="16">
        <f t="shared" si="8"/>
        <v>85</v>
      </c>
      <c r="E170" s="16">
        <v>0</v>
      </c>
      <c r="F170" s="16">
        <v>0</v>
      </c>
      <c r="G170" s="16">
        <v>3</v>
      </c>
      <c r="H170" s="16">
        <v>0</v>
      </c>
      <c r="I170" s="16">
        <v>12</v>
      </c>
      <c r="J170" s="16">
        <f t="shared" si="9"/>
        <v>15</v>
      </c>
      <c r="K170" s="16">
        <f t="shared" si="10"/>
        <v>13.8</v>
      </c>
      <c r="L170" s="16">
        <f t="shared" si="11"/>
        <v>12</v>
      </c>
    </row>
    <row r="171" spans="2:15" x14ac:dyDescent="0.2">
      <c r="B171" s="63"/>
      <c r="C171" s="16">
        <v>4</v>
      </c>
      <c r="D171" s="16">
        <f t="shared" si="8"/>
        <v>94</v>
      </c>
      <c r="E171" s="16">
        <v>2</v>
      </c>
      <c r="F171" s="16">
        <v>1</v>
      </c>
      <c r="G171" s="16">
        <v>2</v>
      </c>
      <c r="H171" s="16">
        <v>0</v>
      </c>
      <c r="I171" s="16">
        <v>1</v>
      </c>
      <c r="J171" s="16">
        <f t="shared" si="9"/>
        <v>6</v>
      </c>
      <c r="K171" s="16">
        <f t="shared" si="10"/>
        <v>3</v>
      </c>
      <c r="L171" s="16">
        <f t="shared" si="11"/>
        <v>1</v>
      </c>
    </row>
    <row r="172" spans="2:15" x14ac:dyDescent="0.2">
      <c r="B172" s="63"/>
      <c r="C172" s="16">
        <v>5</v>
      </c>
      <c r="D172" s="16">
        <f t="shared" si="8"/>
        <v>84</v>
      </c>
      <c r="E172" s="16">
        <v>0</v>
      </c>
      <c r="F172" s="16">
        <v>0</v>
      </c>
      <c r="G172" s="16">
        <v>2</v>
      </c>
      <c r="H172" s="16">
        <v>3</v>
      </c>
      <c r="I172" s="16">
        <v>11</v>
      </c>
      <c r="J172" s="16">
        <f t="shared" si="9"/>
        <v>16</v>
      </c>
      <c r="K172" s="16">
        <f t="shared" si="10"/>
        <v>14.6</v>
      </c>
      <c r="L172" s="16">
        <f t="shared" si="11"/>
        <v>11</v>
      </c>
    </row>
    <row r="173" spans="2:15" x14ac:dyDescent="0.2">
      <c r="B173" s="63" t="s">
        <v>533</v>
      </c>
      <c r="C173" s="16">
        <v>1</v>
      </c>
      <c r="D173" s="16">
        <f t="shared" si="8"/>
        <v>70</v>
      </c>
      <c r="E173" s="16">
        <v>6</v>
      </c>
      <c r="F173" s="16">
        <v>2</v>
      </c>
      <c r="G173" s="16">
        <v>4</v>
      </c>
      <c r="H173" s="16">
        <v>3</v>
      </c>
      <c r="I173" s="16">
        <v>15</v>
      </c>
      <c r="J173" s="16">
        <f t="shared" si="9"/>
        <v>30</v>
      </c>
      <c r="K173" s="16">
        <f t="shared" si="10"/>
        <v>21.8</v>
      </c>
      <c r="L173" s="16">
        <f t="shared" si="11"/>
        <v>15</v>
      </c>
      <c r="M173" s="5">
        <f>AVERAGE((SUM(E173:I173)), (SUM(E174:I174)), (SUM(E175:I175)), (SUM(E176:I176)), (SUM(E177:I177)))</f>
        <v>21.2</v>
      </c>
      <c r="N173" s="5">
        <f>AVERAGE((SUM(D173*0+E173*1+F173*2+G173*3+H173*4+I173*5)/(5*100)*100), (SUM(D174*0+E174*1+F174*2+G174*3+H174*4+I174*5)/(5*100)*100), (SUM(D175*0+E175*1+F175*2+G175*3+H175*4+I175*5)/(5*100)*100), (SUM(D176*0+E176*1+F176*2+G176*3+H176*4+I176*5)/(5*100)*100), (SUM(D177*0+E177*1+F177*2+G177*3+H177*4+I177*5)/(5*100)*100))</f>
        <v>14.559999999999999</v>
      </c>
      <c r="O173" s="5">
        <f>AVERAGE(I173:I177)</f>
        <v>10.4</v>
      </c>
    </row>
    <row r="174" spans="2:15" x14ac:dyDescent="0.2">
      <c r="B174" s="63"/>
      <c r="C174" s="16">
        <v>2</v>
      </c>
      <c r="D174" s="16">
        <f t="shared" si="8"/>
        <v>40</v>
      </c>
      <c r="E174" s="16">
        <v>15</v>
      </c>
      <c r="F174" s="16">
        <v>5</v>
      </c>
      <c r="G174" s="16">
        <v>1</v>
      </c>
      <c r="H174" s="16">
        <v>2</v>
      </c>
      <c r="I174" s="16">
        <v>37</v>
      </c>
      <c r="J174" s="16">
        <f t="shared" si="9"/>
        <v>60</v>
      </c>
      <c r="K174" s="16">
        <f t="shared" si="10"/>
        <v>44.2</v>
      </c>
      <c r="L174" s="16">
        <f t="shared" si="11"/>
        <v>37</v>
      </c>
      <c r="M174" s="5"/>
      <c r="N174" s="5"/>
      <c r="O174" s="5"/>
    </row>
    <row r="175" spans="2:15" x14ac:dyDescent="0.2">
      <c r="B175" s="63"/>
      <c r="C175" s="16">
        <v>3</v>
      </c>
      <c r="D175" s="16">
        <f t="shared" si="8"/>
        <v>94</v>
      </c>
      <c r="E175" s="16">
        <v>1</v>
      </c>
      <c r="F175" s="16">
        <v>3</v>
      </c>
      <c r="G175" s="16">
        <v>2</v>
      </c>
      <c r="H175" s="16">
        <v>0</v>
      </c>
      <c r="I175" s="16">
        <v>0</v>
      </c>
      <c r="J175" s="16">
        <f t="shared" si="9"/>
        <v>6</v>
      </c>
      <c r="K175" s="16">
        <f t="shared" si="10"/>
        <v>2.6</v>
      </c>
      <c r="L175" s="16">
        <f t="shared" si="11"/>
        <v>0</v>
      </c>
      <c r="M175" s="5"/>
      <c r="N175" s="5"/>
      <c r="O175" s="5"/>
    </row>
    <row r="176" spans="2:15" x14ac:dyDescent="0.2">
      <c r="B176" s="63"/>
      <c r="C176" s="16">
        <v>4</v>
      </c>
      <c r="D176" s="16">
        <f t="shared" si="8"/>
        <v>94</v>
      </c>
      <c r="E176" s="16">
        <v>1</v>
      </c>
      <c r="F176" s="16">
        <v>4</v>
      </c>
      <c r="G176" s="16">
        <v>1</v>
      </c>
      <c r="H176" s="16">
        <v>0</v>
      </c>
      <c r="I176" s="16">
        <v>0</v>
      </c>
      <c r="J176" s="16">
        <f t="shared" si="9"/>
        <v>6</v>
      </c>
      <c r="K176" s="16">
        <f t="shared" si="10"/>
        <v>2.4</v>
      </c>
      <c r="L176" s="16">
        <f t="shared" si="11"/>
        <v>0</v>
      </c>
      <c r="M176" s="5"/>
      <c r="N176" s="5"/>
      <c r="O176" s="5"/>
    </row>
    <row r="177" spans="2:15" x14ac:dyDescent="0.2">
      <c r="B177" s="63"/>
      <c r="C177" s="16">
        <v>5</v>
      </c>
      <c r="D177" s="16">
        <f t="shared" si="8"/>
        <v>96</v>
      </c>
      <c r="E177" s="16">
        <v>1</v>
      </c>
      <c r="F177" s="16">
        <v>1</v>
      </c>
      <c r="G177" s="16">
        <v>2</v>
      </c>
      <c r="H177" s="16">
        <v>0</v>
      </c>
      <c r="I177" s="16">
        <v>0</v>
      </c>
      <c r="J177" s="16">
        <f t="shared" si="9"/>
        <v>4</v>
      </c>
      <c r="K177" s="16">
        <f t="shared" si="10"/>
        <v>1.7999999999999998</v>
      </c>
      <c r="L177" s="16">
        <f t="shared" si="11"/>
        <v>0</v>
      </c>
      <c r="M177" s="5"/>
      <c r="N177" s="5"/>
      <c r="O177" s="5"/>
    </row>
    <row r="178" spans="2:15" x14ac:dyDescent="0.2">
      <c r="B178" s="63" t="s">
        <v>534</v>
      </c>
      <c r="C178" s="16">
        <v>1</v>
      </c>
      <c r="D178" s="16">
        <f t="shared" si="8"/>
        <v>54</v>
      </c>
      <c r="E178" s="16">
        <v>0</v>
      </c>
      <c r="F178" s="16">
        <v>3</v>
      </c>
      <c r="G178" s="16">
        <v>4</v>
      </c>
      <c r="H178" s="16">
        <v>11</v>
      </c>
      <c r="I178" s="16">
        <v>28</v>
      </c>
      <c r="J178" s="16">
        <f t="shared" si="9"/>
        <v>46</v>
      </c>
      <c r="K178" s="16">
        <f t="shared" si="10"/>
        <v>40.400000000000006</v>
      </c>
      <c r="L178" s="16">
        <f t="shared" si="11"/>
        <v>28</v>
      </c>
      <c r="M178" s="5">
        <f>AVERAGE((SUM(E178:I178)), (SUM(E179:I179)), (SUM(E180:I180)), (SUM(E181:I181)), (SUM(E182:I182)))</f>
        <v>43</v>
      </c>
      <c r="N178" s="5">
        <f>AVERAGE((SUM(D178*0+E178*1+F178*2+G178*3+H178*4+I178*5)/(5*100)*100), (SUM(D179*0+E179*1+F179*2+G179*3+H179*4+I179*5)/(5*100)*100), (SUM(D180*0+E180*1+F180*2+G180*3+H180*4+I180*5)/(5*100)*100), (SUM(D181*0+E181*1+F181*2+G181*3+H181*4+I181*5)/(5*100)*100), (SUM(D182*0+E182*1+F182*2+G182*3+H182*4+I182*5)/(5*100)*100))</f>
        <v>35.760000000000005</v>
      </c>
      <c r="O178" s="5">
        <f>AVERAGE(I178:I182)</f>
        <v>25.6</v>
      </c>
    </row>
    <row r="179" spans="2:15" x14ac:dyDescent="0.2">
      <c r="B179" s="63"/>
      <c r="C179" s="16">
        <v>2</v>
      </c>
      <c r="D179" s="16">
        <f t="shared" si="8"/>
        <v>54</v>
      </c>
      <c r="E179" s="16">
        <v>0</v>
      </c>
      <c r="F179" s="16">
        <v>1</v>
      </c>
      <c r="G179" s="16">
        <v>4</v>
      </c>
      <c r="H179" s="16">
        <v>11</v>
      </c>
      <c r="I179" s="16">
        <v>30</v>
      </c>
      <c r="J179" s="16">
        <f t="shared" si="9"/>
        <v>46</v>
      </c>
      <c r="K179" s="16">
        <f t="shared" si="10"/>
        <v>41.6</v>
      </c>
      <c r="L179" s="16">
        <f t="shared" si="11"/>
        <v>30</v>
      </c>
      <c r="M179" s="5"/>
      <c r="N179" s="5"/>
      <c r="O179" s="5"/>
    </row>
    <row r="180" spans="2:15" x14ac:dyDescent="0.2">
      <c r="B180" s="63"/>
      <c r="C180" s="16">
        <v>3</v>
      </c>
      <c r="D180" s="16">
        <f t="shared" si="8"/>
        <v>55</v>
      </c>
      <c r="E180" s="16">
        <v>0</v>
      </c>
      <c r="F180" s="16">
        <v>2</v>
      </c>
      <c r="G180" s="16">
        <v>6</v>
      </c>
      <c r="H180" s="16">
        <v>9</v>
      </c>
      <c r="I180" s="16">
        <v>28</v>
      </c>
      <c r="J180" s="16">
        <f t="shared" si="9"/>
        <v>45</v>
      </c>
      <c r="K180" s="16">
        <f t="shared" si="10"/>
        <v>39.6</v>
      </c>
      <c r="L180" s="16">
        <f t="shared" si="11"/>
        <v>28</v>
      </c>
      <c r="M180" s="5"/>
      <c r="N180" s="5"/>
      <c r="O180" s="5"/>
    </row>
    <row r="181" spans="2:15" x14ac:dyDescent="0.2">
      <c r="B181" s="63"/>
      <c r="C181" s="16">
        <v>4</v>
      </c>
      <c r="D181" s="16">
        <f t="shared" si="8"/>
        <v>62</v>
      </c>
      <c r="E181" s="16">
        <v>9</v>
      </c>
      <c r="F181" s="16">
        <v>4</v>
      </c>
      <c r="G181" s="16">
        <v>1</v>
      </c>
      <c r="H181" s="16">
        <v>1</v>
      </c>
      <c r="I181" s="16">
        <v>23</v>
      </c>
      <c r="J181" s="16">
        <f t="shared" si="9"/>
        <v>38</v>
      </c>
      <c r="K181" s="16">
        <f t="shared" si="10"/>
        <v>27.800000000000004</v>
      </c>
      <c r="L181" s="16">
        <f t="shared" si="11"/>
        <v>23</v>
      </c>
      <c r="M181" s="5"/>
      <c r="N181" s="5"/>
      <c r="O181" s="5"/>
    </row>
    <row r="182" spans="2:15" x14ac:dyDescent="0.2">
      <c r="B182" s="63"/>
      <c r="C182" s="16">
        <v>5</v>
      </c>
      <c r="D182" s="16">
        <f t="shared" si="8"/>
        <v>60</v>
      </c>
      <c r="E182" s="16">
        <v>7</v>
      </c>
      <c r="F182" s="16">
        <v>2</v>
      </c>
      <c r="G182" s="16">
        <v>7</v>
      </c>
      <c r="H182" s="16">
        <v>5</v>
      </c>
      <c r="I182" s="16">
        <v>19</v>
      </c>
      <c r="J182" s="16">
        <f t="shared" si="9"/>
        <v>40</v>
      </c>
      <c r="K182" s="16">
        <f t="shared" si="10"/>
        <v>29.4</v>
      </c>
      <c r="L182" s="16">
        <f t="shared" si="11"/>
        <v>19</v>
      </c>
      <c r="M182" s="5"/>
      <c r="N182" s="5"/>
      <c r="O182" s="5"/>
    </row>
    <row r="183" spans="2:15" x14ac:dyDescent="0.2">
      <c r="B183" s="63" t="s">
        <v>535</v>
      </c>
      <c r="C183" s="16">
        <v>1</v>
      </c>
      <c r="D183" s="16">
        <f t="shared" si="8"/>
        <v>91</v>
      </c>
      <c r="E183" s="16">
        <v>6</v>
      </c>
      <c r="F183" s="16">
        <v>0</v>
      </c>
      <c r="G183" s="16">
        <v>2</v>
      </c>
      <c r="H183" s="16">
        <v>0</v>
      </c>
      <c r="I183" s="16">
        <v>1</v>
      </c>
      <c r="J183" s="16">
        <f t="shared" si="9"/>
        <v>9</v>
      </c>
      <c r="K183" s="16">
        <f t="shared" si="10"/>
        <v>3.4000000000000004</v>
      </c>
      <c r="L183" s="16">
        <f t="shared" si="11"/>
        <v>1</v>
      </c>
      <c r="M183" s="5">
        <f>AVERAGE((SUM(E183:I183)), (SUM(E184:I184)), (SUM(E185:I185)), (SUM(E186:I186)), (SUM(E187:I187)))</f>
        <v>11.4</v>
      </c>
      <c r="N183" s="5">
        <f>AVERAGE((SUM(D183*0+E183*1+F183*2+G183*3+H183*4+I183*5)/(5*100)*100), (SUM(D184*0+E184*1+F184*2+G184*3+H184*4+I184*5)/(5*100)*100), (SUM(D185*0+E185*1+F185*2+G185*3+H185*4+I185*5)/(5*100)*100), (SUM(D186*0+E186*1+F186*2+G186*3+H186*4+I186*5)/(5*100)*100), (SUM(D187*0+E187*1+F187*2+G187*3+H187*4+I187*5)/(5*100)*100))</f>
        <v>5.4</v>
      </c>
      <c r="O183" s="5">
        <f>AVERAGE(I183:I187)</f>
        <v>2</v>
      </c>
    </row>
    <row r="184" spans="2:15" x14ac:dyDescent="0.2">
      <c r="B184" s="63"/>
      <c r="C184" s="16">
        <v>2</v>
      </c>
      <c r="D184" s="16">
        <f t="shared" si="8"/>
        <v>89</v>
      </c>
      <c r="E184" s="16">
        <v>7</v>
      </c>
      <c r="F184" s="16">
        <v>1</v>
      </c>
      <c r="G184" s="16">
        <v>1</v>
      </c>
      <c r="H184" s="16">
        <v>0</v>
      </c>
      <c r="I184" s="16">
        <v>2</v>
      </c>
      <c r="J184" s="16">
        <f t="shared" si="9"/>
        <v>11</v>
      </c>
      <c r="K184" s="16">
        <f t="shared" si="10"/>
        <v>4.3999999999999995</v>
      </c>
      <c r="L184" s="16">
        <f t="shared" si="11"/>
        <v>2</v>
      </c>
      <c r="M184" s="5"/>
      <c r="N184" s="5"/>
      <c r="O184" s="5"/>
    </row>
    <row r="185" spans="2:15" x14ac:dyDescent="0.2">
      <c r="B185" s="63"/>
      <c r="C185" s="16">
        <v>3</v>
      </c>
      <c r="D185" s="16">
        <f t="shared" si="8"/>
        <v>85</v>
      </c>
      <c r="E185" s="16">
        <v>4</v>
      </c>
      <c r="F185" s="16">
        <v>2</v>
      </c>
      <c r="G185" s="16">
        <v>5</v>
      </c>
      <c r="H185" s="16">
        <v>2</v>
      </c>
      <c r="I185" s="16">
        <v>2</v>
      </c>
      <c r="J185" s="16">
        <f t="shared" si="9"/>
        <v>15</v>
      </c>
      <c r="K185" s="16">
        <f t="shared" si="10"/>
        <v>8.2000000000000011</v>
      </c>
      <c r="L185" s="16">
        <f t="shared" si="11"/>
        <v>2</v>
      </c>
      <c r="M185" s="5"/>
      <c r="N185" s="5"/>
      <c r="O185" s="5"/>
    </row>
    <row r="186" spans="2:15" x14ac:dyDescent="0.2">
      <c r="B186" s="63"/>
      <c r="C186" s="16">
        <v>4</v>
      </c>
      <c r="D186" s="16">
        <f t="shared" si="8"/>
        <v>94</v>
      </c>
      <c r="E186" s="16">
        <v>4</v>
      </c>
      <c r="F186" s="16">
        <v>1</v>
      </c>
      <c r="G186" s="16">
        <v>0</v>
      </c>
      <c r="H186" s="16">
        <v>1</v>
      </c>
      <c r="I186" s="16">
        <v>0</v>
      </c>
      <c r="J186" s="16">
        <f t="shared" si="9"/>
        <v>6</v>
      </c>
      <c r="K186" s="16">
        <f t="shared" si="10"/>
        <v>2</v>
      </c>
      <c r="L186" s="16">
        <f t="shared" si="11"/>
        <v>0</v>
      </c>
      <c r="M186" s="5"/>
      <c r="N186" s="5"/>
      <c r="O186" s="5"/>
    </row>
    <row r="187" spans="2:15" x14ac:dyDescent="0.2">
      <c r="B187" s="63"/>
      <c r="C187" s="16">
        <v>5</v>
      </c>
      <c r="D187" s="16">
        <f t="shared" si="8"/>
        <v>84</v>
      </c>
      <c r="E187" s="16">
        <v>5</v>
      </c>
      <c r="F187" s="16">
        <v>4</v>
      </c>
      <c r="G187" s="16">
        <v>1</v>
      </c>
      <c r="H187" s="16">
        <v>1</v>
      </c>
      <c r="I187" s="16">
        <v>5</v>
      </c>
      <c r="J187" s="16">
        <f t="shared" si="9"/>
        <v>16</v>
      </c>
      <c r="K187" s="16">
        <f t="shared" si="10"/>
        <v>9</v>
      </c>
      <c r="L187" s="16">
        <f t="shared" si="11"/>
        <v>5</v>
      </c>
      <c r="M187" s="5"/>
      <c r="N187" s="5"/>
      <c r="O187" s="5"/>
    </row>
    <row r="188" spans="2:15" x14ac:dyDescent="0.2">
      <c r="B188" s="63" t="s">
        <v>536</v>
      </c>
      <c r="C188" s="16">
        <v>1</v>
      </c>
      <c r="D188" s="16">
        <f t="shared" si="8"/>
        <v>79</v>
      </c>
      <c r="E188" s="16">
        <v>16</v>
      </c>
      <c r="F188" s="16">
        <v>3</v>
      </c>
      <c r="G188" s="16">
        <v>2</v>
      </c>
      <c r="H188" s="16">
        <v>0</v>
      </c>
      <c r="I188" s="16">
        <v>0</v>
      </c>
      <c r="J188" s="16">
        <f t="shared" si="9"/>
        <v>21</v>
      </c>
      <c r="K188" s="16">
        <f t="shared" si="10"/>
        <v>5.6000000000000005</v>
      </c>
      <c r="L188" s="16">
        <f t="shared" si="11"/>
        <v>0</v>
      </c>
      <c r="M188" s="5">
        <f>AVERAGE((SUM(E188:I188)), (SUM(E189:I189)), (SUM(E190:I190)), (SUM(E191:I191)), (SUM(E192:I192)))</f>
        <v>16.2</v>
      </c>
      <c r="N188" s="5">
        <f>AVERAGE((SUM(D188*0+E188*1+F188*2+G188*3+H188*4+I188*5)/(5*100)*100), (SUM(D189*0+E189*1+F189*2+G189*3+H189*4+I189*5)/(5*100)*100), (SUM(D190*0+E190*1+F190*2+G190*3+H190*4+I190*5)/(5*100)*100), (SUM(D191*0+E191*1+F191*2+G191*3+H191*4+I191*5)/(5*100)*100), (SUM(D192*0+E192*1+F192*2+G192*3+H192*4+I192*5)/(5*100)*100))</f>
        <v>6.92</v>
      </c>
      <c r="O188" s="5">
        <f>AVERAGE(I188:I192)</f>
        <v>1.8</v>
      </c>
    </row>
    <row r="189" spans="2:15" x14ac:dyDescent="0.2">
      <c r="B189" s="63"/>
      <c r="C189" s="16">
        <v>2</v>
      </c>
      <c r="D189" s="16">
        <f t="shared" si="8"/>
        <v>67</v>
      </c>
      <c r="E189" s="16">
        <v>17</v>
      </c>
      <c r="F189" s="16">
        <v>4</v>
      </c>
      <c r="G189" s="16">
        <v>6</v>
      </c>
      <c r="H189" s="16">
        <v>3</v>
      </c>
      <c r="I189" s="16">
        <v>3</v>
      </c>
      <c r="J189" s="16">
        <f t="shared" si="9"/>
        <v>33</v>
      </c>
      <c r="K189" s="16">
        <f t="shared" si="10"/>
        <v>14.000000000000002</v>
      </c>
      <c r="L189" s="16">
        <f t="shared" si="11"/>
        <v>3</v>
      </c>
      <c r="M189" s="5"/>
      <c r="N189" s="5"/>
      <c r="O189" s="5"/>
    </row>
    <row r="190" spans="2:15" x14ac:dyDescent="0.2">
      <c r="B190" s="63"/>
      <c r="C190" s="16">
        <v>3</v>
      </c>
      <c r="D190" s="16">
        <f t="shared" si="8"/>
        <v>92</v>
      </c>
      <c r="E190" s="16">
        <v>2</v>
      </c>
      <c r="F190" s="16">
        <v>2</v>
      </c>
      <c r="G190" s="16">
        <v>0</v>
      </c>
      <c r="H190" s="16">
        <v>2</v>
      </c>
      <c r="I190" s="16">
        <v>2</v>
      </c>
      <c r="J190" s="16">
        <f t="shared" si="9"/>
        <v>8</v>
      </c>
      <c r="K190" s="16">
        <f t="shared" si="10"/>
        <v>4.8</v>
      </c>
      <c r="L190" s="16">
        <f t="shared" si="11"/>
        <v>2</v>
      </c>
      <c r="M190" s="5"/>
      <c r="N190" s="5"/>
      <c r="O190" s="5"/>
    </row>
    <row r="191" spans="2:15" x14ac:dyDescent="0.2">
      <c r="B191" s="63"/>
      <c r="C191" s="16">
        <v>4</v>
      </c>
      <c r="D191" s="16">
        <f t="shared" si="8"/>
        <v>91</v>
      </c>
      <c r="E191" s="16">
        <v>3</v>
      </c>
      <c r="F191" s="16">
        <v>3</v>
      </c>
      <c r="G191" s="16">
        <v>0</v>
      </c>
      <c r="H191" s="16">
        <v>2</v>
      </c>
      <c r="I191" s="16">
        <v>1</v>
      </c>
      <c r="J191" s="16">
        <f t="shared" si="9"/>
        <v>9</v>
      </c>
      <c r="K191" s="16">
        <f t="shared" si="10"/>
        <v>4.3999999999999995</v>
      </c>
      <c r="L191" s="16">
        <f t="shared" si="11"/>
        <v>1</v>
      </c>
      <c r="M191" s="5"/>
      <c r="N191" s="5"/>
      <c r="O191" s="5"/>
    </row>
    <row r="192" spans="2:15" x14ac:dyDescent="0.2">
      <c r="B192" s="63"/>
      <c r="C192" s="16">
        <v>5</v>
      </c>
      <c r="D192" s="16">
        <f t="shared" si="8"/>
        <v>90</v>
      </c>
      <c r="E192" s="16">
        <v>3</v>
      </c>
      <c r="F192" s="16">
        <v>2</v>
      </c>
      <c r="G192" s="16">
        <v>1</v>
      </c>
      <c r="H192" s="16">
        <v>1</v>
      </c>
      <c r="I192" s="16">
        <v>3</v>
      </c>
      <c r="J192" s="16">
        <f t="shared" si="9"/>
        <v>10</v>
      </c>
      <c r="K192" s="16">
        <f t="shared" si="10"/>
        <v>5.8000000000000007</v>
      </c>
      <c r="L192" s="16">
        <f t="shared" si="11"/>
        <v>3</v>
      </c>
      <c r="M192" s="5"/>
      <c r="N192" s="5"/>
      <c r="O192" s="5"/>
    </row>
    <row r="193" spans="2:15" x14ac:dyDescent="0.2">
      <c r="B193" s="63" t="s">
        <v>537</v>
      </c>
      <c r="C193" s="16">
        <v>1</v>
      </c>
      <c r="D193" s="16">
        <f t="shared" si="8"/>
        <v>95</v>
      </c>
      <c r="E193" s="16">
        <v>2</v>
      </c>
      <c r="F193" s="16">
        <v>1</v>
      </c>
      <c r="G193" s="16">
        <v>0</v>
      </c>
      <c r="H193" s="16">
        <v>2</v>
      </c>
      <c r="I193" s="16">
        <v>0</v>
      </c>
      <c r="J193" s="16">
        <f t="shared" si="9"/>
        <v>5</v>
      </c>
      <c r="K193" s="16">
        <f t="shared" si="10"/>
        <v>2.4</v>
      </c>
      <c r="L193" s="16">
        <f t="shared" si="11"/>
        <v>0</v>
      </c>
      <c r="M193" s="5">
        <f>AVERAGE((SUM(E193:I193)), (SUM(E194:I194)), (SUM(E195:I195)), (SUM(E196:I196)), (SUM(E197:I197)))</f>
        <v>3.6</v>
      </c>
      <c r="N193" s="5">
        <f>AVERAGE((SUM(D193*0+E193*1+F193*2+G193*3+H193*4+I193*5)/(5*100)*100), (SUM(D194*0+E194*1+F194*2+G194*3+H194*4+I194*5)/(5*100)*100), (SUM(D195*0+E195*1+F195*2+G195*3+H195*4+I195*5)/(5*100)*100), (SUM(D196*0+E196*1+F196*2+G196*3+H196*4+I196*5)/(5*100)*100), (SUM(D197*0+E197*1+F197*2+G197*3+H197*4+I197*5)/(5*100)*100))</f>
        <v>2.3600000000000003</v>
      </c>
      <c r="O193" s="5">
        <f>AVERAGE(I193:I197)</f>
        <v>1</v>
      </c>
    </row>
    <row r="194" spans="2:15" x14ac:dyDescent="0.2">
      <c r="B194" s="63"/>
      <c r="C194" s="16">
        <v>2</v>
      </c>
      <c r="D194" s="16">
        <f t="shared" si="8"/>
        <v>97</v>
      </c>
      <c r="E194" s="16">
        <v>1</v>
      </c>
      <c r="F194" s="16">
        <v>1</v>
      </c>
      <c r="G194" s="16">
        <v>1</v>
      </c>
      <c r="H194" s="16">
        <v>0</v>
      </c>
      <c r="I194" s="16">
        <v>0</v>
      </c>
      <c r="J194" s="16">
        <f t="shared" si="9"/>
        <v>3</v>
      </c>
      <c r="K194" s="16">
        <f t="shared" si="10"/>
        <v>1.2</v>
      </c>
      <c r="L194" s="16">
        <f t="shared" si="11"/>
        <v>0</v>
      </c>
      <c r="M194" s="5"/>
      <c r="N194" s="5"/>
      <c r="O194" s="5"/>
    </row>
    <row r="195" spans="2:15" x14ac:dyDescent="0.2">
      <c r="B195" s="63"/>
      <c r="C195" s="16">
        <v>3</v>
      </c>
      <c r="D195" s="16">
        <f t="shared" ref="D195:D258" si="12">100-(SUM(E195:I195))</f>
        <v>91</v>
      </c>
      <c r="E195" s="16">
        <v>0</v>
      </c>
      <c r="F195" s="16">
        <v>1</v>
      </c>
      <c r="G195" s="16">
        <v>1</v>
      </c>
      <c r="H195" s="16">
        <v>3</v>
      </c>
      <c r="I195" s="16">
        <v>4</v>
      </c>
      <c r="J195" s="16">
        <f t="shared" si="9"/>
        <v>9</v>
      </c>
      <c r="K195" s="16">
        <f t="shared" si="10"/>
        <v>7.3999999999999995</v>
      </c>
      <c r="L195" s="16">
        <f t="shared" si="11"/>
        <v>4</v>
      </c>
      <c r="M195" s="5"/>
      <c r="N195" s="5"/>
      <c r="O195" s="5"/>
    </row>
    <row r="196" spans="2:15" x14ac:dyDescent="0.2">
      <c r="B196" s="63"/>
      <c r="C196" s="16">
        <v>4</v>
      </c>
      <c r="D196" s="16">
        <f t="shared" si="12"/>
        <v>99</v>
      </c>
      <c r="E196" s="16">
        <v>0</v>
      </c>
      <c r="F196" s="16">
        <v>0</v>
      </c>
      <c r="G196" s="16">
        <v>0</v>
      </c>
      <c r="H196" s="16">
        <v>1</v>
      </c>
      <c r="I196" s="16">
        <v>0</v>
      </c>
      <c r="J196" s="16">
        <f t="shared" ref="J196:J259" si="13">SUM(E196:I196)</f>
        <v>1</v>
      </c>
      <c r="K196" s="16">
        <f t="shared" ref="K196:K259" si="14">AVERAGE(SUM(E196*1,F196*2,G196*3,H196*4,I196*5))/(5*100)*100</f>
        <v>0.8</v>
      </c>
      <c r="L196" s="16">
        <f t="shared" ref="L196:L259" si="15">I196</f>
        <v>0</v>
      </c>
      <c r="M196" s="5"/>
      <c r="N196" s="5"/>
      <c r="O196" s="5"/>
    </row>
    <row r="197" spans="2:15" x14ac:dyDescent="0.2">
      <c r="B197" s="63"/>
      <c r="C197" s="16">
        <v>5</v>
      </c>
      <c r="D197" s="16">
        <f t="shared" si="12"/>
        <v>100</v>
      </c>
      <c r="E197" s="16"/>
      <c r="F197" s="16"/>
      <c r="G197" s="16"/>
      <c r="H197" s="16"/>
      <c r="I197" s="16"/>
      <c r="J197" s="16">
        <f t="shared" si="13"/>
        <v>0</v>
      </c>
      <c r="K197" s="16">
        <f t="shared" si="14"/>
        <v>0</v>
      </c>
      <c r="L197" s="16">
        <f t="shared" si="15"/>
        <v>0</v>
      </c>
      <c r="M197" s="5"/>
      <c r="N197" s="5"/>
      <c r="O197" s="5"/>
    </row>
    <row r="198" spans="2:15" x14ac:dyDescent="0.2">
      <c r="B198" s="63" t="s">
        <v>538</v>
      </c>
      <c r="C198" s="16">
        <v>1</v>
      </c>
      <c r="D198" s="16">
        <f t="shared" si="12"/>
        <v>91</v>
      </c>
      <c r="E198" s="16">
        <v>2</v>
      </c>
      <c r="F198" s="16">
        <v>0</v>
      </c>
      <c r="G198" s="16">
        <v>0</v>
      </c>
      <c r="H198" s="16">
        <v>1</v>
      </c>
      <c r="I198" s="16">
        <v>6</v>
      </c>
      <c r="J198" s="16">
        <f t="shared" si="13"/>
        <v>9</v>
      </c>
      <c r="K198" s="16">
        <f t="shared" si="14"/>
        <v>7.1999999999999993</v>
      </c>
      <c r="L198" s="16">
        <f t="shared" si="15"/>
        <v>6</v>
      </c>
      <c r="M198" s="5">
        <f>AVERAGE((SUM(E198:I198)), (SUM(E199:I199)), (SUM(E200:I200)), (SUM(E201:I201)), (SUM(E202:I202)))</f>
        <v>16</v>
      </c>
      <c r="N198" s="5">
        <f>AVERAGE((SUM(D198*0+E198*1+F198*2+G198*3+H198*4+I198*5)/(5*100)*100), (SUM(D199*0+E199*1+F199*2+G199*3+H199*4+I199*5)/(5*100)*100), (SUM(D200*0+E200*1+F200*2+G200*3+H200*4+I200*5)/(5*100)*100), (SUM(D201*0+E201*1+F201*2+G201*3+H201*4+I201*5)/(5*100)*100), (SUM(D202*0+E202*1+F202*2+G202*3+H202*4+I202*5)/(5*100)*100))</f>
        <v>7.1599999999999993</v>
      </c>
      <c r="O198" s="5">
        <f>AVERAGE(I198:I202)</f>
        <v>2.75</v>
      </c>
    </row>
    <row r="199" spans="2:15" x14ac:dyDescent="0.2">
      <c r="B199" s="63"/>
      <c r="C199" s="16">
        <v>2</v>
      </c>
      <c r="D199" s="16">
        <f t="shared" si="12"/>
        <v>90</v>
      </c>
      <c r="E199" s="16">
        <v>2</v>
      </c>
      <c r="F199" s="16">
        <v>1</v>
      </c>
      <c r="G199" s="16">
        <v>0</v>
      </c>
      <c r="H199" s="16">
        <v>3</v>
      </c>
      <c r="I199" s="16">
        <v>4</v>
      </c>
      <c r="J199" s="16">
        <f t="shared" si="13"/>
        <v>10</v>
      </c>
      <c r="K199" s="16">
        <f t="shared" si="14"/>
        <v>7.1999999999999993</v>
      </c>
      <c r="L199" s="16">
        <f t="shared" si="15"/>
        <v>4</v>
      </c>
      <c r="M199" s="5"/>
      <c r="N199" s="5"/>
      <c r="O199" s="5"/>
    </row>
    <row r="200" spans="2:15" x14ac:dyDescent="0.2">
      <c r="B200" s="63"/>
      <c r="C200" s="16">
        <v>3</v>
      </c>
      <c r="D200" s="16">
        <f t="shared" si="12"/>
        <v>88</v>
      </c>
      <c r="E200" s="16">
        <v>3</v>
      </c>
      <c r="F200" s="16">
        <v>7</v>
      </c>
      <c r="G200" s="16">
        <v>2</v>
      </c>
      <c r="H200" s="16">
        <v>0</v>
      </c>
      <c r="I200" s="16">
        <v>0</v>
      </c>
      <c r="J200" s="16">
        <f t="shared" si="13"/>
        <v>12</v>
      </c>
      <c r="K200" s="16">
        <f t="shared" si="14"/>
        <v>4.5999999999999996</v>
      </c>
      <c r="L200" s="16">
        <f t="shared" si="15"/>
        <v>0</v>
      </c>
      <c r="M200" s="5"/>
      <c r="N200" s="5"/>
      <c r="O200" s="5"/>
    </row>
    <row r="201" spans="2:15" x14ac:dyDescent="0.2">
      <c r="B201" s="63"/>
      <c r="C201" s="16">
        <v>4</v>
      </c>
      <c r="D201" s="16">
        <f t="shared" si="12"/>
        <v>51</v>
      </c>
      <c r="E201" s="16">
        <v>26</v>
      </c>
      <c r="F201" s="16">
        <v>14</v>
      </c>
      <c r="G201" s="16">
        <v>7</v>
      </c>
      <c r="H201" s="16">
        <v>1</v>
      </c>
      <c r="I201" s="16">
        <v>1</v>
      </c>
      <c r="J201" s="16">
        <f t="shared" si="13"/>
        <v>49</v>
      </c>
      <c r="K201" s="16">
        <f t="shared" si="14"/>
        <v>16.8</v>
      </c>
      <c r="L201" s="16">
        <f t="shared" si="15"/>
        <v>1</v>
      </c>
      <c r="M201" s="5"/>
      <c r="N201" s="5"/>
      <c r="O201" s="5"/>
    </row>
    <row r="202" spans="2:15" x14ac:dyDescent="0.2">
      <c r="B202" s="63"/>
      <c r="C202" s="16">
        <v>5</v>
      </c>
      <c r="D202" s="16">
        <f t="shared" si="12"/>
        <v>100</v>
      </c>
      <c r="E202" s="16"/>
      <c r="F202" s="16"/>
      <c r="G202" s="16"/>
      <c r="H202" s="16"/>
      <c r="I202" s="16"/>
      <c r="J202" s="16">
        <f t="shared" si="13"/>
        <v>0</v>
      </c>
      <c r="K202" s="16">
        <f t="shared" si="14"/>
        <v>0</v>
      </c>
      <c r="L202" s="16">
        <f t="shared" si="15"/>
        <v>0</v>
      </c>
      <c r="M202" s="5"/>
      <c r="N202" s="5"/>
      <c r="O202" s="5"/>
    </row>
    <row r="203" spans="2:15" x14ac:dyDescent="0.2">
      <c r="B203" s="63" t="s">
        <v>539</v>
      </c>
      <c r="C203" s="16">
        <v>1</v>
      </c>
      <c r="D203" s="16">
        <f t="shared" si="12"/>
        <v>76</v>
      </c>
      <c r="E203" s="16">
        <v>12</v>
      </c>
      <c r="F203" s="16">
        <v>3</v>
      </c>
      <c r="G203" s="16">
        <v>1</v>
      </c>
      <c r="H203" s="16">
        <v>3</v>
      </c>
      <c r="I203" s="16">
        <v>5</v>
      </c>
      <c r="J203" s="16">
        <f t="shared" si="13"/>
        <v>24</v>
      </c>
      <c r="K203" s="16">
        <f t="shared" si="14"/>
        <v>11.600000000000001</v>
      </c>
      <c r="L203" s="16">
        <f t="shared" si="15"/>
        <v>5</v>
      </c>
      <c r="M203" s="5">
        <f>AVERAGE((SUM(E203:I203)), (SUM(E204:I204)), (SUM(E205:I205)), (SUM(E206:I206)), (SUM(E207:I207)))</f>
        <v>11.8</v>
      </c>
      <c r="N203" s="5">
        <f>AVERAGE((SUM(D203*0+E203*1+F203*2+G203*3+H203*4+I203*5)/(5*100)*100), (SUM(D204*0+E204*1+F204*2+G204*3+H204*4+I204*5)/(5*100)*100), (SUM(D205*0+E205*1+F205*2+G205*3+H205*4+I205*5)/(5*100)*100), (SUM(D206*0+E206*1+F206*2+G206*3+H206*4+I206*5)/(5*100)*100), (SUM(D207*0+E207*1+F207*2+G207*3+H207*4+I207*5)/(5*100)*100))</f>
        <v>4.9600000000000009</v>
      </c>
      <c r="O203" s="5">
        <f>AVERAGE(I203:I207)</f>
        <v>1.75</v>
      </c>
    </row>
    <row r="204" spans="2:15" x14ac:dyDescent="0.2">
      <c r="B204" s="63"/>
      <c r="C204" s="16">
        <v>2</v>
      </c>
      <c r="D204" s="16">
        <f t="shared" si="12"/>
        <v>88</v>
      </c>
      <c r="E204" s="16">
        <v>6</v>
      </c>
      <c r="F204" s="16">
        <v>2</v>
      </c>
      <c r="G204" s="16">
        <v>3</v>
      </c>
      <c r="H204" s="16">
        <v>1</v>
      </c>
      <c r="I204" s="16">
        <v>0</v>
      </c>
      <c r="J204" s="16">
        <f t="shared" si="13"/>
        <v>12</v>
      </c>
      <c r="K204" s="16">
        <f t="shared" si="14"/>
        <v>4.5999999999999996</v>
      </c>
      <c r="L204" s="16">
        <f t="shared" si="15"/>
        <v>0</v>
      </c>
      <c r="M204" s="5"/>
      <c r="N204" s="5"/>
      <c r="O204" s="5"/>
    </row>
    <row r="205" spans="2:15" x14ac:dyDescent="0.2">
      <c r="B205" s="63"/>
      <c r="C205" s="16">
        <v>3</v>
      </c>
      <c r="D205" s="16">
        <f t="shared" si="12"/>
        <v>90</v>
      </c>
      <c r="E205" s="16">
        <v>6</v>
      </c>
      <c r="F205" s="16">
        <v>2</v>
      </c>
      <c r="G205" s="16">
        <v>0</v>
      </c>
      <c r="H205" s="16">
        <v>1</v>
      </c>
      <c r="I205" s="16">
        <v>1</v>
      </c>
      <c r="J205" s="16">
        <f t="shared" si="13"/>
        <v>10</v>
      </c>
      <c r="K205" s="16">
        <f t="shared" si="14"/>
        <v>3.8</v>
      </c>
      <c r="L205" s="16">
        <f t="shared" si="15"/>
        <v>1</v>
      </c>
      <c r="M205" s="5"/>
      <c r="N205" s="5"/>
      <c r="O205" s="5"/>
    </row>
    <row r="206" spans="2:15" x14ac:dyDescent="0.2">
      <c r="B206" s="63"/>
      <c r="C206" s="16">
        <v>4</v>
      </c>
      <c r="D206" s="16">
        <f t="shared" si="12"/>
        <v>87</v>
      </c>
      <c r="E206" s="16">
        <v>7</v>
      </c>
      <c r="F206" s="16">
        <v>3</v>
      </c>
      <c r="G206" s="16">
        <v>2</v>
      </c>
      <c r="H206" s="16">
        <v>0</v>
      </c>
      <c r="I206" s="16">
        <v>1</v>
      </c>
      <c r="J206" s="16">
        <f t="shared" si="13"/>
        <v>13</v>
      </c>
      <c r="K206" s="16">
        <f t="shared" si="14"/>
        <v>4.8</v>
      </c>
      <c r="L206" s="16">
        <f t="shared" si="15"/>
        <v>1</v>
      </c>
      <c r="M206" s="5"/>
      <c r="N206" s="5"/>
      <c r="O206" s="5"/>
    </row>
    <row r="207" spans="2:15" x14ac:dyDescent="0.2">
      <c r="B207" s="63"/>
      <c r="C207" s="16">
        <v>5</v>
      </c>
      <c r="D207" s="16">
        <f t="shared" si="12"/>
        <v>100</v>
      </c>
      <c r="E207" s="16"/>
      <c r="F207" s="16"/>
      <c r="G207" s="16"/>
      <c r="H207" s="16"/>
      <c r="I207" s="16"/>
      <c r="J207" s="16">
        <f t="shared" si="13"/>
        <v>0</v>
      </c>
      <c r="K207" s="16">
        <f t="shared" si="14"/>
        <v>0</v>
      </c>
      <c r="L207" s="16">
        <f t="shared" si="15"/>
        <v>0</v>
      </c>
      <c r="M207" s="5"/>
      <c r="N207" s="5"/>
      <c r="O207" s="5"/>
    </row>
    <row r="208" spans="2:15" x14ac:dyDescent="0.2">
      <c r="B208" s="63" t="s">
        <v>540</v>
      </c>
      <c r="C208" s="16">
        <v>1</v>
      </c>
      <c r="D208" s="16">
        <f t="shared" si="12"/>
        <v>89</v>
      </c>
      <c r="E208" s="16">
        <v>1</v>
      </c>
      <c r="F208" s="16">
        <v>3</v>
      </c>
      <c r="G208" s="16">
        <v>1</v>
      </c>
      <c r="H208" s="16">
        <v>4</v>
      </c>
      <c r="I208" s="16">
        <v>2</v>
      </c>
      <c r="J208" s="16">
        <f t="shared" si="13"/>
        <v>11</v>
      </c>
      <c r="K208" s="16">
        <f t="shared" si="14"/>
        <v>7.1999999999999993</v>
      </c>
      <c r="L208" s="16">
        <f t="shared" si="15"/>
        <v>2</v>
      </c>
      <c r="M208" s="5">
        <f>AVERAGE((SUM(E208:I208)), (SUM(E209:I209)), (SUM(E210:I210)), (SUM(E211:I211)), (SUM(E212:I212)))</f>
        <v>11</v>
      </c>
      <c r="N208" s="5">
        <f>AVERAGE((SUM(D208*0+E208*1+F208*2+G208*3+H208*4+I208*5)/(5*100)*100), (SUM(D209*0+E209*1+F209*2+G209*3+H209*4+I209*5)/(5*100)*100), (SUM(D210*0+E210*1+F210*2+G210*3+H210*4+I210*5)/(5*100)*100), (SUM(D211*0+E211*1+F211*2+G211*3+H211*4+I211*5)/(5*100)*100), (SUM(D212*0+E212*1+F212*2+G212*3+H212*4+I212*5)/(5*100)*100))</f>
        <v>7.7199999999999989</v>
      </c>
      <c r="O208" s="5">
        <f>AVERAGE(I208:I212)</f>
        <v>3.4</v>
      </c>
    </row>
    <row r="209" spans="2:15" x14ac:dyDescent="0.2">
      <c r="B209" s="63"/>
      <c r="C209" s="16">
        <v>2</v>
      </c>
      <c r="D209" s="16">
        <f t="shared" si="12"/>
        <v>91</v>
      </c>
      <c r="E209" s="16">
        <v>0</v>
      </c>
      <c r="F209" s="16">
        <v>0</v>
      </c>
      <c r="G209" s="16">
        <v>0</v>
      </c>
      <c r="H209" s="16">
        <v>4</v>
      </c>
      <c r="I209" s="16">
        <v>5</v>
      </c>
      <c r="J209" s="16">
        <f t="shared" si="13"/>
        <v>9</v>
      </c>
      <c r="K209" s="16">
        <f t="shared" si="14"/>
        <v>8.2000000000000011</v>
      </c>
      <c r="L209" s="16">
        <f t="shared" si="15"/>
        <v>5</v>
      </c>
      <c r="M209" s="5"/>
      <c r="N209" s="5"/>
      <c r="O209" s="5"/>
    </row>
    <row r="210" spans="2:15" x14ac:dyDescent="0.2">
      <c r="B210" s="63"/>
      <c r="C210" s="16">
        <v>3</v>
      </c>
      <c r="D210" s="16">
        <f t="shared" si="12"/>
        <v>93</v>
      </c>
      <c r="E210" s="16">
        <v>4</v>
      </c>
      <c r="F210" s="16">
        <v>0</v>
      </c>
      <c r="G210" s="16">
        <v>0</v>
      </c>
      <c r="H210" s="16">
        <v>0</v>
      </c>
      <c r="I210" s="16">
        <v>3</v>
      </c>
      <c r="J210" s="16">
        <f t="shared" si="13"/>
        <v>7</v>
      </c>
      <c r="K210" s="16">
        <f t="shared" si="14"/>
        <v>3.8</v>
      </c>
      <c r="L210" s="16">
        <f t="shared" si="15"/>
        <v>3</v>
      </c>
      <c r="M210" s="5"/>
      <c r="N210" s="5"/>
      <c r="O210" s="5"/>
    </row>
    <row r="211" spans="2:15" x14ac:dyDescent="0.2">
      <c r="B211" s="63"/>
      <c r="C211" s="16">
        <v>4</v>
      </c>
      <c r="D211" s="16">
        <f t="shared" si="12"/>
        <v>86</v>
      </c>
      <c r="E211" s="16">
        <v>2</v>
      </c>
      <c r="F211" s="16">
        <v>2</v>
      </c>
      <c r="G211" s="16">
        <v>2</v>
      </c>
      <c r="H211" s="16">
        <v>4</v>
      </c>
      <c r="I211" s="16">
        <v>4</v>
      </c>
      <c r="J211" s="16">
        <f t="shared" si="13"/>
        <v>14</v>
      </c>
      <c r="K211" s="16">
        <f t="shared" si="14"/>
        <v>9.6</v>
      </c>
      <c r="L211" s="16">
        <f t="shared" si="15"/>
        <v>4</v>
      </c>
      <c r="M211" s="5"/>
      <c r="N211" s="5"/>
      <c r="O211" s="5"/>
    </row>
    <row r="212" spans="2:15" x14ac:dyDescent="0.2">
      <c r="B212" s="63"/>
      <c r="C212" s="16">
        <v>5</v>
      </c>
      <c r="D212" s="16">
        <f t="shared" si="12"/>
        <v>86</v>
      </c>
      <c r="E212" s="16">
        <v>2</v>
      </c>
      <c r="F212" s="16">
        <v>2</v>
      </c>
      <c r="G212" s="16">
        <v>0</v>
      </c>
      <c r="H212" s="16">
        <v>7</v>
      </c>
      <c r="I212" s="16">
        <v>3</v>
      </c>
      <c r="J212" s="16">
        <f t="shared" si="13"/>
        <v>14</v>
      </c>
      <c r="K212" s="16">
        <f t="shared" si="14"/>
        <v>9.8000000000000007</v>
      </c>
      <c r="L212" s="16">
        <f t="shared" si="15"/>
        <v>3</v>
      </c>
      <c r="M212" s="5"/>
      <c r="N212" s="5"/>
      <c r="O212" s="5"/>
    </row>
    <row r="213" spans="2:15" x14ac:dyDescent="0.2">
      <c r="B213" s="63" t="s">
        <v>541</v>
      </c>
      <c r="C213" s="16">
        <v>1</v>
      </c>
      <c r="D213" s="16">
        <f t="shared" si="12"/>
        <v>74</v>
      </c>
      <c r="E213" s="16">
        <v>22</v>
      </c>
      <c r="F213" s="16">
        <v>2</v>
      </c>
      <c r="G213" s="16">
        <v>0</v>
      </c>
      <c r="H213" s="16">
        <v>0</v>
      </c>
      <c r="I213" s="16">
        <v>2</v>
      </c>
      <c r="J213" s="16">
        <f t="shared" si="13"/>
        <v>26</v>
      </c>
      <c r="K213" s="16">
        <f t="shared" si="14"/>
        <v>7.1999999999999993</v>
      </c>
      <c r="L213" s="16">
        <f t="shared" si="15"/>
        <v>2</v>
      </c>
      <c r="M213" s="5">
        <f>AVERAGE((SUM(E213:I213)), (SUM(E214:I214)), (SUM(E215:I215)), (SUM(E216:I216)), (SUM(E217:I217)))</f>
        <v>42</v>
      </c>
      <c r="N213" s="5">
        <f>AVERAGE((SUM(D213*0+E213*1+F213*2+G213*3+H213*4+I213*5)/(5*100)*100), (SUM(D214*0+E214*1+F214*2+G214*3+H214*4+I214*5)/(5*100)*100), (SUM(D215*0+E215*1+F215*2+G215*3+H215*4+I215*5)/(5*100)*100), (SUM(D216*0+E216*1+F216*2+G216*3+H216*4+I216*5)/(5*100)*100), (SUM(D217*0+E217*1+F217*2+G217*3+H217*4+I217*5)/(5*100)*100))</f>
        <v>15.12</v>
      </c>
      <c r="O213" s="5">
        <f>AVERAGE(I213:I217)</f>
        <v>4.5999999999999996</v>
      </c>
    </row>
    <row r="214" spans="2:15" x14ac:dyDescent="0.2">
      <c r="B214" s="63"/>
      <c r="C214" s="16">
        <v>2</v>
      </c>
      <c r="D214" s="16">
        <f t="shared" si="12"/>
        <v>53</v>
      </c>
      <c r="E214" s="16">
        <v>24</v>
      </c>
      <c r="F214" s="16">
        <v>12</v>
      </c>
      <c r="G214" s="16">
        <v>5</v>
      </c>
      <c r="H214" s="16">
        <v>0</v>
      </c>
      <c r="I214" s="16">
        <v>6</v>
      </c>
      <c r="J214" s="16">
        <f t="shared" si="13"/>
        <v>47</v>
      </c>
      <c r="K214" s="16">
        <f t="shared" si="14"/>
        <v>18.600000000000001</v>
      </c>
      <c r="L214" s="16">
        <f t="shared" si="15"/>
        <v>6</v>
      </c>
      <c r="M214" s="5"/>
      <c r="N214" s="5"/>
      <c r="O214" s="5"/>
    </row>
    <row r="215" spans="2:15" x14ac:dyDescent="0.2">
      <c r="B215" s="63"/>
      <c r="C215" s="16">
        <v>3</v>
      </c>
      <c r="D215" s="16">
        <f t="shared" si="12"/>
        <v>72</v>
      </c>
      <c r="E215" s="16">
        <v>19</v>
      </c>
      <c r="F215" s="16">
        <v>6</v>
      </c>
      <c r="G215" s="16">
        <v>2</v>
      </c>
      <c r="H215" s="16">
        <v>0</v>
      </c>
      <c r="I215" s="16">
        <v>1</v>
      </c>
      <c r="J215" s="16">
        <f t="shared" si="13"/>
        <v>28</v>
      </c>
      <c r="K215" s="16">
        <f t="shared" si="14"/>
        <v>8.4</v>
      </c>
      <c r="L215" s="16">
        <f t="shared" si="15"/>
        <v>1</v>
      </c>
      <c r="M215" s="5"/>
      <c r="N215" s="5"/>
      <c r="O215" s="5"/>
    </row>
    <row r="216" spans="2:15" x14ac:dyDescent="0.2">
      <c r="B216" s="63"/>
      <c r="C216" s="16">
        <v>4</v>
      </c>
      <c r="D216" s="16">
        <f t="shared" si="12"/>
        <v>51</v>
      </c>
      <c r="E216" s="16">
        <v>22</v>
      </c>
      <c r="F216" s="16">
        <v>16</v>
      </c>
      <c r="G216" s="16">
        <v>3</v>
      </c>
      <c r="H216" s="16">
        <v>1</v>
      </c>
      <c r="I216" s="16">
        <v>7</v>
      </c>
      <c r="J216" s="16">
        <f t="shared" si="13"/>
        <v>49</v>
      </c>
      <c r="K216" s="16">
        <f t="shared" si="14"/>
        <v>20.399999999999999</v>
      </c>
      <c r="L216" s="16">
        <f t="shared" si="15"/>
        <v>7</v>
      </c>
      <c r="M216" s="5"/>
      <c r="N216" s="5"/>
      <c r="O216" s="5"/>
    </row>
    <row r="217" spans="2:15" x14ac:dyDescent="0.2">
      <c r="B217" s="63"/>
      <c r="C217" s="16">
        <v>5</v>
      </c>
      <c r="D217" s="16">
        <f t="shared" si="12"/>
        <v>40</v>
      </c>
      <c r="E217" s="16">
        <v>38</v>
      </c>
      <c r="F217" s="16">
        <v>13</v>
      </c>
      <c r="G217" s="16">
        <v>2</v>
      </c>
      <c r="H217" s="16">
        <v>0</v>
      </c>
      <c r="I217" s="16">
        <v>7</v>
      </c>
      <c r="J217" s="16">
        <f t="shared" si="13"/>
        <v>60</v>
      </c>
      <c r="K217" s="16">
        <f t="shared" si="14"/>
        <v>21</v>
      </c>
      <c r="L217" s="16">
        <f t="shared" si="15"/>
        <v>7</v>
      </c>
      <c r="M217" s="5"/>
      <c r="N217" s="5"/>
      <c r="O217" s="5"/>
    </row>
    <row r="218" spans="2:15" x14ac:dyDescent="0.2">
      <c r="B218" s="63" t="s">
        <v>542</v>
      </c>
      <c r="C218" s="16">
        <v>1</v>
      </c>
      <c r="D218" s="16">
        <f t="shared" si="12"/>
        <v>75</v>
      </c>
      <c r="E218" s="16">
        <v>0</v>
      </c>
      <c r="F218" s="16">
        <v>0</v>
      </c>
      <c r="G218" s="16">
        <v>4</v>
      </c>
      <c r="H218" s="16">
        <v>7</v>
      </c>
      <c r="I218" s="16">
        <v>14</v>
      </c>
      <c r="J218" s="16">
        <f t="shared" si="13"/>
        <v>25</v>
      </c>
      <c r="K218" s="16">
        <f t="shared" si="14"/>
        <v>22</v>
      </c>
      <c r="L218" s="16">
        <f t="shared" si="15"/>
        <v>14</v>
      </c>
      <c r="M218" s="5">
        <f>AVERAGE((SUM(E218:I218)), (SUM(E219:I219)), (SUM(E220:I220)), (SUM(E221:I221)), (SUM(E222:I222)))</f>
        <v>50.2</v>
      </c>
      <c r="N218" s="5">
        <f>AVERAGE((SUM(D218*0+E218*1+F218*2+G218*3+H218*4+I218*5)/(5*100)*100), (SUM(D219*0+E219*1+F219*2+G219*3+H219*4+I219*5)/(5*100)*100), (SUM(D220*0+E220*1+F220*2+G220*3+H220*4+I220*5)/(5*100)*100), (SUM(D221*0+E221*1+F221*2+G221*3+H221*4+I221*5)/(5*100)*100), (SUM(D222*0+E222*1+F222*2+G222*3+H222*4+I222*5)/(5*100)*100))</f>
        <v>34.6</v>
      </c>
      <c r="O218" s="5">
        <f>AVERAGE(I218:I222)</f>
        <v>21.8</v>
      </c>
    </row>
    <row r="219" spans="2:15" x14ac:dyDescent="0.2">
      <c r="B219" s="63"/>
      <c r="C219" s="16">
        <v>2</v>
      </c>
      <c r="D219" s="16">
        <f t="shared" si="12"/>
        <v>68</v>
      </c>
      <c r="E219" s="16">
        <v>0</v>
      </c>
      <c r="F219" s="16">
        <v>2</v>
      </c>
      <c r="G219" s="16">
        <v>5</v>
      </c>
      <c r="H219" s="16">
        <v>7</v>
      </c>
      <c r="I219" s="16">
        <v>18</v>
      </c>
      <c r="J219" s="16">
        <f t="shared" si="13"/>
        <v>32</v>
      </c>
      <c r="K219" s="16">
        <f t="shared" si="14"/>
        <v>27.400000000000002</v>
      </c>
      <c r="L219" s="16">
        <f t="shared" si="15"/>
        <v>18</v>
      </c>
      <c r="M219" s="5"/>
      <c r="N219" s="5"/>
      <c r="O219" s="5"/>
    </row>
    <row r="220" spans="2:15" x14ac:dyDescent="0.2">
      <c r="B220" s="63"/>
      <c r="C220" s="16">
        <v>3</v>
      </c>
      <c r="D220" s="16">
        <f t="shared" si="12"/>
        <v>28</v>
      </c>
      <c r="E220" s="16">
        <v>18</v>
      </c>
      <c r="F220" s="16">
        <v>11</v>
      </c>
      <c r="G220" s="16">
        <v>7</v>
      </c>
      <c r="H220" s="16">
        <v>11</v>
      </c>
      <c r="I220" s="16">
        <v>25</v>
      </c>
      <c r="J220" s="16">
        <f t="shared" si="13"/>
        <v>72</v>
      </c>
      <c r="K220" s="16">
        <f t="shared" si="14"/>
        <v>46</v>
      </c>
      <c r="L220" s="16">
        <f t="shared" si="15"/>
        <v>25</v>
      </c>
      <c r="M220" s="5"/>
      <c r="N220" s="5"/>
      <c r="O220" s="5"/>
    </row>
    <row r="221" spans="2:15" x14ac:dyDescent="0.2">
      <c r="B221" s="63"/>
      <c r="C221" s="16">
        <v>4</v>
      </c>
      <c r="D221" s="16">
        <f t="shared" si="12"/>
        <v>53</v>
      </c>
      <c r="E221" s="16">
        <v>14</v>
      </c>
      <c r="F221" s="16">
        <v>7</v>
      </c>
      <c r="G221" s="16">
        <v>5</v>
      </c>
      <c r="H221" s="16">
        <v>5</v>
      </c>
      <c r="I221" s="16">
        <v>16</v>
      </c>
      <c r="J221" s="16">
        <f t="shared" si="13"/>
        <v>47</v>
      </c>
      <c r="K221" s="16">
        <f t="shared" si="14"/>
        <v>28.599999999999998</v>
      </c>
      <c r="L221" s="16">
        <f t="shared" si="15"/>
        <v>16</v>
      </c>
      <c r="M221" s="5"/>
      <c r="N221" s="5"/>
      <c r="O221" s="5"/>
    </row>
    <row r="222" spans="2:15" x14ac:dyDescent="0.2">
      <c r="B222" s="63"/>
      <c r="C222" s="16">
        <v>5</v>
      </c>
      <c r="D222" s="16">
        <f t="shared" si="12"/>
        <v>25</v>
      </c>
      <c r="E222" s="16">
        <v>23</v>
      </c>
      <c r="F222" s="16">
        <v>8</v>
      </c>
      <c r="G222" s="16">
        <v>6</v>
      </c>
      <c r="H222" s="16">
        <v>2</v>
      </c>
      <c r="I222" s="16">
        <v>36</v>
      </c>
      <c r="J222" s="16">
        <f t="shared" si="13"/>
        <v>75</v>
      </c>
      <c r="K222" s="16">
        <f t="shared" si="14"/>
        <v>49</v>
      </c>
      <c r="L222" s="16">
        <f t="shared" si="15"/>
        <v>36</v>
      </c>
      <c r="M222" s="5"/>
      <c r="N222" s="5"/>
      <c r="O222" s="5"/>
    </row>
    <row r="223" spans="2:15" x14ac:dyDescent="0.2">
      <c r="B223" s="63" t="s">
        <v>543</v>
      </c>
      <c r="C223" s="16">
        <v>1</v>
      </c>
      <c r="D223" s="16">
        <f t="shared" si="12"/>
        <v>93</v>
      </c>
      <c r="E223" s="16">
        <v>3</v>
      </c>
      <c r="F223" s="16">
        <v>0</v>
      </c>
      <c r="G223" s="16">
        <v>3</v>
      </c>
      <c r="H223" s="16">
        <v>0</v>
      </c>
      <c r="I223" s="16">
        <v>1</v>
      </c>
      <c r="J223" s="16">
        <f t="shared" si="13"/>
        <v>7</v>
      </c>
      <c r="K223" s="16">
        <f t="shared" si="14"/>
        <v>3.4000000000000004</v>
      </c>
      <c r="L223" s="16">
        <f t="shared" si="15"/>
        <v>1</v>
      </c>
      <c r="M223" s="5">
        <f>AVERAGE((SUM(E223:I223)), (SUM(E224:I224)), (SUM(E225:I225)), (SUM(E226:I226)), (SUM(E227:I227)))</f>
        <v>20.2</v>
      </c>
      <c r="N223" s="5">
        <f>AVERAGE((SUM(D223*0+E223*1+F223*2+G223*3+H223*4+I223*5)/(5*100)*100), (SUM(D224*0+E224*1+F224*2+G224*3+H224*4+I224*5)/(5*100)*100), (SUM(D225*0+E225*1+F225*2+G225*3+H225*4+I225*5)/(5*100)*100), (SUM(D226*0+E226*1+F226*2+G226*3+H226*4+I226*5)/(5*100)*100), (SUM(D227*0+E227*1+F227*2+G227*3+H227*4+I227*5)/(5*100)*100))</f>
        <v>9.9199999999999982</v>
      </c>
      <c r="O223" s="5">
        <f>AVERAGE(I223:I227)</f>
        <v>2.6</v>
      </c>
    </row>
    <row r="224" spans="2:15" x14ac:dyDescent="0.2">
      <c r="B224" s="63"/>
      <c r="C224" s="16">
        <v>2</v>
      </c>
      <c r="D224" s="16">
        <f t="shared" si="12"/>
        <v>98</v>
      </c>
      <c r="E224" s="16">
        <v>1</v>
      </c>
      <c r="F224" s="16">
        <v>1</v>
      </c>
      <c r="G224" s="16">
        <v>0</v>
      </c>
      <c r="H224" s="16">
        <v>0</v>
      </c>
      <c r="I224" s="16">
        <v>0</v>
      </c>
      <c r="J224" s="16">
        <f t="shared" si="13"/>
        <v>2</v>
      </c>
      <c r="K224" s="16">
        <f t="shared" si="14"/>
        <v>0.6</v>
      </c>
      <c r="L224" s="16">
        <f t="shared" si="15"/>
        <v>0</v>
      </c>
      <c r="M224" s="5"/>
      <c r="N224" s="5"/>
      <c r="O224" s="5"/>
    </row>
    <row r="225" spans="2:15" x14ac:dyDescent="0.2">
      <c r="B225" s="63"/>
      <c r="C225" s="16">
        <v>3</v>
      </c>
      <c r="D225" s="16">
        <f t="shared" si="12"/>
        <v>55</v>
      </c>
      <c r="E225" s="16">
        <v>17</v>
      </c>
      <c r="F225" s="16">
        <v>12</v>
      </c>
      <c r="G225" s="16">
        <v>6</v>
      </c>
      <c r="H225" s="16">
        <v>3</v>
      </c>
      <c r="I225" s="16">
        <v>7</v>
      </c>
      <c r="J225" s="16">
        <f t="shared" si="13"/>
        <v>45</v>
      </c>
      <c r="K225" s="16">
        <f t="shared" si="14"/>
        <v>21.2</v>
      </c>
      <c r="L225" s="16">
        <f t="shared" si="15"/>
        <v>7</v>
      </c>
      <c r="M225" s="5"/>
      <c r="N225" s="5"/>
      <c r="O225" s="5"/>
    </row>
    <row r="226" spans="2:15" x14ac:dyDescent="0.2">
      <c r="B226" s="63"/>
      <c r="C226" s="16">
        <v>4</v>
      </c>
      <c r="D226" s="16">
        <f t="shared" si="12"/>
        <v>63</v>
      </c>
      <c r="E226" s="16">
        <v>7</v>
      </c>
      <c r="F226" s="16">
        <v>8</v>
      </c>
      <c r="G226" s="16">
        <v>9</v>
      </c>
      <c r="H226" s="16">
        <v>8</v>
      </c>
      <c r="I226" s="16">
        <v>5</v>
      </c>
      <c r="J226" s="16">
        <f t="shared" si="13"/>
        <v>37</v>
      </c>
      <c r="K226" s="16">
        <f t="shared" si="14"/>
        <v>21.4</v>
      </c>
      <c r="L226" s="16">
        <f t="shared" si="15"/>
        <v>5</v>
      </c>
      <c r="M226" s="5"/>
      <c r="N226" s="5"/>
      <c r="O226" s="5"/>
    </row>
    <row r="227" spans="2:15" x14ac:dyDescent="0.2">
      <c r="B227" s="63"/>
      <c r="C227" s="16">
        <v>5</v>
      </c>
      <c r="D227" s="16">
        <f t="shared" si="12"/>
        <v>90</v>
      </c>
      <c r="E227" s="16">
        <v>8</v>
      </c>
      <c r="F227" s="16">
        <v>0</v>
      </c>
      <c r="G227" s="16">
        <v>1</v>
      </c>
      <c r="H227" s="16">
        <v>1</v>
      </c>
      <c r="I227" s="16">
        <v>0</v>
      </c>
      <c r="J227" s="16">
        <f t="shared" si="13"/>
        <v>10</v>
      </c>
      <c r="K227" s="16">
        <f t="shared" si="14"/>
        <v>3</v>
      </c>
      <c r="L227" s="16">
        <f t="shared" si="15"/>
        <v>0</v>
      </c>
      <c r="M227" s="5"/>
      <c r="N227" s="5"/>
      <c r="O227" s="5"/>
    </row>
    <row r="228" spans="2:15" x14ac:dyDescent="0.2">
      <c r="B228" s="63" t="s">
        <v>544</v>
      </c>
      <c r="C228" s="16">
        <v>1</v>
      </c>
      <c r="D228" s="16">
        <f t="shared" si="12"/>
        <v>100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f t="shared" si="13"/>
        <v>0</v>
      </c>
      <c r="K228" s="16">
        <f t="shared" si="14"/>
        <v>0</v>
      </c>
      <c r="L228" s="16">
        <f t="shared" si="15"/>
        <v>0</v>
      </c>
      <c r="M228" s="5">
        <f>AVERAGE((SUM(E228:I228)), (SUM(E229:I229)), (SUM(E230:I230)), (SUM(E231:I231)), (SUM(E232:I232)))</f>
        <v>8</v>
      </c>
      <c r="N228" s="5">
        <f>AVERAGE((SUM(D228*0+E228*1+F228*2+G228*3+H228*4+I228*5)/(5*100)*100), (SUM(D229*0+E229*1+F229*2+G229*3+H229*4+I229*5)/(5*100)*100), (SUM(D230*0+E230*1+F230*2+G230*3+H230*4+I230*5)/(5*100)*100), (SUM(D231*0+E231*1+F231*2+G231*3+H231*4+I231*5)/(5*100)*100), (SUM(D232*0+E232*1+F232*2+G232*3+H232*4+I232*5)/(5*100)*100))</f>
        <v>3.2</v>
      </c>
      <c r="O228" s="5">
        <f>AVERAGE(I228:I232)</f>
        <v>0.8</v>
      </c>
    </row>
    <row r="229" spans="2:15" x14ac:dyDescent="0.2">
      <c r="B229" s="63"/>
      <c r="C229" s="16">
        <v>2</v>
      </c>
      <c r="D229" s="16">
        <f t="shared" si="12"/>
        <v>98</v>
      </c>
      <c r="E229" s="16">
        <v>2</v>
      </c>
      <c r="F229" s="16">
        <v>0</v>
      </c>
      <c r="G229" s="16">
        <v>0</v>
      </c>
      <c r="H229" s="16">
        <v>0</v>
      </c>
      <c r="I229" s="16">
        <v>0</v>
      </c>
      <c r="J229" s="16">
        <f t="shared" si="13"/>
        <v>2</v>
      </c>
      <c r="K229" s="16">
        <f t="shared" si="14"/>
        <v>0.4</v>
      </c>
      <c r="L229" s="16">
        <f t="shared" si="15"/>
        <v>0</v>
      </c>
      <c r="M229" s="5"/>
      <c r="N229" s="5"/>
      <c r="O229" s="5"/>
    </row>
    <row r="230" spans="2:15" x14ac:dyDescent="0.2">
      <c r="B230" s="63"/>
      <c r="C230" s="16">
        <v>3</v>
      </c>
      <c r="D230" s="16">
        <f t="shared" si="12"/>
        <v>97</v>
      </c>
      <c r="E230" s="16">
        <v>2</v>
      </c>
      <c r="F230" s="16">
        <v>0</v>
      </c>
      <c r="G230" s="16">
        <v>0</v>
      </c>
      <c r="H230" s="16">
        <v>1</v>
      </c>
      <c r="I230" s="16">
        <v>0</v>
      </c>
      <c r="J230" s="16">
        <f t="shared" si="13"/>
        <v>3</v>
      </c>
      <c r="K230" s="16">
        <f t="shared" si="14"/>
        <v>1.2</v>
      </c>
      <c r="L230" s="16">
        <f t="shared" si="15"/>
        <v>0</v>
      </c>
      <c r="M230" s="5"/>
      <c r="N230" s="5"/>
      <c r="O230" s="5"/>
    </row>
    <row r="231" spans="2:15" x14ac:dyDescent="0.2">
      <c r="B231" s="63"/>
      <c r="C231" s="16">
        <v>4</v>
      </c>
      <c r="D231" s="16">
        <f t="shared" si="12"/>
        <v>82</v>
      </c>
      <c r="E231" s="16">
        <v>9</v>
      </c>
      <c r="F231" s="16">
        <v>4</v>
      </c>
      <c r="G231" s="16">
        <v>1</v>
      </c>
      <c r="H231" s="16">
        <v>2</v>
      </c>
      <c r="I231" s="16">
        <v>2</v>
      </c>
      <c r="J231" s="16">
        <f t="shared" si="13"/>
        <v>18</v>
      </c>
      <c r="K231" s="16">
        <f t="shared" si="14"/>
        <v>7.6</v>
      </c>
      <c r="L231" s="16">
        <f t="shared" si="15"/>
        <v>2</v>
      </c>
      <c r="M231" s="5"/>
      <c r="N231" s="5"/>
      <c r="O231" s="5"/>
    </row>
    <row r="232" spans="2:15" x14ac:dyDescent="0.2">
      <c r="B232" s="63"/>
      <c r="C232" s="16">
        <v>5</v>
      </c>
      <c r="D232" s="16">
        <f t="shared" si="12"/>
        <v>83</v>
      </c>
      <c r="E232" s="16">
        <v>9</v>
      </c>
      <c r="F232" s="16">
        <v>4</v>
      </c>
      <c r="G232" s="16">
        <v>1</v>
      </c>
      <c r="H232" s="16">
        <v>1</v>
      </c>
      <c r="I232" s="16">
        <v>2</v>
      </c>
      <c r="J232" s="16">
        <f t="shared" si="13"/>
        <v>17</v>
      </c>
      <c r="K232" s="16">
        <f t="shared" si="14"/>
        <v>6.8000000000000007</v>
      </c>
      <c r="L232" s="16">
        <f t="shared" si="15"/>
        <v>2</v>
      </c>
      <c r="M232" s="5"/>
      <c r="N232" s="5"/>
      <c r="O232" s="5"/>
    </row>
    <row r="233" spans="2:15" x14ac:dyDescent="0.2">
      <c r="B233" s="63" t="s">
        <v>545</v>
      </c>
      <c r="C233" s="16">
        <v>1</v>
      </c>
      <c r="D233" s="16">
        <f t="shared" si="12"/>
        <v>91</v>
      </c>
      <c r="E233" s="16">
        <v>4</v>
      </c>
      <c r="F233" s="16">
        <v>1</v>
      </c>
      <c r="G233" s="16">
        <v>0</v>
      </c>
      <c r="H233" s="16">
        <v>1</v>
      </c>
      <c r="I233" s="16">
        <v>3</v>
      </c>
      <c r="J233" s="16">
        <f t="shared" si="13"/>
        <v>9</v>
      </c>
      <c r="K233" s="16">
        <f t="shared" si="14"/>
        <v>5</v>
      </c>
      <c r="L233" s="16">
        <f t="shared" si="15"/>
        <v>3</v>
      </c>
      <c r="M233" s="5">
        <f>AVERAGE((SUM(E233:I233)), (SUM(E234:I234)), (SUM(E235:I235)), (SUM(E236:I236)), (SUM(E237:I237)))</f>
        <v>32.200000000000003</v>
      </c>
      <c r="N233" s="5">
        <f>AVERAGE((SUM(D233*0+E233*1+F233*2+G233*3+H233*4+I233*5)/(5*100)*100), (SUM(D234*0+E234*1+F234*2+G234*3+H234*4+I234*5)/(5*100)*100), (SUM(D235*0+E235*1+F235*2+G235*3+H235*4+I235*5)/(5*100)*100), (SUM(D236*0+E236*1+F236*2+G236*3+H236*4+I236*5)/(5*100)*100), (SUM(D237*0+E237*1+F237*2+G237*3+H237*4+I237*5)/(5*100)*100))</f>
        <v>16.04</v>
      </c>
      <c r="O233" s="5">
        <f>AVERAGE(I233:I237)</f>
        <v>4.4000000000000004</v>
      </c>
    </row>
    <row r="234" spans="2:15" x14ac:dyDescent="0.2">
      <c r="B234" s="63"/>
      <c r="C234" s="16">
        <v>2</v>
      </c>
      <c r="D234" s="16">
        <f t="shared" si="12"/>
        <v>89</v>
      </c>
      <c r="E234" s="16">
        <v>5</v>
      </c>
      <c r="F234" s="16">
        <v>0</v>
      </c>
      <c r="G234" s="16">
        <v>0</v>
      </c>
      <c r="H234" s="16">
        <v>1</v>
      </c>
      <c r="I234" s="16">
        <v>5</v>
      </c>
      <c r="J234" s="16">
        <f t="shared" si="13"/>
        <v>11</v>
      </c>
      <c r="K234" s="16">
        <f t="shared" si="14"/>
        <v>6.8000000000000007</v>
      </c>
      <c r="L234" s="16">
        <f t="shared" si="15"/>
        <v>5</v>
      </c>
      <c r="M234" s="5"/>
      <c r="N234" s="5"/>
      <c r="O234" s="5"/>
    </row>
    <row r="235" spans="2:15" x14ac:dyDescent="0.2">
      <c r="B235" s="63"/>
      <c r="C235" s="16">
        <v>3</v>
      </c>
      <c r="D235" s="16">
        <f t="shared" si="12"/>
        <v>69</v>
      </c>
      <c r="E235" s="16">
        <v>11</v>
      </c>
      <c r="F235" s="16">
        <v>9</v>
      </c>
      <c r="G235" s="16">
        <v>6</v>
      </c>
      <c r="H235" s="16">
        <v>3</v>
      </c>
      <c r="I235" s="16">
        <v>2</v>
      </c>
      <c r="J235" s="16">
        <f t="shared" si="13"/>
        <v>31</v>
      </c>
      <c r="K235" s="16">
        <f t="shared" si="14"/>
        <v>13.8</v>
      </c>
      <c r="L235" s="16">
        <f t="shared" si="15"/>
        <v>2</v>
      </c>
      <c r="M235" s="5"/>
      <c r="N235" s="5"/>
      <c r="O235" s="5"/>
    </row>
    <row r="236" spans="2:15" x14ac:dyDescent="0.2">
      <c r="B236" s="63"/>
      <c r="C236" s="16">
        <v>4</v>
      </c>
      <c r="D236" s="16">
        <f t="shared" si="12"/>
        <v>40</v>
      </c>
      <c r="E236" s="16">
        <v>20</v>
      </c>
      <c r="F236" s="16">
        <v>14</v>
      </c>
      <c r="G236" s="16">
        <v>11</v>
      </c>
      <c r="H236" s="16">
        <v>9</v>
      </c>
      <c r="I236" s="16">
        <v>6</v>
      </c>
      <c r="J236" s="16">
        <f t="shared" si="13"/>
        <v>60</v>
      </c>
      <c r="K236" s="16">
        <f t="shared" si="14"/>
        <v>29.4</v>
      </c>
      <c r="L236" s="16">
        <f t="shared" si="15"/>
        <v>6</v>
      </c>
      <c r="M236" s="5"/>
      <c r="N236" s="5"/>
      <c r="O236" s="5"/>
    </row>
    <row r="237" spans="2:15" x14ac:dyDescent="0.2">
      <c r="B237" s="63"/>
      <c r="C237" s="16">
        <v>5</v>
      </c>
      <c r="D237" s="16">
        <f t="shared" si="12"/>
        <v>50</v>
      </c>
      <c r="E237" s="16">
        <v>15</v>
      </c>
      <c r="F237" s="16">
        <v>14</v>
      </c>
      <c r="G237" s="16">
        <v>7</v>
      </c>
      <c r="H237" s="16">
        <v>8</v>
      </c>
      <c r="I237" s="16">
        <v>6</v>
      </c>
      <c r="J237" s="16">
        <f t="shared" si="13"/>
        <v>50</v>
      </c>
      <c r="K237" s="16">
        <f t="shared" si="14"/>
        <v>25.2</v>
      </c>
      <c r="L237" s="16">
        <f t="shared" si="15"/>
        <v>6</v>
      </c>
      <c r="M237" s="5"/>
      <c r="N237" s="5"/>
      <c r="O237" s="5"/>
    </row>
    <row r="238" spans="2:15" x14ac:dyDescent="0.2">
      <c r="B238" s="63" t="s">
        <v>546</v>
      </c>
      <c r="C238" s="16">
        <v>1</v>
      </c>
      <c r="D238" s="16">
        <f t="shared" si="12"/>
        <v>47</v>
      </c>
      <c r="E238" s="16">
        <v>16</v>
      </c>
      <c r="F238" s="16">
        <v>8</v>
      </c>
      <c r="G238" s="16">
        <v>5</v>
      </c>
      <c r="H238" s="16">
        <v>12</v>
      </c>
      <c r="I238" s="16">
        <v>12</v>
      </c>
      <c r="J238" s="16">
        <f t="shared" si="13"/>
        <v>53</v>
      </c>
      <c r="K238" s="16">
        <f t="shared" si="14"/>
        <v>31</v>
      </c>
      <c r="L238" s="16">
        <f t="shared" si="15"/>
        <v>12</v>
      </c>
      <c r="M238" s="5">
        <f>AVERAGE((SUM(E238:I238)), (SUM(E239:I239)), (SUM(E240:I240)), (SUM(E241:I241)), (SUM(E242:I242)))</f>
        <v>29.2</v>
      </c>
      <c r="N238" s="5">
        <f>AVERAGE((SUM(D238*0+E238*1+F238*2+G238*3+H238*4+I238*5)/(5*100)*100), (SUM(D239*0+E239*1+F239*2+G239*3+H239*4+I239*5)/(5*100)*100), (SUM(D240*0+E240*1+F240*2+G240*3+H240*4+I240*5)/(5*100)*100), (SUM(D241*0+E241*1+F241*2+G241*3+H241*4+I241*5)/(5*100)*100), (SUM(D242*0+E242*1+F242*2+G242*3+H242*4+I242*5)/(5*100)*100))</f>
        <v>15.560000000000002</v>
      </c>
      <c r="O238" s="5">
        <f>AVERAGE(I238:I242)</f>
        <v>6.6</v>
      </c>
    </row>
    <row r="239" spans="2:15" x14ac:dyDescent="0.2">
      <c r="B239" s="63"/>
      <c r="C239" s="16">
        <v>2</v>
      </c>
      <c r="D239" s="16">
        <f t="shared" si="12"/>
        <v>53</v>
      </c>
      <c r="E239" s="16">
        <v>15</v>
      </c>
      <c r="F239" s="16">
        <v>8</v>
      </c>
      <c r="G239" s="16">
        <v>8</v>
      </c>
      <c r="H239" s="16">
        <v>4</v>
      </c>
      <c r="I239" s="16">
        <v>12</v>
      </c>
      <c r="J239" s="16">
        <f t="shared" si="13"/>
        <v>47</v>
      </c>
      <c r="K239" s="16">
        <f t="shared" si="14"/>
        <v>26.200000000000003</v>
      </c>
      <c r="L239" s="16">
        <f t="shared" si="15"/>
        <v>12</v>
      </c>
      <c r="M239" s="5"/>
      <c r="N239" s="5"/>
      <c r="O239" s="5"/>
    </row>
    <row r="240" spans="2:15" x14ac:dyDescent="0.2">
      <c r="B240" s="63"/>
      <c r="C240" s="16">
        <v>3</v>
      </c>
      <c r="D240" s="16">
        <f t="shared" si="12"/>
        <v>60</v>
      </c>
      <c r="E240" s="16">
        <v>23</v>
      </c>
      <c r="F240" s="16">
        <v>5</v>
      </c>
      <c r="G240" s="16">
        <v>3</v>
      </c>
      <c r="H240" s="16">
        <v>1</v>
      </c>
      <c r="I240" s="16">
        <v>8</v>
      </c>
      <c r="J240" s="16">
        <f t="shared" si="13"/>
        <v>40</v>
      </c>
      <c r="K240" s="16">
        <f t="shared" si="14"/>
        <v>17.2</v>
      </c>
      <c r="L240" s="16">
        <f t="shared" si="15"/>
        <v>8</v>
      </c>
      <c r="M240" s="5"/>
      <c r="N240" s="5"/>
      <c r="O240" s="5"/>
    </row>
    <row r="241" spans="2:15" x14ac:dyDescent="0.2">
      <c r="B241" s="63"/>
      <c r="C241" s="16">
        <v>4</v>
      </c>
      <c r="D241" s="16">
        <f t="shared" si="12"/>
        <v>96</v>
      </c>
      <c r="E241" s="16">
        <v>2</v>
      </c>
      <c r="F241" s="16">
        <v>0</v>
      </c>
      <c r="G241" s="16">
        <v>0</v>
      </c>
      <c r="H241" s="16">
        <v>1</v>
      </c>
      <c r="I241" s="16">
        <v>1</v>
      </c>
      <c r="J241" s="16">
        <f t="shared" si="13"/>
        <v>4</v>
      </c>
      <c r="K241" s="16">
        <f t="shared" si="14"/>
        <v>2.1999999999999997</v>
      </c>
      <c r="L241" s="16">
        <f t="shared" si="15"/>
        <v>1</v>
      </c>
      <c r="M241" s="5"/>
      <c r="N241" s="5"/>
      <c r="O241" s="5"/>
    </row>
    <row r="242" spans="2:15" x14ac:dyDescent="0.2">
      <c r="B242" s="63"/>
      <c r="C242" s="16">
        <v>5</v>
      </c>
      <c r="D242" s="16">
        <f t="shared" si="12"/>
        <v>98</v>
      </c>
      <c r="E242" s="16">
        <v>0</v>
      </c>
      <c r="F242" s="16">
        <v>1</v>
      </c>
      <c r="G242" s="16">
        <v>0</v>
      </c>
      <c r="H242" s="16">
        <v>1</v>
      </c>
      <c r="I242" s="16">
        <v>0</v>
      </c>
      <c r="J242" s="16">
        <f t="shared" si="13"/>
        <v>2</v>
      </c>
      <c r="K242" s="16">
        <f t="shared" si="14"/>
        <v>1.2</v>
      </c>
      <c r="L242" s="16">
        <f t="shared" si="15"/>
        <v>0</v>
      </c>
      <c r="M242" s="5"/>
      <c r="N242" s="5"/>
      <c r="O242" s="5"/>
    </row>
    <row r="243" spans="2:15" x14ac:dyDescent="0.2">
      <c r="B243" s="63" t="s">
        <v>547</v>
      </c>
      <c r="C243" s="16">
        <v>1</v>
      </c>
      <c r="D243" s="16">
        <f t="shared" si="12"/>
        <v>31</v>
      </c>
      <c r="E243" s="16">
        <v>0</v>
      </c>
      <c r="F243" s="16">
        <v>21</v>
      </c>
      <c r="G243" s="16">
        <v>22</v>
      </c>
      <c r="H243" s="16">
        <v>14</v>
      </c>
      <c r="I243" s="16">
        <v>12</v>
      </c>
      <c r="J243" s="16">
        <f t="shared" si="13"/>
        <v>69</v>
      </c>
      <c r="K243" s="16">
        <f t="shared" si="14"/>
        <v>44.800000000000004</v>
      </c>
      <c r="L243" s="16">
        <f t="shared" si="15"/>
        <v>12</v>
      </c>
      <c r="M243" s="5">
        <f t="shared" ref="M243" si="16">AVERAGE((SUM(E243:I243)), (SUM(E244:I244)), (SUM(E245:I245)), (SUM(E246:I246)), (SUM(E247:I247)))</f>
        <v>79</v>
      </c>
      <c r="N243" s="5">
        <f t="shared" ref="N243" si="17">AVERAGE((SUM(D243*0+E243*1+F243*2+G243*3+H243*4+I243*5)/(5*100)*100), (SUM(D244*0+E244*1+F244*2+G244*3+H244*4+I244*5)/(5*100)*100), (SUM(D245*0+E245*1+F245*2+G245*3+H245*4+I245*5)/(5*100)*100), (SUM(D246*0+E246*1+F246*2+G246*3+H246*4+I246*5)/(5*100)*100), (SUM(D247*0+E247*1+F247*2+G247*3+H247*4+I247*5)/(5*100)*100))</f>
        <v>54.279999999999994</v>
      </c>
      <c r="O243" s="5">
        <f t="shared" ref="O243" si="18">AVERAGE(I243:I247)</f>
        <v>15.6</v>
      </c>
    </row>
    <row r="244" spans="2:15" x14ac:dyDescent="0.2">
      <c r="B244" s="63"/>
      <c r="C244" s="16">
        <v>2</v>
      </c>
      <c r="D244" s="16">
        <f t="shared" si="12"/>
        <v>30</v>
      </c>
      <c r="E244" s="16">
        <v>0</v>
      </c>
      <c r="F244" s="16">
        <v>16</v>
      </c>
      <c r="G244" s="16">
        <v>18</v>
      </c>
      <c r="H244" s="16">
        <v>27</v>
      </c>
      <c r="I244" s="16">
        <v>9</v>
      </c>
      <c r="J244" s="16">
        <f t="shared" si="13"/>
        <v>70</v>
      </c>
      <c r="K244" s="16">
        <f t="shared" si="14"/>
        <v>47.8</v>
      </c>
      <c r="L244" s="16">
        <f t="shared" si="15"/>
        <v>9</v>
      </c>
      <c r="M244" s="5"/>
      <c r="N244" s="5"/>
      <c r="O244" s="5"/>
    </row>
    <row r="245" spans="2:15" x14ac:dyDescent="0.2">
      <c r="B245" s="63"/>
      <c r="C245" s="16">
        <v>3</v>
      </c>
      <c r="D245" s="16">
        <f t="shared" si="12"/>
        <v>15</v>
      </c>
      <c r="E245" s="16">
        <v>0</v>
      </c>
      <c r="F245" s="16">
        <v>21</v>
      </c>
      <c r="G245" s="16">
        <v>20</v>
      </c>
      <c r="H245" s="16">
        <v>24</v>
      </c>
      <c r="I245" s="16">
        <v>20</v>
      </c>
      <c r="J245" s="16">
        <f t="shared" si="13"/>
        <v>85</v>
      </c>
      <c r="K245" s="16">
        <f t="shared" si="14"/>
        <v>59.599999999999994</v>
      </c>
      <c r="L245" s="16">
        <f t="shared" si="15"/>
        <v>20</v>
      </c>
      <c r="M245" s="5"/>
      <c r="N245" s="5"/>
      <c r="O245" s="5"/>
    </row>
    <row r="246" spans="2:15" x14ac:dyDescent="0.2">
      <c r="B246" s="63"/>
      <c r="C246" s="16">
        <v>4</v>
      </c>
      <c r="D246" s="16">
        <f t="shared" si="12"/>
        <v>17</v>
      </c>
      <c r="E246" s="16">
        <v>6</v>
      </c>
      <c r="F246" s="16">
        <v>17</v>
      </c>
      <c r="G246" s="16">
        <v>13</v>
      </c>
      <c r="H246" s="16">
        <v>26</v>
      </c>
      <c r="I246" s="16">
        <v>21</v>
      </c>
      <c r="J246" s="16">
        <f t="shared" si="13"/>
        <v>83</v>
      </c>
      <c r="K246" s="16">
        <f t="shared" si="14"/>
        <v>57.599999999999994</v>
      </c>
      <c r="L246" s="16">
        <f t="shared" si="15"/>
        <v>21</v>
      </c>
      <c r="M246" s="5"/>
      <c r="N246" s="5"/>
      <c r="O246" s="5"/>
    </row>
    <row r="247" spans="2:15" x14ac:dyDescent="0.2">
      <c r="B247" s="63"/>
      <c r="C247" s="16">
        <v>5</v>
      </c>
      <c r="D247" s="16">
        <f t="shared" si="12"/>
        <v>12</v>
      </c>
      <c r="E247" s="16">
        <v>0</v>
      </c>
      <c r="F247" s="16">
        <v>18</v>
      </c>
      <c r="G247" s="16">
        <v>24</v>
      </c>
      <c r="H247" s="16">
        <v>30</v>
      </c>
      <c r="I247" s="16">
        <v>16</v>
      </c>
      <c r="J247" s="16">
        <f t="shared" si="13"/>
        <v>88</v>
      </c>
      <c r="K247" s="16">
        <f t="shared" si="14"/>
        <v>61.6</v>
      </c>
      <c r="L247" s="16">
        <f t="shared" si="15"/>
        <v>16</v>
      </c>
      <c r="M247" s="5"/>
      <c r="N247" s="5"/>
      <c r="O247" s="5"/>
    </row>
    <row r="248" spans="2:15" x14ac:dyDescent="0.2">
      <c r="B248" s="63" t="s">
        <v>548</v>
      </c>
      <c r="C248" s="16">
        <v>1</v>
      </c>
      <c r="D248" s="16">
        <f t="shared" si="12"/>
        <v>36</v>
      </c>
      <c r="E248" s="16">
        <v>33</v>
      </c>
      <c r="F248" s="16">
        <v>22</v>
      </c>
      <c r="G248" s="16">
        <v>6</v>
      </c>
      <c r="H248" s="16">
        <v>1</v>
      </c>
      <c r="I248" s="16">
        <v>2</v>
      </c>
      <c r="J248" s="16">
        <f t="shared" si="13"/>
        <v>64</v>
      </c>
      <c r="K248" s="16">
        <f t="shared" si="14"/>
        <v>21.8</v>
      </c>
      <c r="L248" s="16">
        <f t="shared" si="15"/>
        <v>2</v>
      </c>
      <c r="M248" s="5">
        <f t="shared" ref="M248" si="19">AVERAGE((SUM(E248:I248)), (SUM(E249:I249)), (SUM(E250:I250)), (SUM(E251:I251)), (SUM(E252:I252)))</f>
        <v>57</v>
      </c>
      <c r="N248" s="5">
        <f t="shared" ref="N248" si="20">AVERAGE((SUM(D248*0+E248*1+F248*2+G248*3+H248*4+I248*5)/(5*100)*100), (SUM(D249*0+E249*1+F249*2+G249*3+H249*4+I249*5)/(5*100)*100), (SUM(D250*0+E250*1+F250*2+G250*3+H250*4+I250*5)/(5*100)*100), (SUM(D251*0+E251*1+F251*2+G251*3+H251*4+I251*5)/(5*100)*100), (SUM(D252*0+E252*1+F252*2+G252*3+H252*4+I252*5)/(5*100)*100))</f>
        <v>24.6</v>
      </c>
      <c r="O248" s="5">
        <f t="shared" ref="O248" si="21">AVERAGE(I248:I252)</f>
        <v>6</v>
      </c>
    </row>
    <row r="249" spans="2:15" x14ac:dyDescent="0.2">
      <c r="B249" s="63"/>
      <c r="C249" s="16">
        <v>2</v>
      </c>
      <c r="D249" s="16">
        <f t="shared" si="12"/>
        <v>47</v>
      </c>
      <c r="E249" s="16">
        <v>25</v>
      </c>
      <c r="F249" s="16">
        <v>16</v>
      </c>
      <c r="G249" s="16">
        <v>7</v>
      </c>
      <c r="H249" s="16">
        <v>3</v>
      </c>
      <c r="I249" s="16">
        <v>2</v>
      </c>
      <c r="J249" s="16">
        <f t="shared" si="13"/>
        <v>53</v>
      </c>
      <c r="K249" s="16">
        <f t="shared" si="14"/>
        <v>20</v>
      </c>
      <c r="L249" s="16">
        <f t="shared" si="15"/>
        <v>2</v>
      </c>
      <c r="M249" s="5"/>
      <c r="N249" s="5"/>
      <c r="O249" s="5"/>
    </row>
    <row r="250" spans="2:15" x14ac:dyDescent="0.2">
      <c r="B250" s="63"/>
      <c r="C250" s="16">
        <v>3</v>
      </c>
      <c r="D250" s="16">
        <f t="shared" si="12"/>
        <v>53</v>
      </c>
      <c r="E250" s="16">
        <v>18</v>
      </c>
      <c r="F250" s="16">
        <v>14</v>
      </c>
      <c r="G250" s="16">
        <v>6</v>
      </c>
      <c r="H250" s="16">
        <v>1</v>
      </c>
      <c r="I250" s="16">
        <v>8</v>
      </c>
      <c r="J250" s="16">
        <f t="shared" si="13"/>
        <v>47</v>
      </c>
      <c r="K250" s="16">
        <f t="shared" si="14"/>
        <v>21.6</v>
      </c>
      <c r="L250" s="16">
        <f t="shared" si="15"/>
        <v>8</v>
      </c>
      <c r="M250" s="5"/>
      <c r="N250" s="5"/>
      <c r="O250" s="5"/>
    </row>
    <row r="251" spans="2:15" x14ac:dyDescent="0.2">
      <c r="B251" s="63"/>
      <c r="C251" s="16">
        <v>4</v>
      </c>
      <c r="D251" s="16">
        <f t="shared" si="12"/>
        <v>32</v>
      </c>
      <c r="E251" s="16">
        <v>23</v>
      </c>
      <c r="F251" s="16">
        <v>16</v>
      </c>
      <c r="G251" s="16">
        <v>17</v>
      </c>
      <c r="H251" s="16">
        <v>5</v>
      </c>
      <c r="I251" s="16">
        <v>7</v>
      </c>
      <c r="J251" s="16">
        <f t="shared" si="13"/>
        <v>68</v>
      </c>
      <c r="K251" s="16">
        <f t="shared" si="14"/>
        <v>32.200000000000003</v>
      </c>
      <c r="L251" s="16">
        <f t="shared" si="15"/>
        <v>7</v>
      </c>
      <c r="M251" s="5"/>
      <c r="N251" s="5"/>
      <c r="O251" s="5"/>
    </row>
    <row r="252" spans="2:15" x14ac:dyDescent="0.2">
      <c r="B252" s="63"/>
      <c r="C252" s="16">
        <v>5</v>
      </c>
      <c r="D252" s="16">
        <f t="shared" si="12"/>
        <v>47</v>
      </c>
      <c r="E252" s="16">
        <v>16</v>
      </c>
      <c r="F252" s="16">
        <v>15</v>
      </c>
      <c r="G252" s="16">
        <v>8</v>
      </c>
      <c r="H252" s="16">
        <v>3</v>
      </c>
      <c r="I252" s="16">
        <v>11</v>
      </c>
      <c r="J252" s="16">
        <f t="shared" si="13"/>
        <v>53</v>
      </c>
      <c r="K252" s="16">
        <f t="shared" si="14"/>
        <v>27.400000000000002</v>
      </c>
      <c r="L252" s="16">
        <f t="shared" si="15"/>
        <v>11</v>
      </c>
      <c r="M252" s="5"/>
      <c r="N252" s="5"/>
      <c r="O252" s="5"/>
    </row>
    <row r="253" spans="2:15" x14ac:dyDescent="0.2">
      <c r="B253" s="63" t="s">
        <v>549</v>
      </c>
      <c r="C253" s="16">
        <v>1</v>
      </c>
      <c r="D253" s="16">
        <f t="shared" si="12"/>
        <v>19</v>
      </c>
      <c r="E253" s="16">
        <v>0</v>
      </c>
      <c r="F253" s="16">
        <v>0</v>
      </c>
      <c r="G253" s="16">
        <v>4</v>
      </c>
      <c r="H253" s="16">
        <v>9</v>
      </c>
      <c r="I253" s="16">
        <v>68</v>
      </c>
      <c r="J253" s="16">
        <f t="shared" si="13"/>
        <v>81</v>
      </c>
      <c r="K253" s="16">
        <f t="shared" si="14"/>
        <v>77.600000000000009</v>
      </c>
      <c r="L253" s="16">
        <f t="shared" si="15"/>
        <v>68</v>
      </c>
      <c r="M253" s="5">
        <f t="shared" ref="M253" si="22">AVERAGE((SUM(E253:I253)), (SUM(E254:I254)), (SUM(E255:I255)), (SUM(E256:I256)), (SUM(E257:I257)))</f>
        <v>75</v>
      </c>
      <c r="N253" s="5">
        <f t="shared" ref="N253" si="23">AVERAGE((SUM(D253*0+E253*1+F253*2+G253*3+H253*4+I253*5)/(5*100)*100), (SUM(D254*0+E254*1+F254*2+G254*3+H254*4+I254*5)/(5*100)*100), (SUM(D255*0+E255*1+F255*2+G255*3+H255*4+I255*5)/(5*100)*100), (SUM(D256*0+E256*1+F256*2+G256*3+H256*4+I256*5)/(5*100)*100), (SUM(D257*0+E257*1+F257*2+G257*3+H257*4+I257*5)/(5*100)*100))</f>
        <v>60.879999999999995</v>
      </c>
      <c r="O253" s="5">
        <f t="shared" ref="O253" si="24">AVERAGE(I253:I257)</f>
        <v>39</v>
      </c>
    </row>
    <row r="254" spans="2:15" x14ac:dyDescent="0.2">
      <c r="B254" s="63"/>
      <c r="C254" s="16">
        <v>2</v>
      </c>
      <c r="D254" s="16">
        <f t="shared" si="12"/>
        <v>4</v>
      </c>
      <c r="E254" s="16">
        <v>0</v>
      </c>
      <c r="F254" s="16">
        <v>9</v>
      </c>
      <c r="G254" s="16">
        <v>28</v>
      </c>
      <c r="H254" s="16">
        <v>18</v>
      </c>
      <c r="I254" s="16">
        <v>41</v>
      </c>
      <c r="J254" s="16">
        <f t="shared" si="13"/>
        <v>96</v>
      </c>
      <c r="K254" s="16">
        <f t="shared" si="14"/>
        <v>75.8</v>
      </c>
      <c r="L254" s="16">
        <f t="shared" si="15"/>
        <v>41</v>
      </c>
      <c r="M254" s="5"/>
      <c r="N254" s="5"/>
      <c r="O254" s="5"/>
    </row>
    <row r="255" spans="2:15" x14ac:dyDescent="0.2">
      <c r="B255" s="63"/>
      <c r="C255" s="16">
        <v>3</v>
      </c>
      <c r="D255" s="16">
        <f t="shared" si="12"/>
        <v>11</v>
      </c>
      <c r="E255" s="16">
        <v>0</v>
      </c>
      <c r="F255" s="16">
        <v>6</v>
      </c>
      <c r="G255" s="16">
        <v>20</v>
      </c>
      <c r="H255" s="16">
        <v>28</v>
      </c>
      <c r="I255" s="16">
        <v>35</v>
      </c>
      <c r="J255" s="16">
        <f t="shared" si="13"/>
        <v>89</v>
      </c>
      <c r="K255" s="16">
        <f t="shared" si="14"/>
        <v>71.8</v>
      </c>
      <c r="L255" s="16">
        <f t="shared" si="15"/>
        <v>35</v>
      </c>
      <c r="M255" s="5"/>
      <c r="N255" s="5"/>
      <c r="O255" s="5"/>
    </row>
    <row r="256" spans="2:15" x14ac:dyDescent="0.2">
      <c r="B256" s="63"/>
      <c r="C256" s="16">
        <v>4</v>
      </c>
      <c r="D256" s="16">
        <f t="shared" si="12"/>
        <v>31</v>
      </c>
      <c r="E256" s="16">
        <v>13</v>
      </c>
      <c r="F256" s="16">
        <v>16</v>
      </c>
      <c r="G256" s="16">
        <v>14</v>
      </c>
      <c r="H256" s="16">
        <v>6</v>
      </c>
      <c r="I256" s="16">
        <v>20</v>
      </c>
      <c r="J256" s="16">
        <f t="shared" si="13"/>
        <v>69</v>
      </c>
      <c r="K256" s="16">
        <f t="shared" si="14"/>
        <v>42.199999999999996</v>
      </c>
      <c r="L256" s="16">
        <f t="shared" si="15"/>
        <v>20</v>
      </c>
      <c r="M256" s="5"/>
      <c r="N256" s="5"/>
      <c r="O256" s="5"/>
    </row>
    <row r="257" spans="2:15" x14ac:dyDescent="0.2">
      <c r="B257" s="63"/>
      <c r="C257" s="16">
        <v>5</v>
      </c>
      <c r="D257" s="16">
        <f t="shared" si="12"/>
        <v>60</v>
      </c>
      <c r="E257" s="16">
        <v>1</v>
      </c>
      <c r="F257" s="16">
        <v>0</v>
      </c>
      <c r="G257" s="16">
        <v>3</v>
      </c>
      <c r="H257" s="16">
        <v>5</v>
      </c>
      <c r="I257" s="16">
        <v>31</v>
      </c>
      <c r="J257" s="16">
        <f t="shared" si="13"/>
        <v>40</v>
      </c>
      <c r="K257" s="16">
        <f t="shared" si="14"/>
        <v>37</v>
      </c>
      <c r="L257" s="16">
        <f t="shared" si="15"/>
        <v>31</v>
      </c>
      <c r="M257" s="5"/>
      <c r="N257" s="5"/>
      <c r="O257" s="5"/>
    </row>
    <row r="258" spans="2:15" x14ac:dyDescent="0.2">
      <c r="B258" s="63" t="s">
        <v>550</v>
      </c>
      <c r="C258" s="16">
        <v>1</v>
      </c>
      <c r="D258" s="16">
        <f t="shared" si="12"/>
        <v>88</v>
      </c>
      <c r="E258" s="16">
        <v>3</v>
      </c>
      <c r="F258" s="16">
        <v>3</v>
      </c>
      <c r="G258" s="16">
        <v>2</v>
      </c>
      <c r="H258" s="16">
        <v>2</v>
      </c>
      <c r="I258" s="16">
        <v>2</v>
      </c>
      <c r="J258" s="16">
        <f t="shared" si="13"/>
        <v>12</v>
      </c>
      <c r="K258" s="16">
        <f t="shared" si="14"/>
        <v>6.6000000000000005</v>
      </c>
      <c r="L258" s="16">
        <f t="shared" si="15"/>
        <v>2</v>
      </c>
      <c r="M258" s="5">
        <f t="shared" ref="M258" si="25">AVERAGE((SUM(E258:I258)), (SUM(E259:I259)), (SUM(E260:I260)), (SUM(E261:I261)), (SUM(E262:I262)))</f>
        <v>44.8</v>
      </c>
      <c r="N258" s="5">
        <f t="shared" ref="N258" si="26">AVERAGE((SUM(D258*0+E258*1+F258*2+G258*3+H258*4+I258*5)/(5*100)*100), (SUM(D259*0+E259*1+F259*2+G259*3+H259*4+I259*5)/(5*100)*100), (SUM(D260*0+E260*1+F260*2+G260*3+H260*4+I260*5)/(5*100)*100), (SUM(D261*0+E261*1+F261*2+G261*3+H261*4+I261*5)/(5*100)*100), (SUM(D262*0+E262*1+F262*2+G262*3+H262*4+I262*5)/(5*100)*100))</f>
        <v>31.880000000000003</v>
      </c>
      <c r="O258" s="5">
        <f t="shared" ref="O258" si="27">AVERAGE(I258:I262)</f>
        <v>19.8</v>
      </c>
    </row>
    <row r="259" spans="2:15" x14ac:dyDescent="0.2">
      <c r="B259" s="63"/>
      <c r="C259" s="16">
        <v>2</v>
      </c>
      <c r="D259" s="16">
        <f t="shared" ref="D259:D322" si="28">100-(SUM(E259:I259))</f>
        <v>87</v>
      </c>
      <c r="E259" s="16">
        <v>1</v>
      </c>
      <c r="F259" s="16">
        <v>3</v>
      </c>
      <c r="G259" s="16">
        <v>3</v>
      </c>
      <c r="H259" s="16">
        <v>3</v>
      </c>
      <c r="I259" s="16">
        <v>3</v>
      </c>
      <c r="J259" s="16">
        <f t="shared" si="13"/>
        <v>13</v>
      </c>
      <c r="K259" s="16">
        <f t="shared" si="14"/>
        <v>8.6</v>
      </c>
      <c r="L259" s="16">
        <f t="shared" si="15"/>
        <v>3</v>
      </c>
      <c r="M259" s="5"/>
      <c r="N259" s="5"/>
      <c r="O259" s="5"/>
    </row>
    <row r="260" spans="2:15" x14ac:dyDescent="0.2">
      <c r="B260" s="63"/>
      <c r="C260" s="16">
        <v>3</v>
      </c>
      <c r="D260" s="16">
        <f t="shared" si="28"/>
        <v>27</v>
      </c>
      <c r="E260" s="16">
        <v>6</v>
      </c>
      <c r="F260" s="16">
        <v>13</v>
      </c>
      <c r="G260" s="16">
        <v>9</v>
      </c>
      <c r="H260" s="16">
        <v>20</v>
      </c>
      <c r="I260" s="16">
        <v>25</v>
      </c>
      <c r="J260" s="16">
        <f t="shared" ref="J260:J323" si="29">SUM(E260:I260)</f>
        <v>73</v>
      </c>
      <c r="K260" s="16">
        <f t="shared" ref="K260:K323" si="30">AVERAGE(SUM(E260*1,F260*2,G260*3,H260*4,I260*5))/(5*100)*100</f>
        <v>52.800000000000004</v>
      </c>
      <c r="L260" s="16">
        <f t="shared" ref="L260:L323" si="31">I260</f>
        <v>25</v>
      </c>
      <c r="M260" s="5"/>
      <c r="N260" s="5"/>
      <c r="O260" s="5"/>
    </row>
    <row r="261" spans="2:15" x14ac:dyDescent="0.2">
      <c r="B261" s="63"/>
      <c r="C261" s="16">
        <v>4</v>
      </c>
      <c r="D261" s="16">
        <f t="shared" si="28"/>
        <v>49</v>
      </c>
      <c r="E261" s="16">
        <v>12</v>
      </c>
      <c r="F261" s="16">
        <v>4</v>
      </c>
      <c r="G261" s="16">
        <v>3</v>
      </c>
      <c r="H261" s="16">
        <v>5</v>
      </c>
      <c r="I261" s="16">
        <v>27</v>
      </c>
      <c r="J261" s="16">
        <f t="shared" si="29"/>
        <v>51</v>
      </c>
      <c r="K261" s="16">
        <f t="shared" si="30"/>
        <v>36.799999999999997</v>
      </c>
      <c r="L261" s="16">
        <f t="shared" si="31"/>
        <v>27</v>
      </c>
      <c r="M261" s="5"/>
      <c r="N261" s="5"/>
      <c r="O261" s="5"/>
    </row>
    <row r="262" spans="2:15" x14ac:dyDescent="0.2">
      <c r="B262" s="63"/>
      <c r="C262" s="16">
        <v>5</v>
      </c>
      <c r="D262" s="16">
        <f t="shared" si="28"/>
        <v>25</v>
      </c>
      <c r="E262" s="16">
        <v>14</v>
      </c>
      <c r="F262" s="16">
        <v>11</v>
      </c>
      <c r="G262" s="16">
        <v>5</v>
      </c>
      <c r="H262" s="16">
        <v>3</v>
      </c>
      <c r="I262" s="16">
        <v>42</v>
      </c>
      <c r="J262" s="16">
        <f t="shared" si="29"/>
        <v>75</v>
      </c>
      <c r="K262" s="16">
        <f t="shared" si="30"/>
        <v>54.6</v>
      </c>
      <c r="L262" s="16">
        <f t="shared" si="31"/>
        <v>42</v>
      </c>
      <c r="M262" s="5"/>
      <c r="N262" s="5"/>
      <c r="O262" s="5"/>
    </row>
    <row r="263" spans="2:15" x14ac:dyDescent="0.2">
      <c r="B263" s="63" t="s">
        <v>551</v>
      </c>
      <c r="C263" s="16">
        <v>1</v>
      </c>
      <c r="D263" s="16">
        <f t="shared" si="28"/>
        <v>70</v>
      </c>
      <c r="E263" s="16">
        <v>10</v>
      </c>
      <c r="F263" s="16">
        <v>8</v>
      </c>
      <c r="G263" s="16">
        <v>4</v>
      </c>
      <c r="H263" s="16">
        <v>6</v>
      </c>
      <c r="I263" s="16">
        <v>2</v>
      </c>
      <c r="J263" s="16">
        <f t="shared" si="29"/>
        <v>30</v>
      </c>
      <c r="K263" s="16">
        <f t="shared" si="30"/>
        <v>14.399999999999999</v>
      </c>
      <c r="L263" s="16">
        <f t="shared" si="31"/>
        <v>2</v>
      </c>
      <c r="M263" s="5">
        <f t="shared" ref="M263" si="32">AVERAGE((SUM(E263:I263)), (SUM(E264:I264)), (SUM(E265:I265)), (SUM(E266:I266)), (SUM(E267:I267)))</f>
        <v>31</v>
      </c>
      <c r="N263" s="5">
        <f t="shared" ref="N263" si="33">AVERAGE((SUM(D263*0+E263*1+F263*2+G263*3+H263*4+I263*5)/(5*100)*100), (SUM(D264*0+E264*1+F264*2+G264*3+H264*4+I264*5)/(5*100)*100), (SUM(D265*0+E265*1+F265*2+G265*3+H265*4+I265*5)/(5*100)*100), (SUM(D266*0+E266*1+F266*2+G266*3+H266*4+I266*5)/(5*100)*100), (SUM(D267*0+E267*1+F267*2+G267*3+H267*4+I267*5)/(5*100)*100))</f>
        <v>16.119999999999997</v>
      </c>
      <c r="O263" s="5">
        <f t="shared" ref="O263" si="34">AVERAGE(I263:I267)</f>
        <v>4.8</v>
      </c>
    </row>
    <row r="264" spans="2:15" x14ac:dyDescent="0.2">
      <c r="B264" s="63"/>
      <c r="C264" s="16">
        <v>2</v>
      </c>
      <c r="D264" s="16">
        <f t="shared" si="28"/>
        <v>72</v>
      </c>
      <c r="E264" s="16">
        <v>8</v>
      </c>
      <c r="F264" s="16">
        <v>4</v>
      </c>
      <c r="G264" s="16">
        <v>5</v>
      </c>
      <c r="H264" s="16">
        <v>9</v>
      </c>
      <c r="I264" s="16">
        <v>2</v>
      </c>
      <c r="J264" s="16">
        <f t="shared" si="29"/>
        <v>28</v>
      </c>
      <c r="K264" s="16">
        <f t="shared" si="30"/>
        <v>15.4</v>
      </c>
      <c r="L264" s="16">
        <f t="shared" si="31"/>
        <v>2</v>
      </c>
      <c r="M264" s="5"/>
      <c r="N264" s="5"/>
      <c r="O264" s="5"/>
    </row>
    <row r="265" spans="2:15" x14ac:dyDescent="0.2">
      <c r="B265" s="63"/>
      <c r="C265" s="16">
        <v>3</v>
      </c>
      <c r="D265" s="16">
        <f t="shared" si="28"/>
        <v>76</v>
      </c>
      <c r="E265" s="16">
        <v>10</v>
      </c>
      <c r="F265" s="16">
        <v>5</v>
      </c>
      <c r="G265" s="16">
        <v>3</v>
      </c>
      <c r="H265" s="16">
        <v>4</v>
      </c>
      <c r="I265" s="16">
        <v>2</v>
      </c>
      <c r="J265" s="16">
        <f t="shared" si="29"/>
        <v>24</v>
      </c>
      <c r="K265" s="16">
        <f t="shared" si="30"/>
        <v>11</v>
      </c>
      <c r="L265" s="16">
        <f t="shared" si="31"/>
        <v>2</v>
      </c>
      <c r="M265" s="5"/>
      <c r="N265" s="5"/>
      <c r="O265" s="5"/>
    </row>
    <row r="266" spans="2:15" x14ac:dyDescent="0.2">
      <c r="B266" s="63"/>
      <c r="C266" s="16">
        <v>4</v>
      </c>
      <c r="D266" s="16">
        <f t="shared" si="28"/>
        <v>71</v>
      </c>
      <c r="E266" s="16">
        <v>10</v>
      </c>
      <c r="F266" s="16">
        <v>3</v>
      </c>
      <c r="G266" s="16">
        <v>4</v>
      </c>
      <c r="H266" s="16">
        <v>4</v>
      </c>
      <c r="I266" s="16">
        <v>8</v>
      </c>
      <c r="J266" s="16">
        <f t="shared" si="29"/>
        <v>29</v>
      </c>
      <c r="K266" s="16">
        <f t="shared" si="30"/>
        <v>16.8</v>
      </c>
      <c r="L266" s="16">
        <f t="shared" si="31"/>
        <v>8</v>
      </c>
      <c r="M266" s="5"/>
      <c r="N266" s="5"/>
      <c r="O266" s="5"/>
    </row>
    <row r="267" spans="2:15" x14ac:dyDescent="0.2">
      <c r="B267" s="63"/>
      <c r="C267" s="16">
        <v>5</v>
      </c>
      <c r="D267" s="16">
        <f t="shared" si="28"/>
        <v>56</v>
      </c>
      <c r="E267" s="16">
        <v>11</v>
      </c>
      <c r="F267" s="16">
        <v>17</v>
      </c>
      <c r="G267" s="16">
        <v>4</v>
      </c>
      <c r="H267" s="16">
        <v>2</v>
      </c>
      <c r="I267" s="16">
        <v>10</v>
      </c>
      <c r="J267" s="16">
        <f t="shared" si="29"/>
        <v>44</v>
      </c>
      <c r="K267" s="16">
        <f t="shared" si="30"/>
        <v>23</v>
      </c>
      <c r="L267" s="16">
        <f t="shared" si="31"/>
        <v>10</v>
      </c>
      <c r="M267" s="5"/>
      <c r="N267" s="5"/>
      <c r="O267" s="5"/>
    </row>
    <row r="268" spans="2:15" x14ac:dyDescent="0.2">
      <c r="B268" s="63" t="s">
        <v>552</v>
      </c>
      <c r="C268" s="16">
        <v>1</v>
      </c>
      <c r="D268" s="16">
        <f t="shared" si="28"/>
        <v>60</v>
      </c>
      <c r="E268" s="16">
        <v>1</v>
      </c>
      <c r="F268" s="16">
        <v>0</v>
      </c>
      <c r="G268" s="16">
        <v>3</v>
      </c>
      <c r="H268" s="16">
        <v>5</v>
      </c>
      <c r="I268" s="16">
        <v>31</v>
      </c>
      <c r="J268" s="16">
        <f t="shared" si="29"/>
        <v>40</v>
      </c>
      <c r="K268" s="16">
        <f t="shared" si="30"/>
        <v>37</v>
      </c>
      <c r="L268" s="16">
        <f t="shared" si="31"/>
        <v>31</v>
      </c>
      <c r="M268" s="5">
        <f t="shared" ref="M268" si="35">AVERAGE((SUM(E268:I268)), (SUM(E269:I269)), (SUM(E270:I270)), (SUM(E271:I271)), (SUM(E272:I272)))</f>
        <v>39.200000000000003</v>
      </c>
      <c r="N268" s="5">
        <f t="shared" ref="N268" si="36">AVERAGE((SUM(D268*0+E268*1+F268*2+G268*3+H268*4+I268*5)/(5*100)*100), (SUM(D269*0+E269*1+F269*2+G269*3+H269*4+I269*5)/(5*100)*100), (SUM(D270*0+E270*1+F270*2+G270*3+H270*4+I270*5)/(5*100)*100), (SUM(D271*0+E271*1+F271*2+G271*3+H271*4+I271*5)/(5*100)*100), (SUM(D272*0+E272*1+F272*2+G272*3+H272*4+I272*5)/(5*100)*100))</f>
        <v>35.56</v>
      </c>
      <c r="O268" s="5">
        <f t="shared" ref="O268" si="37">AVERAGE(I268:I272)</f>
        <v>28.2</v>
      </c>
    </row>
    <row r="269" spans="2:15" x14ac:dyDescent="0.2">
      <c r="B269" s="63"/>
      <c r="C269" s="16">
        <v>2</v>
      </c>
      <c r="D269" s="16">
        <f t="shared" si="28"/>
        <v>67</v>
      </c>
      <c r="E269" s="16">
        <v>2</v>
      </c>
      <c r="F269" s="16">
        <v>1</v>
      </c>
      <c r="G269" s="16">
        <v>3</v>
      </c>
      <c r="H269" s="16">
        <v>1</v>
      </c>
      <c r="I269" s="16">
        <v>26</v>
      </c>
      <c r="J269" s="16">
        <f t="shared" si="29"/>
        <v>33</v>
      </c>
      <c r="K269" s="16">
        <f t="shared" si="30"/>
        <v>29.4</v>
      </c>
      <c r="L269" s="16">
        <f t="shared" si="31"/>
        <v>26</v>
      </c>
      <c r="M269" s="5"/>
      <c r="N269" s="5"/>
      <c r="O269" s="5"/>
    </row>
    <row r="270" spans="2:15" x14ac:dyDescent="0.2">
      <c r="B270" s="63"/>
      <c r="C270" s="16">
        <v>3</v>
      </c>
      <c r="D270" s="16">
        <f t="shared" si="28"/>
        <v>44</v>
      </c>
      <c r="E270" s="16">
        <v>0</v>
      </c>
      <c r="F270" s="16">
        <v>2</v>
      </c>
      <c r="G270" s="16">
        <v>1</v>
      </c>
      <c r="H270" s="16">
        <v>9</v>
      </c>
      <c r="I270" s="16">
        <v>44</v>
      </c>
      <c r="J270" s="16">
        <f t="shared" si="29"/>
        <v>56</v>
      </c>
      <c r="K270" s="16">
        <f t="shared" si="30"/>
        <v>52.6</v>
      </c>
      <c r="L270" s="16">
        <f t="shared" si="31"/>
        <v>44</v>
      </c>
      <c r="M270" s="5"/>
      <c r="N270" s="5"/>
      <c r="O270" s="5"/>
    </row>
    <row r="271" spans="2:15" x14ac:dyDescent="0.2">
      <c r="B271" s="63"/>
      <c r="C271" s="16">
        <v>4</v>
      </c>
      <c r="D271" s="16">
        <f t="shared" si="28"/>
        <v>67</v>
      </c>
      <c r="E271" s="16">
        <v>0</v>
      </c>
      <c r="F271" s="16">
        <v>1</v>
      </c>
      <c r="G271" s="16">
        <v>8</v>
      </c>
      <c r="H271" s="16">
        <v>6</v>
      </c>
      <c r="I271" s="16">
        <v>18</v>
      </c>
      <c r="J271" s="16">
        <f t="shared" si="29"/>
        <v>33</v>
      </c>
      <c r="K271" s="16">
        <f t="shared" si="30"/>
        <v>28.000000000000004</v>
      </c>
      <c r="L271" s="16">
        <f t="shared" si="31"/>
        <v>18</v>
      </c>
      <c r="M271" s="5"/>
      <c r="N271" s="5"/>
      <c r="O271" s="5"/>
    </row>
    <row r="272" spans="2:15" x14ac:dyDescent="0.2">
      <c r="B272" s="63"/>
      <c r="C272" s="16">
        <v>5</v>
      </c>
      <c r="D272" s="16">
        <f t="shared" si="28"/>
        <v>66</v>
      </c>
      <c r="E272" s="16">
        <v>0</v>
      </c>
      <c r="F272" s="16">
        <v>1</v>
      </c>
      <c r="G272" s="16">
        <v>2</v>
      </c>
      <c r="H272" s="16">
        <v>9</v>
      </c>
      <c r="I272" s="16">
        <v>22</v>
      </c>
      <c r="J272" s="16">
        <f t="shared" si="29"/>
        <v>34</v>
      </c>
      <c r="K272" s="16">
        <f t="shared" si="30"/>
        <v>30.8</v>
      </c>
      <c r="L272" s="16">
        <f t="shared" si="31"/>
        <v>22</v>
      </c>
      <c r="M272" s="5"/>
      <c r="N272" s="5"/>
      <c r="O272" s="5"/>
    </row>
    <row r="273" spans="2:15" x14ac:dyDescent="0.2">
      <c r="B273" s="63" t="s">
        <v>553</v>
      </c>
      <c r="C273" s="16">
        <v>1</v>
      </c>
      <c r="D273" s="16">
        <f t="shared" si="28"/>
        <v>70</v>
      </c>
      <c r="E273" s="16">
        <v>16</v>
      </c>
      <c r="F273" s="16">
        <v>7</v>
      </c>
      <c r="G273" s="16">
        <v>4</v>
      </c>
      <c r="H273" s="16">
        <v>2</v>
      </c>
      <c r="I273" s="16">
        <v>1</v>
      </c>
      <c r="J273" s="16">
        <f t="shared" si="29"/>
        <v>30</v>
      </c>
      <c r="K273" s="16">
        <f t="shared" si="30"/>
        <v>11</v>
      </c>
      <c r="L273" s="16">
        <f t="shared" si="31"/>
        <v>1</v>
      </c>
      <c r="M273" s="5">
        <f t="shared" ref="M273" si="38">AVERAGE((SUM(E273:I273)), (SUM(E274:I274)), (SUM(E275:I275)), (SUM(E276:I276)), (SUM(E277:I277)))</f>
        <v>38.200000000000003</v>
      </c>
      <c r="N273" s="5">
        <f t="shared" ref="N273" si="39">AVERAGE((SUM(D273*0+E273*1+F273*2+G273*3+H273*4+I273*5)/(5*100)*100), (SUM(D274*0+E274*1+F274*2+G274*3+H274*4+I274*5)/(5*100)*100), (SUM(D275*0+E275*1+F275*2+G275*3+H275*4+I275*5)/(5*100)*100), (SUM(D276*0+E276*1+F276*2+G276*3+H276*4+I276*5)/(5*100)*100), (SUM(D277*0+E277*1+F277*2+G277*3+H277*4+I277*5)/(5*100)*100))</f>
        <v>14.76</v>
      </c>
      <c r="O273" s="5">
        <f t="shared" ref="O273" si="40">AVERAGE(I273:I277)</f>
        <v>0.2</v>
      </c>
    </row>
    <row r="274" spans="2:15" x14ac:dyDescent="0.2">
      <c r="B274" s="63"/>
      <c r="C274" s="16">
        <v>2</v>
      </c>
      <c r="D274" s="16">
        <f t="shared" si="28"/>
        <v>54</v>
      </c>
      <c r="E274" s="16">
        <v>25</v>
      </c>
      <c r="F274" s="16">
        <v>10</v>
      </c>
      <c r="G274" s="16">
        <v>10</v>
      </c>
      <c r="H274" s="16">
        <v>1</v>
      </c>
      <c r="I274" s="16">
        <v>0</v>
      </c>
      <c r="J274" s="16">
        <f t="shared" si="29"/>
        <v>46</v>
      </c>
      <c r="K274" s="16">
        <f t="shared" si="30"/>
        <v>15.8</v>
      </c>
      <c r="L274" s="16">
        <f t="shared" si="31"/>
        <v>0</v>
      </c>
      <c r="M274" s="5"/>
      <c r="N274" s="5"/>
      <c r="O274" s="5"/>
    </row>
    <row r="275" spans="2:15" x14ac:dyDescent="0.2">
      <c r="B275" s="63"/>
      <c r="C275" s="16">
        <v>3</v>
      </c>
      <c r="D275" s="16">
        <f t="shared" si="28"/>
        <v>67</v>
      </c>
      <c r="E275" s="16">
        <v>15</v>
      </c>
      <c r="F275" s="16">
        <v>10</v>
      </c>
      <c r="G275" s="16">
        <v>5</v>
      </c>
      <c r="H275" s="16">
        <v>3</v>
      </c>
      <c r="I275" s="16">
        <v>0</v>
      </c>
      <c r="J275" s="16">
        <f t="shared" si="29"/>
        <v>33</v>
      </c>
      <c r="K275" s="16">
        <f t="shared" si="30"/>
        <v>12.4</v>
      </c>
      <c r="L275" s="16">
        <f t="shared" si="31"/>
        <v>0</v>
      </c>
      <c r="M275" s="5"/>
      <c r="N275" s="5"/>
      <c r="O275" s="5"/>
    </row>
    <row r="276" spans="2:15" x14ac:dyDescent="0.2">
      <c r="B276" s="63"/>
      <c r="C276" s="16">
        <v>4</v>
      </c>
      <c r="D276" s="16">
        <f t="shared" si="28"/>
        <v>60</v>
      </c>
      <c r="E276" s="16">
        <v>14</v>
      </c>
      <c r="F276" s="16">
        <v>12</v>
      </c>
      <c r="G276" s="16">
        <v>7</v>
      </c>
      <c r="H276" s="16">
        <v>7</v>
      </c>
      <c r="I276" s="16">
        <v>0</v>
      </c>
      <c r="J276" s="16">
        <f t="shared" si="29"/>
        <v>40</v>
      </c>
      <c r="K276" s="16">
        <f t="shared" si="30"/>
        <v>17.399999999999999</v>
      </c>
      <c r="L276" s="16">
        <f t="shared" si="31"/>
        <v>0</v>
      </c>
      <c r="M276" s="5"/>
      <c r="N276" s="5"/>
      <c r="O276" s="5"/>
    </row>
    <row r="277" spans="2:15" x14ac:dyDescent="0.2">
      <c r="B277" s="63"/>
      <c r="C277" s="16">
        <v>5</v>
      </c>
      <c r="D277" s="16">
        <f t="shared" si="28"/>
        <v>58</v>
      </c>
      <c r="E277" s="16">
        <v>17</v>
      </c>
      <c r="F277" s="16">
        <v>10</v>
      </c>
      <c r="G277" s="16">
        <v>11</v>
      </c>
      <c r="H277" s="16">
        <v>4</v>
      </c>
      <c r="I277" s="16">
        <v>0</v>
      </c>
      <c r="J277" s="16">
        <f t="shared" si="29"/>
        <v>42</v>
      </c>
      <c r="K277" s="16">
        <f t="shared" si="30"/>
        <v>17.2</v>
      </c>
      <c r="L277" s="16">
        <f t="shared" si="31"/>
        <v>0</v>
      </c>
      <c r="M277" s="5"/>
      <c r="N277" s="5"/>
      <c r="O277" s="5"/>
    </row>
    <row r="278" spans="2:15" x14ac:dyDescent="0.2">
      <c r="B278" s="63" t="s">
        <v>554</v>
      </c>
      <c r="C278" s="16">
        <v>1</v>
      </c>
      <c r="D278" s="16">
        <f t="shared" si="28"/>
        <v>43</v>
      </c>
      <c r="E278" s="16">
        <v>5</v>
      </c>
      <c r="F278" s="16">
        <v>2</v>
      </c>
      <c r="G278" s="16">
        <v>9</v>
      </c>
      <c r="H278" s="16">
        <v>9</v>
      </c>
      <c r="I278" s="16">
        <v>32</v>
      </c>
      <c r="J278" s="16">
        <f t="shared" si="29"/>
        <v>57</v>
      </c>
      <c r="K278" s="16">
        <f t="shared" si="30"/>
        <v>46.400000000000006</v>
      </c>
      <c r="L278" s="16">
        <f t="shared" si="31"/>
        <v>32</v>
      </c>
      <c r="M278" s="5">
        <f t="shared" ref="M278" si="41">AVERAGE((SUM(E278:I278)), (SUM(E279:I279)), (SUM(E280:I280)), (SUM(E281:I281)), (SUM(E282:I282)))</f>
        <v>52.2</v>
      </c>
      <c r="N278" s="5">
        <f t="shared" ref="N278" si="42">AVERAGE((SUM(D278*0+E278*1+F278*2+G278*3+H278*4+I278*5)/(5*100)*100), (SUM(D279*0+E279*1+F279*2+G279*3+H279*4+I279*5)/(5*100)*100), (SUM(D280*0+E280*1+F280*2+G280*3+H280*4+I280*5)/(5*100)*100), (SUM(D281*0+E281*1+F281*2+G281*3+H281*4+I281*5)/(5*100)*100), (SUM(D282*0+E282*1+F282*2+G282*3+H282*4+I282*5)/(5*100)*100))</f>
        <v>40.08</v>
      </c>
      <c r="O278" s="5">
        <f t="shared" ref="O278" si="43">AVERAGE(I278:I282)</f>
        <v>22.6</v>
      </c>
    </row>
    <row r="279" spans="2:15" x14ac:dyDescent="0.2">
      <c r="B279" s="63"/>
      <c r="C279" s="16">
        <v>2</v>
      </c>
      <c r="D279" s="16">
        <f t="shared" si="28"/>
        <v>44</v>
      </c>
      <c r="E279" s="16">
        <v>2</v>
      </c>
      <c r="F279" s="16">
        <v>5</v>
      </c>
      <c r="G279" s="16">
        <v>9</v>
      </c>
      <c r="H279" s="16">
        <v>12</v>
      </c>
      <c r="I279" s="16">
        <v>28</v>
      </c>
      <c r="J279" s="16">
        <f t="shared" si="29"/>
        <v>56</v>
      </c>
      <c r="K279" s="16">
        <f t="shared" si="30"/>
        <v>45.4</v>
      </c>
      <c r="L279" s="16">
        <f t="shared" si="31"/>
        <v>28</v>
      </c>
      <c r="M279" s="5"/>
      <c r="N279" s="5"/>
      <c r="O279" s="5"/>
    </row>
    <row r="280" spans="2:15" x14ac:dyDescent="0.2">
      <c r="B280" s="63"/>
      <c r="C280" s="16">
        <v>3</v>
      </c>
      <c r="D280" s="16">
        <f t="shared" si="28"/>
        <v>34</v>
      </c>
      <c r="E280" s="16">
        <v>3</v>
      </c>
      <c r="F280" s="16">
        <v>6</v>
      </c>
      <c r="G280" s="16">
        <v>16</v>
      </c>
      <c r="H280" s="16">
        <v>10</v>
      </c>
      <c r="I280" s="16">
        <v>31</v>
      </c>
      <c r="J280" s="16">
        <f t="shared" si="29"/>
        <v>66</v>
      </c>
      <c r="K280" s="16">
        <f t="shared" si="30"/>
        <v>51.6</v>
      </c>
      <c r="L280" s="16">
        <f t="shared" si="31"/>
        <v>31</v>
      </c>
      <c r="M280" s="5"/>
      <c r="N280" s="5"/>
      <c r="O280" s="5"/>
    </row>
    <row r="281" spans="2:15" x14ac:dyDescent="0.2">
      <c r="B281" s="63"/>
      <c r="C281" s="16">
        <v>4</v>
      </c>
      <c r="D281" s="16">
        <f t="shared" si="28"/>
        <v>69</v>
      </c>
      <c r="E281" s="16">
        <v>6</v>
      </c>
      <c r="F281" s="16">
        <v>1</v>
      </c>
      <c r="G281" s="16">
        <v>9</v>
      </c>
      <c r="H281" s="16">
        <v>4</v>
      </c>
      <c r="I281" s="16">
        <v>11</v>
      </c>
      <c r="J281" s="16">
        <f t="shared" si="29"/>
        <v>31</v>
      </c>
      <c r="K281" s="16">
        <f t="shared" si="30"/>
        <v>21.2</v>
      </c>
      <c r="L281" s="16">
        <f t="shared" si="31"/>
        <v>11</v>
      </c>
      <c r="M281" s="5"/>
      <c r="N281" s="5"/>
      <c r="O281" s="5"/>
    </row>
    <row r="282" spans="2:15" x14ac:dyDescent="0.2">
      <c r="B282" s="63"/>
      <c r="C282" s="16">
        <v>5</v>
      </c>
      <c r="D282" s="16">
        <f t="shared" si="28"/>
        <v>49</v>
      </c>
      <c r="E282" s="16">
        <v>3</v>
      </c>
      <c r="F282" s="16">
        <v>6</v>
      </c>
      <c r="G282" s="16">
        <v>15</v>
      </c>
      <c r="H282" s="16">
        <v>16</v>
      </c>
      <c r="I282" s="16">
        <v>11</v>
      </c>
      <c r="J282" s="16">
        <f t="shared" si="29"/>
        <v>51</v>
      </c>
      <c r="K282" s="16">
        <f t="shared" si="30"/>
        <v>35.799999999999997</v>
      </c>
      <c r="L282" s="16">
        <f t="shared" si="31"/>
        <v>11</v>
      </c>
      <c r="M282" s="5"/>
      <c r="N282" s="5"/>
      <c r="O282" s="5"/>
    </row>
    <row r="283" spans="2:15" x14ac:dyDescent="0.2">
      <c r="B283" s="63" t="s">
        <v>555</v>
      </c>
      <c r="C283" s="16">
        <v>1</v>
      </c>
      <c r="D283" s="16">
        <f t="shared" si="28"/>
        <v>89</v>
      </c>
      <c r="E283" s="16">
        <v>1</v>
      </c>
      <c r="F283" s="16">
        <v>2</v>
      </c>
      <c r="G283" s="16">
        <v>2</v>
      </c>
      <c r="H283" s="16">
        <v>6</v>
      </c>
      <c r="I283" s="16">
        <v>0</v>
      </c>
      <c r="J283" s="16">
        <f t="shared" si="29"/>
        <v>11</v>
      </c>
      <c r="K283" s="16">
        <f t="shared" si="30"/>
        <v>7.0000000000000009</v>
      </c>
      <c r="L283" s="16">
        <f t="shared" si="31"/>
        <v>0</v>
      </c>
      <c r="M283" s="5">
        <f t="shared" ref="M283" si="44">AVERAGE((SUM(E283:I283)), (SUM(E284:I284)), (SUM(E285:I285)), (SUM(E286:I286)), (SUM(E287:I287)))</f>
        <v>10.6</v>
      </c>
      <c r="N283" s="5">
        <f t="shared" ref="N283" si="45">AVERAGE((SUM(D283*0+E283*1+F283*2+G283*3+H283*4+I283*5)/(5*100)*100), (SUM(D284*0+E284*1+F284*2+G284*3+H284*4+I284*5)/(5*100)*100), (SUM(D285*0+E285*1+F285*2+G285*3+H285*4+I285*5)/(5*100)*100), (SUM(D286*0+E286*1+F286*2+G286*3+H286*4+I286*5)/(5*100)*100), (SUM(D287*0+E287*1+F287*2+G287*3+H287*4+I287*5)/(5*100)*100))</f>
        <v>6.5600000000000005</v>
      </c>
      <c r="O283" s="5">
        <f t="shared" ref="O283" si="46">AVERAGE(I283:I287)</f>
        <v>0.8</v>
      </c>
    </row>
    <row r="284" spans="2:15" x14ac:dyDescent="0.2">
      <c r="B284" s="63"/>
      <c r="C284" s="16">
        <v>2</v>
      </c>
      <c r="D284" s="16">
        <f t="shared" si="28"/>
        <v>89</v>
      </c>
      <c r="E284" s="16">
        <v>0</v>
      </c>
      <c r="F284" s="16">
        <v>1</v>
      </c>
      <c r="G284" s="16">
        <v>1</v>
      </c>
      <c r="H284" s="16">
        <v>7</v>
      </c>
      <c r="I284" s="16">
        <v>2</v>
      </c>
      <c r="J284" s="16">
        <f t="shared" si="29"/>
        <v>11</v>
      </c>
      <c r="K284" s="16">
        <f t="shared" si="30"/>
        <v>8.6</v>
      </c>
      <c r="L284" s="16">
        <f t="shared" si="31"/>
        <v>2</v>
      </c>
      <c r="M284" s="5"/>
      <c r="N284" s="5"/>
      <c r="O284" s="5"/>
    </row>
    <row r="285" spans="2:15" x14ac:dyDescent="0.2">
      <c r="B285" s="63"/>
      <c r="C285" s="16">
        <v>3</v>
      </c>
      <c r="D285" s="16">
        <f t="shared" si="28"/>
        <v>86</v>
      </c>
      <c r="E285" s="16">
        <v>1</v>
      </c>
      <c r="F285" s="16">
        <v>3</v>
      </c>
      <c r="G285" s="16">
        <v>3</v>
      </c>
      <c r="H285" s="16">
        <v>6</v>
      </c>
      <c r="I285" s="16">
        <v>1</v>
      </c>
      <c r="J285" s="16">
        <f t="shared" si="29"/>
        <v>14</v>
      </c>
      <c r="K285" s="16">
        <f t="shared" si="30"/>
        <v>9</v>
      </c>
      <c r="L285" s="16">
        <f t="shared" si="31"/>
        <v>1</v>
      </c>
      <c r="M285" s="5"/>
      <c r="N285" s="5"/>
      <c r="O285" s="5"/>
    </row>
    <row r="286" spans="2:15" x14ac:dyDescent="0.2">
      <c r="B286" s="63"/>
      <c r="C286" s="16">
        <v>4</v>
      </c>
      <c r="D286" s="16">
        <f t="shared" si="28"/>
        <v>92</v>
      </c>
      <c r="E286" s="16">
        <v>4</v>
      </c>
      <c r="F286" s="16">
        <v>1</v>
      </c>
      <c r="G286" s="16">
        <v>0</v>
      </c>
      <c r="H286" s="16">
        <v>3</v>
      </c>
      <c r="I286" s="16">
        <v>0</v>
      </c>
      <c r="J286" s="16">
        <f t="shared" si="29"/>
        <v>8</v>
      </c>
      <c r="K286" s="16">
        <f t="shared" si="30"/>
        <v>3.5999999999999996</v>
      </c>
      <c r="L286" s="16">
        <f t="shared" si="31"/>
        <v>0</v>
      </c>
      <c r="M286" s="5"/>
      <c r="N286" s="5"/>
      <c r="O286" s="5"/>
    </row>
    <row r="287" spans="2:15" x14ac:dyDescent="0.2">
      <c r="B287" s="63"/>
      <c r="C287" s="16">
        <v>5</v>
      </c>
      <c r="D287" s="16">
        <f t="shared" si="28"/>
        <v>91</v>
      </c>
      <c r="E287" s="16">
        <v>3</v>
      </c>
      <c r="F287" s="16">
        <v>2</v>
      </c>
      <c r="G287" s="16">
        <v>1</v>
      </c>
      <c r="H287" s="16">
        <v>2</v>
      </c>
      <c r="I287" s="16">
        <v>1</v>
      </c>
      <c r="J287" s="16">
        <f t="shared" si="29"/>
        <v>9</v>
      </c>
      <c r="K287" s="16">
        <f t="shared" si="30"/>
        <v>4.5999999999999996</v>
      </c>
      <c r="L287" s="16">
        <f t="shared" si="31"/>
        <v>1</v>
      </c>
      <c r="M287" s="5"/>
      <c r="N287" s="5"/>
      <c r="O287" s="5"/>
    </row>
    <row r="288" spans="2:15" x14ac:dyDescent="0.2">
      <c r="B288" s="63" t="s">
        <v>556</v>
      </c>
      <c r="C288" s="16">
        <v>1</v>
      </c>
      <c r="D288" s="16">
        <f t="shared" si="28"/>
        <v>87</v>
      </c>
      <c r="E288" s="16">
        <v>3</v>
      </c>
      <c r="F288" s="16">
        <v>1</v>
      </c>
      <c r="G288" s="16">
        <v>1</v>
      </c>
      <c r="H288" s="16">
        <v>5</v>
      </c>
      <c r="I288" s="16">
        <v>3</v>
      </c>
      <c r="J288" s="16">
        <f t="shared" si="29"/>
        <v>13</v>
      </c>
      <c r="K288" s="16">
        <f t="shared" si="30"/>
        <v>8.6</v>
      </c>
      <c r="L288" s="16">
        <f t="shared" si="31"/>
        <v>3</v>
      </c>
      <c r="M288" s="5">
        <f t="shared" ref="M288" si="47">AVERAGE((SUM(E288:I288)), (SUM(E289:I289)), (SUM(E290:I290)), (SUM(E291:I291)), (SUM(E292:I292)))</f>
        <v>7.2</v>
      </c>
      <c r="N288" s="5">
        <f t="shared" ref="N288" si="48">AVERAGE((SUM(D288*0+E288*1+F288*2+G288*3+H288*4+I288*5)/(5*100)*100), (SUM(D289*0+E289*1+F289*2+G289*3+H289*4+I289*5)/(5*100)*100), (SUM(D290*0+E290*1+F290*2+G290*3+H290*4+I290*5)/(5*100)*100), (SUM(D291*0+E291*1+F291*2+G291*3+H291*4+I291*5)/(5*100)*100), (SUM(D292*0+E292*1+F292*2+G292*3+H292*4+I292*5)/(5*100)*100))</f>
        <v>4.4399999999999995</v>
      </c>
      <c r="O288" s="5">
        <f t="shared" ref="O288" si="49">AVERAGE(I288:I292)</f>
        <v>1.2</v>
      </c>
    </row>
    <row r="289" spans="2:15" x14ac:dyDescent="0.2">
      <c r="B289" s="63"/>
      <c r="C289" s="16">
        <v>2</v>
      </c>
      <c r="D289" s="16">
        <f t="shared" si="28"/>
        <v>93</v>
      </c>
      <c r="E289" s="16">
        <v>1</v>
      </c>
      <c r="F289" s="16">
        <v>1</v>
      </c>
      <c r="G289" s="16">
        <v>2</v>
      </c>
      <c r="H289" s="16">
        <v>2</v>
      </c>
      <c r="I289" s="16">
        <v>1</v>
      </c>
      <c r="J289" s="16">
        <f t="shared" si="29"/>
        <v>7</v>
      </c>
      <c r="K289" s="16">
        <f t="shared" si="30"/>
        <v>4.3999999999999995</v>
      </c>
      <c r="L289" s="16">
        <f t="shared" si="31"/>
        <v>1</v>
      </c>
      <c r="M289" s="5"/>
      <c r="N289" s="5"/>
      <c r="O289" s="5"/>
    </row>
    <row r="290" spans="2:15" x14ac:dyDescent="0.2">
      <c r="B290" s="63"/>
      <c r="C290" s="16">
        <v>3</v>
      </c>
      <c r="D290" s="16">
        <f t="shared" si="28"/>
        <v>96</v>
      </c>
      <c r="E290" s="16">
        <v>1</v>
      </c>
      <c r="F290" s="16">
        <v>2</v>
      </c>
      <c r="G290" s="16">
        <v>0</v>
      </c>
      <c r="H290" s="16">
        <v>1</v>
      </c>
      <c r="I290" s="16">
        <v>0</v>
      </c>
      <c r="J290" s="16">
        <f t="shared" si="29"/>
        <v>4</v>
      </c>
      <c r="K290" s="16">
        <f t="shared" si="30"/>
        <v>1.7999999999999998</v>
      </c>
      <c r="L290" s="16">
        <f t="shared" si="31"/>
        <v>0</v>
      </c>
      <c r="M290" s="5"/>
      <c r="N290" s="5"/>
      <c r="O290" s="5"/>
    </row>
    <row r="291" spans="2:15" x14ac:dyDescent="0.2">
      <c r="B291" s="63"/>
      <c r="C291" s="16">
        <v>4</v>
      </c>
      <c r="D291" s="16">
        <f t="shared" si="28"/>
        <v>98</v>
      </c>
      <c r="E291" s="16">
        <v>0</v>
      </c>
      <c r="F291" s="16">
        <v>1</v>
      </c>
      <c r="G291" s="16">
        <v>0</v>
      </c>
      <c r="H291" s="16">
        <v>1</v>
      </c>
      <c r="I291" s="16">
        <v>0</v>
      </c>
      <c r="J291" s="16">
        <f t="shared" si="29"/>
        <v>2</v>
      </c>
      <c r="K291" s="16">
        <f t="shared" si="30"/>
        <v>1.2</v>
      </c>
      <c r="L291" s="16">
        <f t="shared" si="31"/>
        <v>0</v>
      </c>
      <c r="M291" s="5"/>
      <c r="N291" s="5"/>
      <c r="O291" s="5"/>
    </row>
    <row r="292" spans="2:15" x14ac:dyDescent="0.2">
      <c r="B292" s="63"/>
      <c r="C292" s="16">
        <v>5</v>
      </c>
      <c r="D292" s="16">
        <f t="shared" si="28"/>
        <v>90</v>
      </c>
      <c r="E292" s="16">
        <v>1</v>
      </c>
      <c r="F292" s="16">
        <v>3</v>
      </c>
      <c r="G292" s="16">
        <v>2</v>
      </c>
      <c r="H292" s="16">
        <v>2</v>
      </c>
      <c r="I292" s="16">
        <v>2</v>
      </c>
      <c r="J292" s="16">
        <f t="shared" si="29"/>
        <v>10</v>
      </c>
      <c r="K292" s="16">
        <f t="shared" si="30"/>
        <v>6.2</v>
      </c>
      <c r="L292" s="16">
        <f t="shared" si="31"/>
        <v>2</v>
      </c>
      <c r="M292" s="5"/>
      <c r="N292" s="5"/>
      <c r="O292" s="5"/>
    </row>
    <row r="293" spans="2:15" x14ac:dyDescent="0.2">
      <c r="B293" s="63" t="s">
        <v>557</v>
      </c>
      <c r="C293" s="16">
        <v>1</v>
      </c>
      <c r="D293" s="16">
        <f t="shared" si="28"/>
        <v>81</v>
      </c>
      <c r="E293" s="16">
        <v>10</v>
      </c>
      <c r="F293" s="16">
        <v>2</v>
      </c>
      <c r="G293" s="16">
        <v>0</v>
      </c>
      <c r="H293" s="16">
        <v>2</v>
      </c>
      <c r="I293" s="16">
        <v>5</v>
      </c>
      <c r="J293" s="16">
        <f t="shared" si="29"/>
        <v>19</v>
      </c>
      <c r="K293" s="16">
        <f t="shared" si="30"/>
        <v>9.4</v>
      </c>
      <c r="L293" s="16">
        <f t="shared" si="31"/>
        <v>5</v>
      </c>
      <c r="M293" s="5">
        <f t="shared" ref="M293" si="50">AVERAGE((SUM(E293:I293)), (SUM(E294:I294)), (SUM(E295:I295)), (SUM(E296:I296)), (SUM(E297:I297)))</f>
        <v>32.799999999999997</v>
      </c>
      <c r="N293" s="5">
        <f t="shared" ref="N293" si="51">AVERAGE((SUM(D293*0+E293*1+F293*2+G293*3+H293*4+I293*5)/(5*100)*100), (SUM(D294*0+E294*1+F294*2+G294*3+H294*4+I294*5)/(5*100)*100), (SUM(D295*0+E295*1+F295*2+G295*3+H295*4+I295*5)/(5*100)*100), (SUM(D296*0+E296*1+F296*2+G296*3+H296*4+I296*5)/(5*100)*100), (SUM(D297*0+E297*1+F297*2+G297*3+H297*4+I297*5)/(5*100)*100))</f>
        <v>18.119999999999997</v>
      </c>
      <c r="O293" s="5">
        <f t="shared" ref="O293" si="52">AVERAGE(I293:I297)</f>
        <v>7.6</v>
      </c>
    </row>
    <row r="294" spans="2:15" x14ac:dyDescent="0.2">
      <c r="B294" s="63"/>
      <c r="C294" s="16">
        <v>2</v>
      </c>
      <c r="D294" s="16">
        <f t="shared" si="28"/>
        <v>60</v>
      </c>
      <c r="E294" s="16">
        <v>16</v>
      </c>
      <c r="F294" s="16">
        <v>9</v>
      </c>
      <c r="G294" s="16">
        <v>5</v>
      </c>
      <c r="H294" s="16">
        <v>1</v>
      </c>
      <c r="I294" s="16">
        <v>9</v>
      </c>
      <c r="J294" s="16">
        <f t="shared" si="29"/>
        <v>40</v>
      </c>
      <c r="K294" s="16">
        <f t="shared" si="30"/>
        <v>19.600000000000001</v>
      </c>
      <c r="L294" s="16">
        <f t="shared" si="31"/>
        <v>9</v>
      </c>
      <c r="M294" s="5"/>
      <c r="N294" s="5"/>
      <c r="O294" s="5"/>
    </row>
    <row r="295" spans="2:15" x14ac:dyDescent="0.2">
      <c r="B295" s="63"/>
      <c r="C295" s="16">
        <v>3</v>
      </c>
      <c r="D295" s="16">
        <f t="shared" si="28"/>
        <v>43</v>
      </c>
      <c r="E295" s="16">
        <v>16</v>
      </c>
      <c r="F295" s="16">
        <v>12</v>
      </c>
      <c r="G295" s="16">
        <v>8</v>
      </c>
      <c r="H295" s="16">
        <v>9</v>
      </c>
      <c r="I295" s="16">
        <v>12</v>
      </c>
      <c r="J295" s="16">
        <f t="shared" si="29"/>
        <v>57</v>
      </c>
      <c r="K295" s="16">
        <f t="shared" si="30"/>
        <v>32</v>
      </c>
      <c r="L295" s="16">
        <f t="shared" si="31"/>
        <v>12</v>
      </c>
      <c r="M295" s="5"/>
      <c r="N295" s="5"/>
      <c r="O295" s="5"/>
    </row>
    <row r="296" spans="2:15" x14ac:dyDescent="0.2">
      <c r="B296" s="63"/>
      <c r="C296" s="16">
        <v>4</v>
      </c>
      <c r="D296" s="16">
        <f t="shared" si="28"/>
        <v>84</v>
      </c>
      <c r="E296" s="16">
        <v>2</v>
      </c>
      <c r="F296" s="16">
        <v>2</v>
      </c>
      <c r="G296" s="16">
        <v>3</v>
      </c>
      <c r="H296" s="16">
        <v>4</v>
      </c>
      <c r="I296" s="16">
        <v>5</v>
      </c>
      <c r="J296" s="16">
        <f t="shared" si="29"/>
        <v>16</v>
      </c>
      <c r="K296" s="16">
        <f t="shared" si="30"/>
        <v>11.200000000000001</v>
      </c>
      <c r="L296" s="16">
        <f t="shared" si="31"/>
        <v>5</v>
      </c>
      <c r="M296" s="5"/>
      <c r="N296" s="5"/>
      <c r="O296" s="5"/>
    </row>
    <row r="297" spans="2:15" x14ac:dyDescent="0.2">
      <c r="B297" s="63"/>
      <c r="C297" s="16">
        <v>5</v>
      </c>
      <c r="D297" s="16">
        <f t="shared" si="28"/>
        <v>68</v>
      </c>
      <c r="E297" s="16">
        <v>9</v>
      </c>
      <c r="F297" s="16">
        <v>5</v>
      </c>
      <c r="G297" s="16">
        <v>6</v>
      </c>
      <c r="H297" s="16">
        <v>5</v>
      </c>
      <c r="I297" s="16">
        <v>7</v>
      </c>
      <c r="J297" s="16">
        <f t="shared" si="29"/>
        <v>32</v>
      </c>
      <c r="K297" s="16">
        <f t="shared" si="30"/>
        <v>18.399999999999999</v>
      </c>
      <c r="L297" s="16">
        <f t="shared" si="31"/>
        <v>7</v>
      </c>
      <c r="M297" s="5"/>
      <c r="N297" s="5"/>
      <c r="O297" s="5"/>
    </row>
    <row r="298" spans="2:15" x14ac:dyDescent="0.2">
      <c r="B298" s="63" t="s">
        <v>558</v>
      </c>
      <c r="C298" s="16">
        <v>1</v>
      </c>
      <c r="D298" s="16">
        <f t="shared" si="28"/>
        <v>95</v>
      </c>
      <c r="E298" s="16">
        <v>0</v>
      </c>
      <c r="F298" s="16">
        <v>1</v>
      </c>
      <c r="G298" s="16">
        <v>0</v>
      </c>
      <c r="H298" s="16">
        <v>0</v>
      </c>
      <c r="I298" s="16">
        <v>4</v>
      </c>
      <c r="J298" s="16">
        <f t="shared" si="29"/>
        <v>5</v>
      </c>
      <c r="K298" s="16">
        <f t="shared" si="30"/>
        <v>4.3999999999999995</v>
      </c>
      <c r="L298" s="16">
        <f t="shared" si="31"/>
        <v>4</v>
      </c>
      <c r="M298" s="5">
        <f t="shared" ref="M298" si="53">AVERAGE((SUM(E298:I298)), (SUM(E299:I299)), (SUM(E300:I300)), (SUM(E301:I301)), (SUM(E302:I302)))</f>
        <v>6</v>
      </c>
      <c r="N298" s="5">
        <f t="shared" ref="N298" si="54">AVERAGE((SUM(D298*0+E298*1+F298*2+G298*3+H298*4+I298*5)/(5*100)*100), (SUM(D299*0+E299*1+F299*2+G299*3+H299*4+I299*5)/(5*100)*100), (SUM(D300*0+E300*1+F300*2+G300*3+H300*4+I300*5)/(5*100)*100), (SUM(D301*0+E301*1+F301*2+G301*3+H301*4+I301*5)/(5*100)*100), (SUM(D302*0+E302*1+F302*2+G302*3+H302*4+I302*5)/(5*100)*100))</f>
        <v>5.52</v>
      </c>
      <c r="O298" s="5">
        <f t="shared" ref="O298" si="55">AVERAGE(I298:I302)</f>
        <v>5</v>
      </c>
    </row>
    <row r="299" spans="2:15" x14ac:dyDescent="0.2">
      <c r="B299" s="63"/>
      <c r="C299" s="16">
        <v>2</v>
      </c>
      <c r="D299" s="16">
        <f t="shared" si="28"/>
        <v>98</v>
      </c>
      <c r="E299" s="16">
        <v>0</v>
      </c>
      <c r="F299" s="16">
        <v>0</v>
      </c>
      <c r="G299" s="16">
        <v>0</v>
      </c>
      <c r="H299" s="16">
        <v>0</v>
      </c>
      <c r="I299" s="16">
        <v>2</v>
      </c>
      <c r="J299" s="16">
        <f t="shared" si="29"/>
        <v>2</v>
      </c>
      <c r="K299" s="16">
        <f t="shared" si="30"/>
        <v>2</v>
      </c>
      <c r="L299" s="16">
        <f t="shared" si="31"/>
        <v>2</v>
      </c>
      <c r="M299" s="5"/>
      <c r="N299" s="5"/>
      <c r="O299" s="5"/>
    </row>
    <row r="300" spans="2:15" x14ac:dyDescent="0.2">
      <c r="B300" s="63"/>
      <c r="C300" s="16">
        <v>3</v>
      </c>
      <c r="D300" s="16">
        <f t="shared" si="28"/>
        <v>98</v>
      </c>
      <c r="E300" s="16">
        <v>0</v>
      </c>
      <c r="F300" s="16">
        <v>1</v>
      </c>
      <c r="G300" s="16">
        <v>0</v>
      </c>
      <c r="H300" s="16">
        <v>0</v>
      </c>
      <c r="I300" s="16">
        <v>1</v>
      </c>
      <c r="J300" s="16">
        <f t="shared" si="29"/>
        <v>2</v>
      </c>
      <c r="K300" s="16">
        <f t="shared" si="30"/>
        <v>1.4000000000000001</v>
      </c>
      <c r="L300" s="16">
        <f t="shared" si="31"/>
        <v>1</v>
      </c>
      <c r="M300" s="5"/>
      <c r="N300" s="5"/>
      <c r="O300" s="5"/>
    </row>
    <row r="301" spans="2:15" x14ac:dyDescent="0.2">
      <c r="B301" s="63"/>
      <c r="C301" s="16">
        <v>4</v>
      </c>
      <c r="D301" s="16">
        <f t="shared" si="28"/>
        <v>88</v>
      </c>
      <c r="E301" s="16">
        <v>0</v>
      </c>
      <c r="F301" s="16">
        <v>0</v>
      </c>
      <c r="G301" s="16">
        <v>0</v>
      </c>
      <c r="H301" s="16">
        <v>1</v>
      </c>
      <c r="I301" s="16">
        <v>11</v>
      </c>
      <c r="J301" s="16">
        <f t="shared" si="29"/>
        <v>12</v>
      </c>
      <c r="K301" s="16">
        <f t="shared" si="30"/>
        <v>11.799999999999999</v>
      </c>
      <c r="L301" s="16">
        <f t="shared" si="31"/>
        <v>11</v>
      </c>
      <c r="M301" s="5"/>
      <c r="N301" s="5"/>
      <c r="O301" s="5"/>
    </row>
    <row r="302" spans="2:15" x14ac:dyDescent="0.2">
      <c r="B302" s="63"/>
      <c r="C302" s="16">
        <v>5</v>
      </c>
      <c r="D302" s="16">
        <f t="shared" si="28"/>
        <v>91</v>
      </c>
      <c r="E302" s="16">
        <v>1</v>
      </c>
      <c r="F302" s="16">
        <v>0</v>
      </c>
      <c r="G302" s="16">
        <v>0</v>
      </c>
      <c r="H302" s="16">
        <v>1</v>
      </c>
      <c r="I302" s="16">
        <v>7</v>
      </c>
      <c r="J302" s="16">
        <f t="shared" si="29"/>
        <v>9</v>
      </c>
      <c r="K302" s="16">
        <f t="shared" si="30"/>
        <v>8</v>
      </c>
      <c r="L302" s="16">
        <f t="shared" si="31"/>
        <v>7</v>
      </c>
      <c r="M302" s="5"/>
      <c r="N302" s="5"/>
      <c r="O302" s="5"/>
    </row>
    <row r="303" spans="2:15" x14ac:dyDescent="0.2">
      <c r="B303" s="65" t="s">
        <v>559</v>
      </c>
      <c r="C303" s="16">
        <v>1</v>
      </c>
      <c r="D303" s="16">
        <f t="shared" si="28"/>
        <v>72</v>
      </c>
      <c r="E303" s="16">
        <v>14</v>
      </c>
      <c r="F303" s="16">
        <v>2</v>
      </c>
      <c r="G303" s="16">
        <v>0</v>
      </c>
      <c r="H303" s="16">
        <v>1</v>
      </c>
      <c r="I303" s="16">
        <v>11</v>
      </c>
      <c r="J303" s="16">
        <f t="shared" si="29"/>
        <v>28</v>
      </c>
      <c r="K303" s="16">
        <f t="shared" si="30"/>
        <v>15.4</v>
      </c>
      <c r="L303" s="16">
        <f t="shared" si="31"/>
        <v>11</v>
      </c>
      <c r="M303" s="5">
        <f t="shared" ref="M303" si="56">AVERAGE((SUM(E303:I303)), (SUM(E304:I304)), (SUM(E305:I305)), (SUM(E306:I306)), (SUM(E307:I307)))</f>
        <v>19.600000000000001</v>
      </c>
      <c r="N303" s="5">
        <f t="shared" ref="N303" si="57">AVERAGE((SUM(D303*0+E303*1+F303*2+G303*3+H303*4+I303*5)/(5*100)*100), (SUM(D304*0+E304*1+F304*2+G304*3+H304*4+I304*5)/(5*100)*100), (SUM(D305*0+E305*1+F305*2+G305*3+H305*4+I305*5)/(5*100)*100), (SUM(D306*0+E306*1+F306*2+G306*3+H306*4+I306*5)/(5*100)*100), (SUM(D307*0+E307*1+F307*2+G307*3+H307*4+I307*5)/(5*100)*100))</f>
        <v>9.4400000000000013</v>
      </c>
      <c r="O303" s="5">
        <f t="shared" ref="O303" si="58">AVERAGE(I303:I307)</f>
        <v>4</v>
      </c>
    </row>
    <row r="304" spans="2:15" x14ac:dyDescent="0.2">
      <c r="B304" s="65"/>
      <c r="C304" s="16">
        <v>2</v>
      </c>
      <c r="D304" s="16">
        <f t="shared" si="28"/>
        <v>76</v>
      </c>
      <c r="E304" s="16">
        <v>10</v>
      </c>
      <c r="F304" s="16">
        <v>4</v>
      </c>
      <c r="G304" s="16">
        <v>3</v>
      </c>
      <c r="H304" s="16">
        <v>1</v>
      </c>
      <c r="I304" s="16">
        <v>6</v>
      </c>
      <c r="J304" s="16">
        <f t="shared" si="29"/>
        <v>24</v>
      </c>
      <c r="K304" s="16">
        <f t="shared" si="30"/>
        <v>12.2</v>
      </c>
      <c r="L304" s="16">
        <f t="shared" si="31"/>
        <v>6</v>
      </c>
      <c r="M304" s="5"/>
      <c r="N304" s="5"/>
      <c r="O304" s="5"/>
    </row>
    <row r="305" spans="2:15" x14ac:dyDescent="0.2">
      <c r="B305" s="65"/>
      <c r="C305" s="16">
        <v>3</v>
      </c>
      <c r="D305" s="16">
        <f t="shared" si="28"/>
        <v>91</v>
      </c>
      <c r="E305" s="16">
        <v>7</v>
      </c>
      <c r="F305" s="16">
        <v>1</v>
      </c>
      <c r="G305" s="16">
        <v>0</v>
      </c>
      <c r="H305" s="16">
        <v>0</v>
      </c>
      <c r="I305" s="16">
        <v>1</v>
      </c>
      <c r="J305" s="16">
        <f t="shared" si="29"/>
        <v>9</v>
      </c>
      <c r="K305" s="16">
        <f t="shared" si="30"/>
        <v>2.8000000000000003</v>
      </c>
      <c r="L305" s="16">
        <f t="shared" si="31"/>
        <v>1</v>
      </c>
      <c r="M305" s="5"/>
      <c r="N305" s="5"/>
      <c r="O305" s="5"/>
    </row>
    <row r="306" spans="2:15" x14ac:dyDescent="0.2">
      <c r="B306" s="65"/>
      <c r="C306" s="16">
        <v>4</v>
      </c>
      <c r="D306" s="16">
        <f t="shared" si="28"/>
        <v>80</v>
      </c>
      <c r="E306" s="16">
        <v>7</v>
      </c>
      <c r="F306" s="16">
        <v>7</v>
      </c>
      <c r="G306" s="16">
        <v>4</v>
      </c>
      <c r="H306" s="16">
        <v>1</v>
      </c>
      <c r="I306" s="16">
        <v>1</v>
      </c>
      <c r="J306" s="16">
        <f t="shared" si="29"/>
        <v>20</v>
      </c>
      <c r="K306" s="16">
        <f t="shared" si="30"/>
        <v>8.4</v>
      </c>
      <c r="L306" s="16">
        <f t="shared" si="31"/>
        <v>1</v>
      </c>
      <c r="M306" s="5"/>
      <c r="N306" s="5"/>
      <c r="O306" s="5"/>
    </row>
    <row r="307" spans="2:15" x14ac:dyDescent="0.2">
      <c r="B307" s="65"/>
      <c r="C307" s="16">
        <v>5</v>
      </c>
      <c r="D307" s="16">
        <f t="shared" si="28"/>
        <v>83</v>
      </c>
      <c r="E307" s="16">
        <v>5</v>
      </c>
      <c r="F307" s="16">
        <v>4</v>
      </c>
      <c r="G307" s="16">
        <v>4</v>
      </c>
      <c r="H307" s="16">
        <v>3</v>
      </c>
      <c r="I307" s="16">
        <v>1</v>
      </c>
      <c r="J307" s="16">
        <f t="shared" si="29"/>
        <v>17</v>
      </c>
      <c r="K307" s="16">
        <f t="shared" si="30"/>
        <v>8.4</v>
      </c>
      <c r="L307" s="16">
        <f t="shared" si="31"/>
        <v>1</v>
      </c>
      <c r="M307" s="5"/>
      <c r="N307" s="5"/>
      <c r="O307" s="5"/>
    </row>
    <row r="308" spans="2:15" x14ac:dyDescent="0.2">
      <c r="B308" s="65" t="s">
        <v>560</v>
      </c>
      <c r="C308" s="16">
        <v>1</v>
      </c>
      <c r="D308" s="16">
        <f t="shared" si="28"/>
        <v>23</v>
      </c>
      <c r="E308" s="16">
        <v>0</v>
      </c>
      <c r="F308" s="16">
        <v>0</v>
      </c>
      <c r="G308" s="16">
        <v>12</v>
      </c>
      <c r="H308" s="16">
        <v>15</v>
      </c>
      <c r="I308" s="16">
        <v>50</v>
      </c>
      <c r="J308" s="16">
        <f t="shared" si="29"/>
        <v>77</v>
      </c>
      <c r="K308" s="16">
        <f t="shared" si="30"/>
        <v>69.199999999999989</v>
      </c>
      <c r="L308" s="16">
        <f t="shared" si="31"/>
        <v>50</v>
      </c>
      <c r="M308" s="5">
        <f t="shared" ref="M308" si="59">AVERAGE((SUM(E308:I308)), (SUM(E309:I309)), (SUM(E310:I310)), (SUM(E311:I311)), (SUM(E312:I312)))</f>
        <v>39.799999999999997</v>
      </c>
      <c r="N308" s="5">
        <f t="shared" ref="N308" si="60">AVERAGE((SUM(D308*0+E308*1+F308*2+G308*3+H308*4+I308*5)/(5*100)*100), (SUM(D309*0+E309*1+F309*2+G309*3+H309*4+I309*5)/(5*100)*100), (SUM(D310*0+E310*1+F310*2+G310*3+H310*4+I310*5)/(5*100)*100), (SUM(D311*0+E311*1+F311*2+G311*3+H311*4+I311*5)/(5*100)*100), (SUM(D312*0+E312*1+F312*2+G312*3+H312*4+I312*5)/(5*100)*100))</f>
        <v>30.080000000000002</v>
      </c>
      <c r="O308" s="5">
        <f t="shared" ref="O308" si="61">AVERAGE(I308:I312)</f>
        <v>17.399999999999999</v>
      </c>
    </row>
    <row r="309" spans="2:15" x14ac:dyDescent="0.2">
      <c r="B309" s="65"/>
      <c r="C309" s="16">
        <v>2</v>
      </c>
      <c r="D309" s="16">
        <f t="shared" si="28"/>
        <v>73</v>
      </c>
      <c r="E309" s="16">
        <v>7</v>
      </c>
      <c r="F309" s="16">
        <v>5</v>
      </c>
      <c r="G309" s="16">
        <v>3</v>
      </c>
      <c r="H309" s="16">
        <v>4</v>
      </c>
      <c r="I309" s="16">
        <v>8</v>
      </c>
      <c r="J309" s="16">
        <f t="shared" si="29"/>
        <v>27</v>
      </c>
      <c r="K309" s="16">
        <f t="shared" si="30"/>
        <v>16.400000000000002</v>
      </c>
      <c r="L309" s="16">
        <f t="shared" si="31"/>
        <v>8</v>
      </c>
      <c r="M309" s="5"/>
      <c r="N309" s="5"/>
      <c r="O309" s="5"/>
    </row>
    <row r="310" spans="2:15" x14ac:dyDescent="0.2">
      <c r="B310" s="65"/>
      <c r="C310" s="16">
        <v>3</v>
      </c>
      <c r="D310" s="16">
        <f t="shared" si="28"/>
        <v>66</v>
      </c>
      <c r="E310" s="16">
        <v>11</v>
      </c>
      <c r="F310" s="16">
        <v>9</v>
      </c>
      <c r="G310" s="16">
        <v>5</v>
      </c>
      <c r="H310" s="16">
        <v>4</v>
      </c>
      <c r="I310" s="16">
        <v>5</v>
      </c>
      <c r="J310" s="16">
        <f t="shared" si="29"/>
        <v>34</v>
      </c>
      <c r="K310" s="16">
        <f t="shared" si="30"/>
        <v>17</v>
      </c>
      <c r="L310" s="16">
        <f t="shared" si="31"/>
        <v>5</v>
      </c>
      <c r="M310" s="5"/>
      <c r="N310" s="5"/>
      <c r="O310" s="5"/>
    </row>
    <row r="311" spans="2:15" x14ac:dyDescent="0.2">
      <c r="B311" s="65"/>
      <c r="C311" s="16">
        <v>4</v>
      </c>
      <c r="D311" s="16">
        <f t="shared" si="28"/>
        <v>82</v>
      </c>
      <c r="E311" s="16">
        <v>0</v>
      </c>
      <c r="F311" s="16">
        <v>7</v>
      </c>
      <c r="G311" s="16">
        <v>7</v>
      </c>
      <c r="H311" s="16">
        <v>3</v>
      </c>
      <c r="I311" s="16">
        <v>1</v>
      </c>
      <c r="J311" s="16">
        <f t="shared" si="29"/>
        <v>18</v>
      </c>
      <c r="K311" s="16">
        <f t="shared" si="30"/>
        <v>10.4</v>
      </c>
      <c r="L311" s="16">
        <f t="shared" si="31"/>
        <v>1</v>
      </c>
      <c r="M311" s="5"/>
      <c r="N311" s="5"/>
      <c r="O311" s="5"/>
    </row>
    <row r="312" spans="2:15" x14ac:dyDescent="0.2">
      <c r="B312" s="65"/>
      <c r="C312" s="16">
        <v>5</v>
      </c>
      <c r="D312" s="16">
        <f t="shared" si="28"/>
        <v>57</v>
      </c>
      <c r="E312" s="16">
        <v>0</v>
      </c>
      <c r="F312" s="16">
        <v>0</v>
      </c>
      <c r="G312" s="16">
        <v>8</v>
      </c>
      <c r="H312" s="16">
        <v>12</v>
      </c>
      <c r="I312" s="16">
        <v>23</v>
      </c>
      <c r="J312" s="16">
        <f t="shared" si="29"/>
        <v>43</v>
      </c>
      <c r="K312" s="16">
        <f t="shared" si="30"/>
        <v>37.4</v>
      </c>
      <c r="L312" s="16">
        <f t="shared" si="31"/>
        <v>23</v>
      </c>
      <c r="M312" s="5"/>
      <c r="N312" s="5"/>
      <c r="O312" s="5"/>
    </row>
    <row r="313" spans="2:15" x14ac:dyDescent="0.2">
      <c r="B313" s="63" t="s">
        <v>561</v>
      </c>
      <c r="C313" s="16">
        <v>1</v>
      </c>
      <c r="D313" s="16">
        <f t="shared" si="28"/>
        <v>55</v>
      </c>
      <c r="E313" s="16">
        <v>15</v>
      </c>
      <c r="F313" s="16">
        <v>7</v>
      </c>
      <c r="G313" s="16">
        <v>6</v>
      </c>
      <c r="H313" s="16">
        <v>4</v>
      </c>
      <c r="I313" s="16">
        <v>13</v>
      </c>
      <c r="J313" s="16">
        <f t="shared" si="29"/>
        <v>45</v>
      </c>
      <c r="K313" s="16">
        <f t="shared" si="30"/>
        <v>25.6</v>
      </c>
      <c r="L313" s="16">
        <f t="shared" si="31"/>
        <v>13</v>
      </c>
      <c r="M313" s="5">
        <f t="shared" ref="M313" si="62">AVERAGE((SUM(E313:I313)), (SUM(E314:I314)), (SUM(E315:I315)), (SUM(E316:I316)), (SUM(E317:I317)))</f>
        <v>50.8</v>
      </c>
      <c r="N313" s="5">
        <f t="shared" ref="N313" si="63">AVERAGE((SUM(D313*0+E313*1+F313*2+G313*3+H313*4+I313*5)/(5*100)*100), (SUM(D314*0+E314*1+F314*2+G314*3+H314*4+I314*5)/(5*100)*100), (SUM(D315*0+E315*1+F315*2+G315*3+H315*4+I315*5)/(5*100)*100), (SUM(D316*0+E316*1+F316*2+G316*3+H316*4+I316*5)/(5*100)*100), (SUM(D317*0+E317*1+F317*2+G317*3+H317*4+I317*5)/(5*100)*100))</f>
        <v>25.080000000000002</v>
      </c>
      <c r="O313" s="5">
        <f t="shared" ref="O313" si="64">AVERAGE(I313:I317)</f>
        <v>4.8</v>
      </c>
    </row>
    <row r="314" spans="2:15" x14ac:dyDescent="0.2">
      <c r="B314" s="63"/>
      <c r="C314" s="16">
        <v>2</v>
      </c>
      <c r="D314" s="16">
        <f t="shared" si="28"/>
        <v>47</v>
      </c>
      <c r="E314" s="16">
        <v>19</v>
      </c>
      <c r="F314" s="16">
        <v>6</v>
      </c>
      <c r="G314" s="16">
        <v>12</v>
      </c>
      <c r="H314" s="16">
        <v>7</v>
      </c>
      <c r="I314" s="16">
        <v>9</v>
      </c>
      <c r="J314" s="16">
        <f t="shared" si="29"/>
        <v>53</v>
      </c>
      <c r="K314" s="16">
        <f t="shared" si="30"/>
        <v>28.000000000000004</v>
      </c>
      <c r="L314" s="16">
        <f t="shared" si="31"/>
        <v>9</v>
      </c>
      <c r="M314" s="5"/>
      <c r="N314" s="5"/>
      <c r="O314" s="5"/>
    </row>
    <row r="315" spans="2:15" x14ac:dyDescent="0.2">
      <c r="B315" s="63"/>
      <c r="C315" s="16">
        <v>3</v>
      </c>
      <c r="D315" s="16">
        <f t="shared" si="28"/>
        <v>51</v>
      </c>
      <c r="E315" s="16">
        <v>13</v>
      </c>
      <c r="F315" s="16">
        <v>14</v>
      </c>
      <c r="G315" s="16">
        <v>21</v>
      </c>
      <c r="H315" s="16">
        <v>0</v>
      </c>
      <c r="I315" s="16">
        <v>1</v>
      </c>
      <c r="J315" s="16">
        <f t="shared" si="29"/>
        <v>49</v>
      </c>
      <c r="K315" s="16">
        <f t="shared" si="30"/>
        <v>21.8</v>
      </c>
      <c r="L315" s="16">
        <f t="shared" si="31"/>
        <v>1</v>
      </c>
      <c r="M315" s="5"/>
      <c r="N315" s="5"/>
      <c r="O315" s="5"/>
    </row>
    <row r="316" spans="2:15" x14ac:dyDescent="0.2">
      <c r="B316" s="63"/>
      <c r="C316" s="16">
        <v>4</v>
      </c>
      <c r="D316" s="16">
        <f t="shared" si="28"/>
        <v>60</v>
      </c>
      <c r="E316" s="16">
        <v>8</v>
      </c>
      <c r="F316" s="16">
        <v>15</v>
      </c>
      <c r="G316" s="16">
        <v>13</v>
      </c>
      <c r="H316" s="16">
        <v>3</v>
      </c>
      <c r="I316" s="16">
        <v>1</v>
      </c>
      <c r="J316" s="16">
        <f t="shared" si="29"/>
        <v>40</v>
      </c>
      <c r="K316" s="16">
        <f t="shared" si="30"/>
        <v>18.8</v>
      </c>
      <c r="L316" s="16">
        <f t="shared" si="31"/>
        <v>1</v>
      </c>
      <c r="M316" s="5"/>
      <c r="N316" s="5"/>
      <c r="O316" s="5"/>
    </row>
    <row r="317" spans="2:15" x14ac:dyDescent="0.2">
      <c r="B317" s="63"/>
      <c r="C317" s="16">
        <v>5</v>
      </c>
      <c r="D317" s="16">
        <f t="shared" si="28"/>
        <v>33</v>
      </c>
      <c r="E317" s="16">
        <v>10</v>
      </c>
      <c r="F317" s="16">
        <v>25</v>
      </c>
      <c r="G317" s="16">
        <v>32</v>
      </c>
      <c r="H317" s="16">
        <v>0</v>
      </c>
      <c r="I317" s="16">
        <v>0</v>
      </c>
      <c r="J317" s="16">
        <f t="shared" si="29"/>
        <v>67</v>
      </c>
      <c r="K317" s="16">
        <f t="shared" si="30"/>
        <v>31.2</v>
      </c>
      <c r="L317" s="16">
        <f t="shared" si="31"/>
        <v>0</v>
      </c>
      <c r="M317" s="5"/>
      <c r="N317" s="5"/>
      <c r="O317" s="5"/>
    </row>
    <row r="318" spans="2:15" x14ac:dyDescent="0.2">
      <c r="B318" s="63" t="s">
        <v>562</v>
      </c>
      <c r="C318" s="16">
        <v>1</v>
      </c>
      <c r="D318" s="16">
        <f t="shared" si="28"/>
        <v>3</v>
      </c>
      <c r="E318" s="16">
        <v>0</v>
      </c>
      <c r="F318" s="16">
        <v>14</v>
      </c>
      <c r="G318" s="16">
        <v>8</v>
      </c>
      <c r="H318" s="16">
        <v>15</v>
      </c>
      <c r="I318" s="16">
        <v>60</v>
      </c>
      <c r="J318" s="16">
        <f t="shared" si="29"/>
        <v>97</v>
      </c>
      <c r="K318" s="16">
        <f t="shared" si="30"/>
        <v>82.399999999999991</v>
      </c>
      <c r="L318" s="16">
        <f t="shared" si="31"/>
        <v>60</v>
      </c>
      <c r="M318" s="5">
        <f>AVERAGE((SUM(E318:I318)), (SUM(E319:I319)), (SUM(E320:I320)), (SUM(E321:I321)), (SUM(E322:I322)))</f>
        <v>61.4</v>
      </c>
      <c r="N318" s="5">
        <f>AVERAGE((SUM(D318*0+E318*1+F318*2+G318*3+H318*4+I318*5)/(5*100)*100), (SUM(D319*0+E319*1+F319*2+G319*3+H319*4+I319*5)/(5*100)*100), (SUM(D320*0+E320*1+F320*2+G320*3+H320*4+I320*5)/(5*100)*100), (SUM(D321*0+E321*1+F321*2+G321*3+H321*4+I321*5)/(5*100)*100), (SUM(D322*0+E322*1+F322*2+G322*3+H322*4+I322*5)/(5*100)*100))</f>
        <v>53.08</v>
      </c>
      <c r="O318" s="5">
        <f>AVERAGE(I318:I322)</f>
        <v>41.8</v>
      </c>
    </row>
    <row r="319" spans="2:15" x14ac:dyDescent="0.2">
      <c r="B319" s="63"/>
      <c r="C319" s="16">
        <v>2</v>
      </c>
      <c r="D319" s="16">
        <f t="shared" si="28"/>
        <v>10</v>
      </c>
      <c r="E319" s="16">
        <v>0</v>
      </c>
      <c r="F319" s="16">
        <v>6</v>
      </c>
      <c r="G319" s="16">
        <v>9</v>
      </c>
      <c r="H319" s="16">
        <v>7</v>
      </c>
      <c r="I319" s="16">
        <v>68</v>
      </c>
      <c r="J319" s="16">
        <f t="shared" si="29"/>
        <v>90</v>
      </c>
      <c r="K319" s="16">
        <f t="shared" si="30"/>
        <v>81.399999999999991</v>
      </c>
      <c r="L319" s="16">
        <f t="shared" si="31"/>
        <v>68</v>
      </c>
      <c r="M319" s="5"/>
      <c r="N319" s="5"/>
      <c r="O319" s="5"/>
    </row>
    <row r="320" spans="2:15" x14ac:dyDescent="0.2">
      <c r="B320" s="63"/>
      <c r="C320" s="16">
        <v>3</v>
      </c>
      <c r="D320" s="16">
        <f t="shared" si="28"/>
        <v>3</v>
      </c>
      <c r="E320" s="16">
        <v>0</v>
      </c>
      <c r="F320" s="16">
        <v>9</v>
      </c>
      <c r="G320" s="16">
        <v>7</v>
      </c>
      <c r="H320" s="16">
        <v>6</v>
      </c>
      <c r="I320" s="16">
        <v>75</v>
      </c>
      <c r="J320" s="16">
        <f t="shared" si="29"/>
        <v>97</v>
      </c>
      <c r="K320" s="16">
        <f t="shared" si="30"/>
        <v>87.6</v>
      </c>
      <c r="L320" s="16">
        <f t="shared" si="31"/>
        <v>75</v>
      </c>
      <c r="M320" s="5"/>
      <c r="N320" s="5"/>
      <c r="O320" s="5"/>
    </row>
    <row r="321" spans="2:15" x14ac:dyDescent="0.2">
      <c r="B321" s="63"/>
      <c r="C321" s="16">
        <v>4</v>
      </c>
      <c r="D321" s="16">
        <f t="shared" si="28"/>
        <v>81</v>
      </c>
      <c r="E321" s="16">
        <v>3</v>
      </c>
      <c r="F321" s="16">
        <v>3</v>
      </c>
      <c r="G321" s="16">
        <v>4</v>
      </c>
      <c r="H321" s="16">
        <v>4</v>
      </c>
      <c r="I321" s="16">
        <v>5</v>
      </c>
      <c r="J321" s="16">
        <f t="shared" si="29"/>
        <v>19</v>
      </c>
      <c r="K321" s="16">
        <f t="shared" si="30"/>
        <v>12.4</v>
      </c>
      <c r="L321" s="16">
        <f t="shared" si="31"/>
        <v>5</v>
      </c>
      <c r="M321" s="5"/>
      <c r="N321" s="5"/>
      <c r="O321" s="5"/>
    </row>
    <row r="322" spans="2:15" x14ac:dyDescent="0.2">
      <c r="B322" s="63"/>
      <c r="C322" s="16">
        <v>5</v>
      </c>
      <c r="D322" s="16">
        <f t="shared" si="28"/>
        <v>96</v>
      </c>
      <c r="E322" s="16">
        <v>3</v>
      </c>
      <c r="F322" s="16">
        <v>0</v>
      </c>
      <c r="G322" s="16">
        <v>0</v>
      </c>
      <c r="H322" s="16">
        <v>0</v>
      </c>
      <c r="I322" s="16">
        <v>1</v>
      </c>
      <c r="J322" s="16">
        <f t="shared" si="29"/>
        <v>4</v>
      </c>
      <c r="K322" s="16">
        <f t="shared" si="30"/>
        <v>1.6</v>
      </c>
      <c r="L322" s="16">
        <f t="shared" si="31"/>
        <v>1</v>
      </c>
      <c r="M322" s="5"/>
      <c r="N322" s="5"/>
      <c r="O322" s="5"/>
    </row>
    <row r="323" spans="2:15" x14ac:dyDescent="0.2">
      <c r="B323" s="63" t="s">
        <v>563</v>
      </c>
      <c r="C323" s="16">
        <v>1</v>
      </c>
      <c r="D323" s="16">
        <f t="shared" ref="D323:D386" si="65">100-(SUM(E323:I323))</f>
        <v>67</v>
      </c>
      <c r="E323" s="16">
        <v>9</v>
      </c>
      <c r="F323" s="16">
        <v>5</v>
      </c>
      <c r="G323" s="16">
        <v>7</v>
      </c>
      <c r="H323" s="16">
        <v>8</v>
      </c>
      <c r="I323" s="16">
        <v>4</v>
      </c>
      <c r="J323" s="16">
        <f t="shared" si="29"/>
        <v>33</v>
      </c>
      <c r="K323" s="16">
        <f t="shared" si="30"/>
        <v>18.399999999999999</v>
      </c>
      <c r="L323" s="16">
        <f t="shared" si="31"/>
        <v>4</v>
      </c>
      <c r="M323" s="5">
        <f>AVERAGE((SUM(E323:I323)), (SUM(E324:I324)), (SUM(E325:I325)), (SUM(E326:I326)), (SUM(E327:I327)))</f>
        <v>17</v>
      </c>
      <c r="N323" s="5">
        <f>AVERAGE((SUM(D323*0+E323*1+F323*2+G323*3+H323*4+I323*5)/(5*100)*100), (SUM(D324*0+E324*1+F324*2+G324*3+H324*4+I324*5)/(5*100)*100), (SUM(D325*0+E325*1+F325*2+G325*3+H325*4+I325*5)/(5*100)*100), (SUM(D326*0+E326*1+F326*2+G326*3+H326*4+I326*5)/(5*100)*100), (SUM(D327*0+E327*1+F327*2+G327*3+H327*4+I327*5)/(5*100)*100))</f>
        <v>9.0400000000000009</v>
      </c>
      <c r="O323" s="5">
        <f>AVERAGE(I323:I327)</f>
        <v>2.6</v>
      </c>
    </row>
    <row r="324" spans="2:15" x14ac:dyDescent="0.2">
      <c r="B324" s="63"/>
      <c r="C324" s="16">
        <v>2</v>
      </c>
      <c r="D324" s="16">
        <f t="shared" si="65"/>
        <v>78</v>
      </c>
      <c r="E324" s="16">
        <v>7</v>
      </c>
      <c r="F324" s="16">
        <v>6</v>
      </c>
      <c r="G324" s="16">
        <v>6</v>
      </c>
      <c r="H324" s="16">
        <v>1</v>
      </c>
      <c r="I324" s="16">
        <v>2</v>
      </c>
      <c r="J324" s="16">
        <f t="shared" ref="J324:J387" si="66">SUM(E324:I324)</f>
        <v>22</v>
      </c>
      <c r="K324" s="16">
        <f t="shared" ref="K324:K387" si="67">AVERAGE(SUM(E324*1,F324*2,G324*3,H324*4,I324*5))/(5*100)*100</f>
        <v>10.199999999999999</v>
      </c>
      <c r="L324" s="16">
        <f t="shared" ref="L324:L387" si="68">I324</f>
        <v>2</v>
      </c>
      <c r="M324" s="5"/>
      <c r="N324" s="5"/>
      <c r="O324" s="5"/>
    </row>
    <row r="325" spans="2:15" x14ac:dyDescent="0.2">
      <c r="B325" s="63"/>
      <c r="C325" s="16">
        <v>3</v>
      </c>
      <c r="D325" s="16">
        <f t="shared" si="65"/>
        <v>80</v>
      </c>
      <c r="E325" s="16">
        <v>5</v>
      </c>
      <c r="F325" s="16">
        <v>3</v>
      </c>
      <c r="G325" s="16">
        <v>5</v>
      </c>
      <c r="H325" s="16">
        <v>4</v>
      </c>
      <c r="I325" s="16">
        <v>3</v>
      </c>
      <c r="J325" s="16">
        <f t="shared" si="66"/>
        <v>20</v>
      </c>
      <c r="K325" s="16">
        <f t="shared" si="67"/>
        <v>11.4</v>
      </c>
      <c r="L325" s="16">
        <f t="shared" si="68"/>
        <v>3</v>
      </c>
      <c r="M325" s="5"/>
      <c r="N325" s="5"/>
      <c r="O325" s="5"/>
    </row>
    <row r="326" spans="2:15" x14ac:dyDescent="0.2">
      <c r="B326" s="63"/>
      <c r="C326" s="16">
        <v>4</v>
      </c>
      <c r="D326" s="16">
        <f t="shared" si="65"/>
        <v>95</v>
      </c>
      <c r="E326" s="16">
        <v>3</v>
      </c>
      <c r="F326" s="16">
        <v>0</v>
      </c>
      <c r="G326" s="16">
        <v>0</v>
      </c>
      <c r="H326" s="16">
        <v>0</v>
      </c>
      <c r="I326" s="16">
        <v>2</v>
      </c>
      <c r="J326" s="16">
        <f t="shared" si="66"/>
        <v>5</v>
      </c>
      <c r="K326" s="16">
        <f t="shared" si="67"/>
        <v>2.6</v>
      </c>
      <c r="L326" s="16">
        <f t="shared" si="68"/>
        <v>2</v>
      </c>
      <c r="M326" s="5"/>
      <c r="N326" s="5"/>
      <c r="O326" s="5"/>
    </row>
    <row r="327" spans="2:15" x14ac:dyDescent="0.2">
      <c r="B327" s="63"/>
      <c r="C327" s="16">
        <v>5</v>
      </c>
      <c r="D327" s="16">
        <f t="shared" si="65"/>
        <v>95</v>
      </c>
      <c r="E327" s="16">
        <v>3</v>
      </c>
      <c r="F327" s="16">
        <v>0</v>
      </c>
      <c r="G327" s="16">
        <v>0</v>
      </c>
      <c r="H327" s="16">
        <v>0</v>
      </c>
      <c r="I327" s="16">
        <v>2</v>
      </c>
      <c r="J327" s="16">
        <f t="shared" si="66"/>
        <v>5</v>
      </c>
      <c r="K327" s="16">
        <f t="shared" si="67"/>
        <v>2.6</v>
      </c>
      <c r="L327" s="16">
        <f t="shared" si="68"/>
        <v>2</v>
      </c>
      <c r="M327" s="5"/>
      <c r="N327" s="5"/>
      <c r="O327" s="5"/>
    </row>
    <row r="328" spans="2:15" x14ac:dyDescent="0.2">
      <c r="B328" s="63" t="s">
        <v>564</v>
      </c>
      <c r="C328" s="16">
        <v>1</v>
      </c>
      <c r="D328" s="16">
        <f t="shared" si="65"/>
        <v>46</v>
      </c>
      <c r="E328" s="16">
        <v>2</v>
      </c>
      <c r="F328" s="16">
        <v>18</v>
      </c>
      <c r="G328" s="16">
        <v>14</v>
      </c>
      <c r="H328" s="16">
        <v>8</v>
      </c>
      <c r="I328" s="16">
        <v>12</v>
      </c>
      <c r="J328" s="16">
        <f t="shared" si="66"/>
        <v>54</v>
      </c>
      <c r="K328" s="16">
        <f t="shared" si="67"/>
        <v>34.4</v>
      </c>
      <c r="L328" s="16">
        <f t="shared" si="68"/>
        <v>12</v>
      </c>
      <c r="M328" s="5">
        <f>AVERAGE((SUM(E328:I328)), (SUM(E329:I329)), (SUM(E330:I330)), (SUM(E331:I331)), (SUM(E332:I332)))</f>
        <v>56.2</v>
      </c>
      <c r="N328" s="5">
        <f>AVERAGE((SUM(D328*0+E328*1+F328*2+G328*3+H328*4+I328*5)/(5*100)*100), (SUM(D329*0+E329*1+F329*2+G329*3+H329*4+I329*5)/(5*100)*100), (SUM(D330*0+E330*1+F330*2+G330*3+H330*4+I330*5)/(5*100)*100), (SUM(D331*0+E331*1+F331*2+G331*3+H331*4+I331*5)/(5*100)*100), (SUM(D332*0+E332*1+F332*2+G332*3+H332*4+I332*5)/(5*100)*100))</f>
        <v>37.68</v>
      </c>
      <c r="O328" s="5">
        <f>AVERAGE(I328:I332)</f>
        <v>15.4</v>
      </c>
    </row>
    <row r="329" spans="2:15" x14ac:dyDescent="0.2">
      <c r="B329" s="63"/>
      <c r="C329" s="16">
        <v>2</v>
      </c>
      <c r="D329" s="16">
        <f t="shared" si="65"/>
        <v>59</v>
      </c>
      <c r="E329" s="16">
        <v>3</v>
      </c>
      <c r="F329" s="16">
        <v>13</v>
      </c>
      <c r="G329" s="16">
        <v>8</v>
      </c>
      <c r="H329" s="16">
        <v>4</v>
      </c>
      <c r="I329" s="16">
        <v>13</v>
      </c>
      <c r="J329" s="16">
        <f t="shared" si="66"/>
        <v>41</v>
      </c>
      <c r="K329" s="16">
        <f t="shared" si="67"/>
        <v>26.8</v>
      </c>
      <c r="L329" s="16">
        <f t="shared" si="68"/>
        <v>13</v>
      </c>
      <c r="M329" s="5"/>
      <c r="N329" s="5"/>
      <c r="O329" s="5"/>
    </row>
    <row r="330" spans="2:15" x14ac:dyDescent="0.2">
      <c r="B330" s="63"/>
      <c r="C330" s="16">
        <v>3</v>
      </c>
      <c r="D330" s="16">
        <f t="shared" si="65"/>
        <v>41</v>
      </c>
      <c r="E330" s="16">
        <v>7</v>
      </c>
      <c r="F330" s="16">
        <v>16</v>
      </c>
      <c r="G330" s="16">
        <v>12</v>
      </c>
      <c r="H330" s="16">
        <v>9</v>
      </c>
      <c r="I330" s="16">
        <v>15</v>
      </c>
      <c r="J330" s="16">
        <f t="shared" si="66"/>
        <v>59</v>
      </c>
      <c r="K330" s="16">
        <f t="shared" si="67"/>
        <v>37.200000000000003</v>
      </c>
      <c r="L330" s="16">
        <f t="shared" si="68"/>
        <v>15</v>
      </c>
      <c r="M330" s="5"/>
      <c r="N330" s="5"/>
      <c r="O330" s="5"/>
    </row>
    <row r="331" spans="2:15" x14ac:dyDescent="0.2">
      <c r="B331" s="63"/>
      <c r="C331" s="16">
        <v>4</v>
      </c>
      <c r="D331" s="16">
        <f t="shared" si="65"/>
        <v>41</v>
      </c>
      <c r="E331" s="16">
        <v>0</v>
      </c>
      <c r="F331" s="16">
        <v>20</v>
      </c>
      <c r="G331" s="16">
        <v>13</v>
      </c>
      <c r="H331" s="16">
        <v>7</v>
      </c>
      <c r="I331" s="16">
        <v>19</v>
      </c>
      <c r="J331" s="16">
        <f t="shared" si="66"/>
        <v>59</v>
      </c>
      <c r="K331" s="16">
        <f t="shared" si="67"/>
        <v>40.400000000000006</v>
      </c>
      <c r="L331" s="16">
        <f t="shared" si="68"/>
        <v>19</v>
      </c>
      <c r="M331" s="5"/>
      <c r="N331" s="5"/>
      <c r="O331" s="5"/>
    </row>
    <row r="332" spans="2:15" x14ac:dyDescent="0.2">
      <c r="B332" s="63"/>
      <c r="C332" s="16">
        <v>5</v>
      </c>
      <c r="D332" s="16">
        <f t="shared" si="65"/>
        <v>32</v>
      </c>
      <c r="E332" s="16">
        <v>0</v>
      </c>
      <c r="F332" s="16">
        <v>15</v>
      </c>
      <c r="G332" s="16">
        <v>12</v>
      </c>
      <c r="H332" s="16">
        <v>23</v>
      </c>
      <c r="I332" s="16">
        <v>18</v>
      </c>
      <c r="J332" s="16">
        <f t="shared" si="66"/>
        <v>68</v>
      </c>
      <c r="K332" s="16">
        <f t="shared" si="67"/>
        <v>49.6</v>
      </c>
      <c r="L332" s="16">
        <f t="shared" si="68"/>
        <v>18</v>
      </c>
      <c r="M332" s="5"/>
      <c r="N332" s="5"/>
      <c r="O332" s="5"/>
    </row>
    <row r="333" spans="2:15" x14ac:dyDescent="0.2">
      <c r="B333" s="63" t="s">
        <v>565</v>
      </c>
      <c r="C333" s="16">
        <v>1</v>
      </c>
      <c r="D333" s="16">
        <f t="shared" si="65"/>
        <v>36</v>
      </c>
      <c r="E333" s="16">
        <v>16</v>
      </c>
      <c r="F333" s="16">
        <v>18</v>
      </c>
      <c r="G333" s="16">
        <v>14</v>
      </c>
      <c r="H333" s="16">
        <v>9</v>
      </c>
      <c r="I333" s="16">
        <v>7</v>
      </c>
      <c r="J333" s="16">
        <f t="shared" si="66"/>
        <v>64</v>
      </c>
      <c r="K333" s="16">
        <f t="shared" si="67"/>
        <v>33</v>
      </c>
      <c r="L333" s="16">
        <f t="shared" si="68"/>
        <v>7</v>
      </c>
      <c r="M333" s="5">
        <f>AVERAGE((SUM(E333:I333)), (SUM(E334:I334)), (SUM(E335:I335)), (SUM(E336:I336)), (SUM(E337:I337)))</f>
        <v>37</v>
      </c>
      <c r="N333" s="5">
        <f>AVERAGE((SUM(D333*0+E333*1+F333*2+G333*3+H333*4+I333*5)/(5*100)*100), (SUM(D334*0+E334*1+F334*2+G334*3+H334*4+I334*5)/(5*100)*100), (SUM(D335*0+E335*1+F335*2+G335*3+H335*4+I335*5)/(5*100)*100), (SUM(D336*0+E336*1+F336*2+G336*3+H336*4+I336*5)/(5*100)*100), (SUM(D337*0+E337*1+F337*2+G337*3+H337*4+I337*5)/(5*100)*100))</f>
        <v>17.079999999999998</v>
      </c>
      <c r="O333" s="5">
        <f>AVERAGE(I333:I337)</f>
        <v>3.2</v>
      </c>
    </row>
    <row r="334" spans="2:15" x14ac:dyDescent="0.2">
      <c r="B334" s="63"/>
      <c r="C334" s="16">
        <v>2</v>
      </c>
      <c r="D334" s="16">
        <f t="shared" si="65"/>
        <v>38</v>
      </c>
      <c r="E334" s="16">
        <v>19</v>
      </c>
      <c r="F334" s="16">
        <v>16</v>
      </c>
      <c r="G334" s="16">
        <v>14</v>
      </c>
      <c r="H334" s="16">
        <v>7</v>
      </c>
      <c r="I334" s="16">
        <v>6</v>
      </c>
      <c r="J334" s="16">
        <f t="shared" si="66"/>
        <v>62</v>
      </c>
      <c r="K334" s="16">
        <f t="shared" si="67"/>
        <v>30.2</v>
      </c>
      <c r="L334" s="16">
        <f t="shared" si="68"/>
        <v>6</v>
      </c>
      <c r="M334" s="5"/>
      <c r="N334" s="5"/>
      <c r="O334" s="5"/>
    </row>
    <row r="335" spans="2:15" x14ac:dyDescent="0.2">
      <c r="B335" s="63"/>
      <c r="C335" s="16">
        <v>3</v>
      </c>
      <c r="D335" s="16">
        <f t="shared" si="65"/>
        <v>55</v>
      </c>
      <c r="E335" s="16">
        <v>19</v>
      </c>
      <c r="F335" s="16">
        <v>12</v>
      </c>
      <c r="G335" s="16">
        <v>14</v>
      </c>
      <c r="H335" s="16">
        <v>0</v>
      </c>
      <c r="I335" s="16">
        <v>0</v>
      </c>
      <c r="J335" s="16">
        <f t="shared" si="66"/>
        <v>45</v>
      </c>
      <c r="K335" s="16">
        <f t="shared" si="67"/>
        <v>17</v>
      </c>
      <c r="L335" s="16">
        <f t="shared" si="68"/>
        <v>0</v>
      </c>
      <c r="M335" s="5"/>
      <c r="N335" s="5"/>
      <c r="O335" s="5"/>
    </row>
    <row r="336" spans="2:15" x14ac:dyDescent="0.2">
      <c r="B336" s="63"/>
      <c r="C336" s="16">
        <v>4</v>
      </c>
      <c r="D336" s="16">
        <f t="shared" si="65"/>
        <v>90</v>
      </c>
      <c r="E336" s="16">
        <v>8</v>
      </c>
      <c r="F336" s="16">
        <v>0</v>
      </c>
      <c r="G336" s="16">
        <v>0</v>
      </c>
      <c r="H336" s="16">
        <v>0</v>
      </c>
      <c r="I336" s="16">
        <v>2</v>
      </c>
      <c r="J336" s="16">
        <f t="shared" si="66"/>
        <v>10</v>
      </c>
      <c r="K336" s="16">
        <f t="shared" si="67"/>
        <v>3.5999999999999996</v>
      </c>
      <c r="L336" s="16">
        <f t="shared" si="68"/>
        <v>2</v>
      </c>
      <c r="M336" s="5"/>
      <c r="N336" s="5"/>
      <c r="O336" s="5"/>
    </row>
    <row r="337" spans="2:15" x14ac:dyDescent="0.2">
      <c r="B337" s="63"/>
      <c r="C337" s="16">
        <v>5</v>
      </c>
      <c r="D337" s="16">
        <f t="shared" si="65"/>
        <v>96</v>
      </c>
      <c r="E337" s="16">
        <v>3</v>
      </c>
      <c r="F337" s="16">
        <v>0</v>
      </c>
      <c r="G337" s="16">
        <v>0</v>
      </c>
      <c r="H337" s="16">
        <v>0</v>
      </c>
      <c r="I337" s="16">
        <v>1</v>
      </c>
      <c r="J337" s="16">
        <f t="shared" si="66"/>
        <v>4</v>
      </c>
      <c r="K337" s="16">
        <f t="shared" si="67"/>
        <v>1.6</v>
      </c>
      <c r="L337" s="16">
        <f t="shared" si="68"/>
        <v>1</v>
      </c>
      <c r="M337" s="5"/>
      <c r="N337" s="5"/>
      <c r="O337" s="5"/>
    </row>
    <row r="338" spans="2:15" x14ac:dyDescent="0.2">
      <c r="B338" s="63" t="s">
        <v>566</v>
      </c>
      <c r="C338" s="16">
        <v>1</v>
      </c>
      <c r="D338" s="16">
        <f t="shared" si="65"/>
        <v>30</v>
      </c>
      <c r="E338" s="16">
        <v>0</v>
      </c>
      <c r="F338" s="16">
        <v>0</v>
      </c>
      <c r="G338" s="16">
        <v>0</v>
      </c>
      <c r="H338" s="16">
        <v>0</v>
      </c>
      <c r="I338" s="16">
        <v>70</v>
      </c>
      <c r="J338" s="16">
        <f t="shared" si="66"/>
        <v>70</v>
      </c>
      <c r="K338" s="16">
        <f t="shared" si="67"/>
        <v>70</v>
      </c>
      <c r="L338" s="16">
        <f t="shared" si="68"/>
        <v>70</v>
      </c>
      <c r="M338" s="5">
        <f>AVERAGE((SUM(E338:I338)), (SUM(E339:I339)), (SUM(E340:I340)), (SUM(E341:I341)), (SUM(E342:I342)))</f>
        <v>53.8</v>
      </c>
      <c r="N338" s="5">
        <f>AVERAGE((SUM(D338*0+E338*1+F338*2+G338*3+H338*4+I338*5)/(5*100)*100), (SUM(D339*0+E339*1+F339*2+G339*3+H339*4+I339*5)/(5*100)*100), (SUM(D340*0+E340*1+F340*2+G340*3+H340*4+I340*5)/(5*100)*100), (SUM(D341*0+E341*1+F341*2+G341*3+H341*4+I341*5)/(5*100)*100), (SUM(D342*0+E342*1+F342*2+G342*3+H342*4+I342*5)/(5*100)*100))</f>
        <v>53.8</v>
      </c>
      <c r="O338" s="5">
        <f>AVERAGE(I338:I342)</f>
        <v>53.8</v>
      </c>
    </row>
    <row r="339" spans="2:15" x14ac:dyDescent="0.2">
      <c r="B339" s="63"/>
      <c r="C339" s="16">
        <v>2</v>
      </c>
      <c r="D339" s="16">
        <f t="shared" si="65"/>
        <v>45</v>
      </c>
      <c r="E339" s="16">
        <v>0</v>
      </c>
      <c r="F339" s="16">
        <v>0</v>
      </c>
      <c r="G339" s="16">
        <v>0</v>
      </c>
      <c r="H339" s="16">
        <v>0</v>
      </c>
      <c r="I339" s="16">
        <v>55</v>
      </c>
      <c r="J339" s="16">
        <f t="shared" si="66"/>
        <v>55</v>
      </c>
      <c r="K339" s="16">
        <f t="shared" si="67"/>
        <v>55.000000000000007</v>
      </c>
      <c r="L339" s="16">
        <f t="shared" si="68"/>
        <v>55</v>
      </c>
      <c r="M339" s="5"/>
      <c r="N339" s="5"/>
      <c r="O339" s="5"/>
    </row>
    <row r="340" spans="2:15" x14ac:dyDescent="0.2">
      <c r="B340" s="63"/>
      <c r="C340" s="16">
        <v>3</v>
      </c>
      <c r="D340" s="16">
        <f t="shared" si="65"/>
        <v>33</v>
      </c>
      <c r="E340" s="16">
        <v>0</v>
      </c>
      <c r="F340" s="16">
        <v>0</v>
      </c>
      <c r="G340" s="16">
        <v>0</v>
      </c>
      <c r="H340" s="16">
        <v>0</v>
      </c>
      <c r="I340" s="16">
        <v>67</v>
      </c>
      <c r="J340" s="16">
        <f t="shared" si="66"/>
        <v>67</v>
      </c>
      <c r="K340" s="16">
        <f t="shared" si="67"/>
        <v>67</v>
      </c>
      <c r="L340" s="16">
        <f t="shared" si="68"/>
        <v>67</v>
      </c>
      <c r="M340" s="5"/>
      <c r="N340" s="5"/>
      <c r="O340" s="5"/>
    </row>
    <row r="341" spans="2:15" x14ac:dyDescent="0.2">
      <c r="B341" s="63"/>
      <c r="C341" s="16">
        <v>4</v>
      </c>
      <c r="D341" s="16">
        <f t="shared" si="65"/>
        <v>58</v>
      </c>
      <c r="E341" s="16">
        <v>0</v>
      </c>
      <c r="F341" s="16">
        <v>0</v>
      </c>
      <c r="G341" s="16">
        <v>0</v>
      </c>
      <c r="H341" s="16">
        <v>0</v>
      </c>
      <c r="I341" s="16">
        <v>42</v>
      </c>
      <c r="J341" s="16">
        <f t="shared" si="66"/>
        <v>42</v>
      </c>
      <c r="K341" s="16">
        <f t="shared" si="67"/>
        <v>42</v>
      </c>
      <c r="L341" s="16">
        <f t="shared" si="68"/>
        <v>42</v>
      </c>
      <c r="M341" s="5"/>
      <c r="N341" s="5"/>
      <c r="O341" s="5"/>
    </row>
    <row r="342" spans="2:15" x14ac:dyDescent="0.2">
      <c r="B342" s="63"/>
      <c r="C342" s="16">
        <v>5</v>
      </c>
      <c r="D342" s="16">
        <f t="shared" si="65"/>
        <v>65</v>
      </c>
      <c r="E342" s="16">
        <v>0</v>
      </c>
      <c r="F342" s="16">
        <v>0</v>
      </c>
      <c r="G342" s="16">
        <v>0</v>
      </c>
      <c r="H342" s="16">
        <v>0</v>
      </c>
      <c r="I342" s="16">
        <v>35</v>
      </c>
      <c r="J342" s="16">
        <f t="shared" si="66"/>
        <v>35</v>
      </c>
      <c r="K342" s="16">
        <f t="shared" si="67"/>
        <v>35</v>
      </c>
      <c r="L342" s="16">
        <f t="shared" si="68"/>
        <v>35</v>
      </c>
      <c r="M342" s="5"/>
      <c r="N342" s="5"/>
      <c r="O342" s="5"/>
    </row>
    <row r="343" spans="2:15" x14ac:dyDescent="0.2">
      <c r="B343" s="63" t="s">
        <v>567</v>
      </c>
      <c r="C343" s="16">
        <v>1</v>
      </c>
      <c r="D343" s="16">
        <f t="shared" si="65"/>
        <v>29</v>
      </c>
      <c r="E343" s="16">
        <v>3</v>
      </c>
      <c r="F343" s="16">
        <v>6</v>
      </c>
      <c r="G343" s="16">
        <v>12</v>
      </c>
      <c r="H343" s="16">
        <v>8</v>
      </c>
      <c r="I343" s="16">
        <v>42</v>
      </c>
      <c r="J343" s="16">
        <f t="shared" si="66"/>
        <v>71</v>
      </c>
      <c r="K343" s="16">
        <f t="shared" si="67"/>
        <v>58.599999999999994</v>
      </c>
      <c r="L343" s="16">
        <f t="shared" si="68"/>
        <v>42</v>
      </c>
      <c r="M343" s="5">
        <f>AVERAGE((SUM(E343:I343)), (SUM(E344:I344)), (SUM(E345:I345)), (SUM(E346:I346)), (SUM(E347:I347)))</f>
        <v>70.400000000000006</v>
      </c>
      <c r="N343" s="5">
        <f>AVERAGE((SUM(D343*0+E343*1+F343*2+G343*3+H343*4+I343*5)/(5*100)*100), (SUM(D344*0+E344*1+F344*2+G344*3+H344*4+I344*5)/(5*100)*100), (SUM(D345*0+E345*1+F345*2+G345*3+H345*4+I345*5)/(5*100)*100), (SUM(D346*0+E346*1+F346*2+G346*3+H346*4+I346*5)/(5*100)*100), (SUM(D347*0+E347*1+F347*2+G347*3+H347*4+I347*5)/(5*100)*100))</f>
        <v>58.160000000000004</v>
      </c>
      <c r="O343" s="5">
        <f>AVERAGE(I343:I347)</f>
        <v>43.8</v>
      </c>
    </row>
    <row r="344" spans="2:15" x14ac:dyDescent="0.2">
      <c r="B344" s="63"/>
      <c r="C344" s="16">
        <v>2</v>
      </c>
      <c r="D344" s="16">
        <f t="shared" si="65"/>
        <v>38</v>
      </c>
      <c r="E344" s="16">
        <v>2</v>
      </c>
      <c r="F344" s="16">
        <v>8</v>
      </c>
      <c r="G344" s="16">
        <v>9</v>
      </c>
      <c r="H344" s="16">
        <v>5</v>
      </c>
      <c r="I344" s="16">
        <v>38</v>
      </c>
      <c r="J344" s="16">
        <f t="shared" si="66"/>
        <v>62</v>
      </c>
      <c r="K344" s="16">
        <f t="shared" si="67"/>
        <v>51</v>
      </c>
      <c r="L344" s="16">
        <f t="shared" si="68"/>
        <v>38</v>
      </c>
      <c r="M344" s="5"/>
      <c r="N344" s="5"/>
      <c r="O344" s="5"/>
    </row>
    <row r="345" spans="2:15" x14ac:dyDescent="0.2">
      <c r="B345" s="63"/>
      <c r="C345" s="16">
        <v>3</v>
      </c>
      <c r="D345" s="16">
        <f t="shared" si="65"/>
        <v>41</v>
      </c>
      <c r="E345" s="16">
        <v>0</v>
      </c>
      <c r="F345" s="16">
        <v>10</v>
      </c>
      <c r="G345" s="16">
        <v>8</v>
      </c>
      <c r="H345" s="16">
        <v>6</v>
      </c>
      <c r="I345" s="16">
        <v>35</v>
      </c>
      <c r="J345" s="16">
        <f t="shared" si="66"/>
        <v>59</v>
      </c>
      <c r="K345" s="16">
        <f t="shared" si="67"/>
        <v>48.6</v>
      </c>
      <c r="L345" s="16">
        <f t="shared" si="68"/>
        <v>35</v>
      </c>
      <c r="M345" s="5"/>
      <c r="N345" s="5"/>
      <c r="O345" s="5"/>
    </row>
    <row r="346" spans="2:15" x14ac:dyDescent="0.2">
      <c r="B346" s="63"/>
      <c r="C346" s="16">
        <v>4</v>
      </c>
      <c r="D346" s="16">
        <f t="shared" si="65"/>
        <v>0</v>
      </c>
      <c r="E346" s="16">
        <v>0</v>
      </c>
      <c r="F346" s="16">
        <v>6</v>
      </c>
      <c r="G346" s="16">
        <v>14</v>
      </c>
      <c r="H346" s="16">
        <v>0</v>
      </c>
      <c r="I346" s="16">
        <v>80</v>
      </c>
      <c r="J346" s="16">
        <f t="shared" si="66"/>
        <v>100</v>
      </c>
      <c r="K346" s="16">
        <f t="shared" si="67"/>
        <v>90.8</v>
      </c>
      <c r="L346" s="16">
        <f t="shared" si="68"/>
        <v>80</v>
      </c>
      <c r="M346" s="5"/>
      <c r="N346" s="5"/>
      <c r="O346" s="5"/>
    </row>
    <row r="347" spans="2:15" x14ac:dyDescent="0.2">
      <c r="B347" s="63"/>
      <c r="C347" s="16">
        <v>5</v>
      </c>
      <c r="D347" s="16">
        <f t="shared" si="65"/>
        <v>40</v>
      </c>
      <c r="E347" s="16">
        <v>7</v>
      </c>
      <c r="F347" s="16">
        <v>9</v>
      </c>
      <c r="G347" s="16">
        <v>16</v>
      </c>
      <c r="H347" s="16">
        <v>4</v>
      </c>
      <c r="I347" s="16">
        <v>24</v>
      </c>
      <c r="J347" s="16">
        <f t="shared" si="66"/>
        <v>60</v>
      </c>
      <c r="K347" s="16">
        <f t="shared" si="67"/>
        <v>41.8</v>
      </c>
      <c r="L347" s="16">
        <f t="shared" si="68"/>
        <v>24</v>
      </c>
      <c r="M347" s="5"/>
      <c r="N347" s="5"/>
      <c r="O347" s="5"/>
    </row>
    <row r="348" spans="2:15" x14ac:dyDescent="0.2">
      <c r="B348" s="63" t="s">
        <v>568</v>
      </c>
      <c r="C348" s="16">
        <v>1</v>
      </c>
      <c r="D348" s="16">
        <f t="shared" si="65"/>
        <v>65</v>
      </c>
      <c r="E348" s="16">
        <v>12</v>
      </c>
      <c r="F348" s="16">
        <v>9</v>
      </c>
      <c r="G348" s="16">
        <v>8</v>
      </c>
      <c r="H348" s="16">
        <v>4</v>
      </c>
      <c r="I348" s="16">
        <v>2</v>
      </c>
      <c r="J348" s="16">
        <f t="shared" si="66"/>
        <v>35</v>
      </c>
      <c r="K348" s="16">
        <f t="shared" si="67"/>
        <v>16</v>
      </c>
      <c r="L348" s="16">
        <f t="shared" si="68"/>
        <v>2</v>
      </c>
      <c r="M348" s="5">
        <f>AVERAGE((SUM(E348:I348)), (SUM(E349:I349)), (SUM(E350:I350)), (SUM(E351:I351)), (SUM(E352:I352)))</f>
        <v>32</v>
      </c>
      <c r="N348" s="5">
        <f>AVERAGE((SUM(D348*0+E348*1+F348*2+G348*3+H348*4+I348*5)/(5*100)*100), (SUM(D349*0+E349*1+F349*2+G349*3+H349*4+I349*5)/(5*100)*100), (SUM(D350*0+E350*1+F350*2+G350*3+H350*4+I350*5)/(5*100)*100), (SUM(D351*0+E351*1+F351*2+G351*3+H351*4+I351*5)/(5*100)*100), (SUM(D352*0+E352*1+F352*2+G352*3+H352*4+I352*5)/(5*100)*100))</f>
        <v>16.12</v>
      </c>
      <c r="O348" s="5">
        <f>AVERAGE(I348:I352)</f>
        <v>2</v>
      </c>
    </row>
    <row r="349" spans="2:15" x14ac:dyDescent="0.2">
      <c r="B349" s="63"/>
      <c r="C349" s="16">
        <v>2</v>
      </c>
      <c r="D349" s="16">
        <f t="shared" si="65"/>
        <v>74</v>
      </c>
      <c r="E349" s="16">
        <v>9</v>
      </c>
      <c r="F349" s="16">
        <v>5</v>
      </c>
      <c r="G349" s="16">
        <v>6</v>
      </c>
      <c r="H349" s="16">
        <v>3</v>
      </c>
      <c r="I349" s="16">
        <v>3</v>
      </c>
      <c r="J349" s="16">
        <f t="shared" si="66"/>
        <v>26</v>
      </c>
      <c r="K349" s="16">
        <f t="shared" si="67"/>
        <v>12.8</v>
      </c>
      <c r="L349" s="16">
        <f t="shared" si="68"/>
        <v>3</v>
      </c>
      <c r="M349" s="5"/>
      <c r="N349" s="5"/>
      <c r="O349" s="5"/>
    </row>
    <row r="350" spans="2:15" x14ac:dyDescent="0.2">
      <c r="B350" s="63"/>
      <c r="C350" s="16">
        <v>3</v>
      </c>
      <c r="D350" s="16">
        <f t="shared" si="65"/>
        <v>56</v>
      </c>
      <c r="E350" s="16">
        <v>10</v>
      </c>
      <c r="F350" s="16">
        <v>15</v>
      </c>
      <c r="G350" s="16">
        <v>13</v>
      </c>
      <c r="H350" s="16">
        <v>6</v>
      </c>
      <c r="I350" s="16">
        <v>0</v>
      </c>
      <c r="J350" s="16">
        <f t="shared" si="66"/>
        <v>44</v>
      </c>
      <c r="K350" s="16">
        <f t="shared" si="67"/>
        <v>20.599999999999998</v>
      </c>
      <c r="L350" s="16">
        <f t="shared" si="68"/>
        <v>0</v>
      </c>
      <c r="M350" s="5"/>
      <c r="N350" s="5"/>
      <c r="O350" s="5"/>
    </row>
    <row r="351" spans="2:15" x14ac:dyDescent="0.2">
      <c r="B351" s="63"/>
      <c r="C351" s="16">
        <v>4</v>
      </c>
      <c r="D351" s="16">
        <f t="shared" si="65"/>
        <v>72</v>
      </c>
      <c r="E351" s="16">
        <v>7</v>
      </c>
      <c r="F351" s="16">
        <v>4</v>
      </c>
      <c r="G351" s="16">
        <v>6</v>
      </c>
      <c r="H351" s="16">
        <v>8</v>
      </c>
      <c r="I351" s="16">
        <v>3</v>
      </c>
      <c r="J351" s="16">
        <f t="shared" si="66"/>
        <v>28</v>
      </c>
      <c r="K351" s="16">
        <f t="shared" si="67"/>
        <v>16</v>
      </c>
      <c r="L351" s="16">
        <f t="shared" si="68"/>
        <v>3</v>
      </c>
      <c r="M351" s="5"/>
      <c r="N351" s="5"/>
      <c r="O351" s="5"/>
    </row>
    <row r="352" spans="2:15" x14ac:dyDescent="0.2">
      <c r="B352" s="63"/>
      <c r="C352" s="16">
        <v>5</v>
      </c>
      <c r="D352" s="16">
        <f t="shared" si="65"/>
        <v>73</v>
      </c>
      <c r="E352" s="16">
        <v>3</v>
      </c>
      <c r="F352" s="16">
        <v>7</v>
      </c>
      <c r="G352" s="16">
        <v>11</v>
      </c>
      <c r="H352" s="16">
        <v>4</v>
      </c>
      <c r="I352" s="16">
        <v>2</v>
      </c>
      <c r="J352" s="16">
        <f t="shared" si="66"/>
        <v>27</v>
      </c>
      <c r="K352" s="16">
        <f t="shared" si="67"/>
        <v>15.2</v>
      </c>
      <c r="L352" s="16">
        <f t="shared" si="68"/>
        <v>2</v>
      </c>
      <c r="M352" s="5"/>
      <c r="N352" s="5"/>
      <c r="O352" s="5"/>
    </row>
    <row r="353" spans="2:15" x14ac:dyDescent="0.2">
      <c r="B353" s="63" t="s">
        <v>569</v>
      </c>
      <c r="C353" s="16">
        <v>1</v>
      </c>
      <c r="D353" s="16">
        <f t="shared" si="65"/>
        <v>9</v>
      </c>
      <c r="E353" s="16">
        <v>5</v>
      </c>
      <c r="F353" s="16">
        <v>9</v>
      </c>
      <c r="G353" s="16">
        <v>12</v>
      </c>
      <c r="H353" s="16">
        <v>15</v>
      </c>
      <c r="I353" s="16">
        <v>50</v>
      </c>
      <c r="J353" s="16">
        <f t="shared" si="66"/>
        <v>91</v>
      </c>
      <c r="K353" s="16">
        <f t="shared" si="67"/>
        <v>73.8</v>
      </c>
      <c r="L353" s="16">
        <f t="shared" si="68"/>
        <v>50</v>
      </c>
      <c r="M353" s="5">
        <f>AVERAGE((SUM(E353:I353)), (SUM(E354:I354)), (SUM(E355:I355)), (SUM(E356:I356)), (SUM(E357:I357)))</f>
        <v>62.8</v>
      </c>
      <c r="N353" s="5">
        <f>AVERAGE((SUM(D353*0+E353*1+F353*2+G353*3+H353*4+I353*5)/(5*100)*100), (SUM(D354*0+E354*1+F354*2+G354*3+H354*4+I354*5)/(5*100)*100), (SUM(D355*0+E355*1+F355*2+G355*3+H355*4+I355*5)/(5*100)*100), (SUM(D356*0+E356*1+F356*2+G356*3+H356*4+I356*5)/(5*100)*100), (SUM(D357*0+E357*1+F357*2+G357*3+H357*4+I357*5)/(5*100)*100))</f>
        <v>46.88</v>
      </c>
      <c r="O353" s="5">
        <f>AVERAGE(I353:I357)</f>
        <v>24.6</v>
      </c>
    </row>
    <row r="354" spans="2:15" x14ac:dyDescent="0.2">
      <c r="B354" s="63"/>
      <c r="C354" s="16">
        <v>2</v>
      </c>
      <c r="D354" s="16">
        <f t="shared" si="65"/>
        <v>25</v>
      </c>
      <c r="E354" s="16">
        <v>7</v>
      </c>
      <c r="F354" s="16">
        <v>4</v>
      </c>
      <c r="G354" s="16">
        <v>21</v>
      </c>
      <c r="H354" s="16">
        <v>18</v>
      </c>
      <c r="I354" s="16">
        <v>25</v>
      </c>
      <c r="J354" s="16">
        <f t="shared" si="66"/>
        <v>75</v>
      </c>
      <c r="K354" s="16">
        <f t="shared" si="67"/>
        <v>55.000000000000007</v>
      </c>
      <c r="L354" s="16">
        <f t="shared" si="68"/>
        <v>25</v>
      </c>
      <c r="M354" s="5"/>
      <c r="N354" s="5"/>
      <c r="O354" s="5"/>
    </row>
    <row r="355" spans="2:15" x14ac:dyDescent="0.2">
      <c r="B355" s="63"/>
      <c r="C355" s="16">
        <v>3</v>
      </c>
      <c r="D355" s="16">
        <f t="shared" si="65"/>
        <v>60</v>
      </c>
      <c r="E355" s="16">
        <v>5</v>
      </c>
      <c r="F355" s="16">
        <v>5</v>
      </c>
      <c r="G355" s="16">
        <v>7</v>
      </c>
      <c r="H355" s="16">
        <v>11</v>
      </c>
      <c r="I355" s="16">
        <v>12</v>
      </c>
      <c r="J355" s="16">
        <f t="shared" si="66"/>
        <v>40</v>
      </c>
      <c r="K355" s="16">
        <f t="shared" si="67"/>
        <v>28.000000000000004</v>
      </c>
      <c r="L355" s="16">
        <f t="shared" si="68"/>
        <v>12</v>
      </c>
      <c r="M355" s="5"/>
      <c r="N355" s="5"/>
      <c r="O355" s="5"/>
    </row>
    <row r="356" spans="2:15" x14ac:dyDescent="0.2">
      <c r="B356" s="63"/>
      <c r="C356" s="16">
        <v>4</v>
      </c>
      <c r="D356" s="16">
        <f t="shared" si="65"/>
        <v>55</v>
      </c>
      <c r="E356" s="16">
        <v>4</v>
      </c>
      <c r="F356" s="16">
        <v>4</v>
      </c>
      <c r="G356" s="16">
        <v>11</v>
      </c>
      <c r="H356" s="16">
        <v>12</v>
      </c>
      <c r="I356" s="16">
        <v>14</v>
      </c>
      <c r="J356" s="16">
        <f t="shared" si="66"/>
        <v>45</v>
      </c>
      <c r="K356" s="16">
        <f t="shared" si="67"/>
        <v>32.6</v>
      </c>
      <c r="L356" s="16">
        <f t="shared" si="68"/>
        <v>14</v>
      </c>
      <c r="M356" s="5"/>
      <c r="N356" s="5"/>
      <c r="O356" s="5"/>
    </row>
    <row r="357" spans="2:15" x14ac:dyDescent="0.2">
      <c r="B357" s="63"/>
      <c r="C357" s="16">
        <v>5</v>
      </c>
      <c r="D357" s="16">
        <f t="shared" si="65"/>
        <v>37</v>
      </c>
      <c r="E357" s="16">
        <v>8</v>
      </c>
      <c r="F357" s="16">
        <v>8</v>
      </c>
      <c r="G357" s="16">
        <v>9</v>
      </c>
      <c r="H357" s="16">
        <v>16</v>
      </c>
      <c r="I357" s="16">
        <v>22</v>
      </c>
      <c r="J357" s="16">
        <f t="shared" si="66"/>
        <v>63</v>
      </c>
      <c r="K357" s="16">
        <f t="shared" si="67"/>
        <v>45</v>
      </c>
      <c r="L357" s="16">
        <f t="shared" si="68"/>
        <v>22</v>
      </c>
      <c r="M357" s="5"/>
      <c r="N357" s="5"/>
      <c r="O357" s="5"/>
    </row>
    <row r="358" spans="2:15" x14ac:dyDescent="0.2">
      <c r="B358" s="63" t="s">
        <v>570</v>
      </c>
      <c r="C358" s="16">
        <v>1</v>
      </c>
      <c r="D358" s="16">
        <f t="shared" si="65"/>
        <v>-5</v>
      </c>
      <c r="E358" s="16">
        <v>10</v>
      </c>
      <c r="F358" s="16">
        <v>16</v>
      </c>
      <c r="G358" s="16">
        <v>22</v>
      </c>
      <c r="H358" s="16">
        <v>22</v>
      </c>
      <c r="I358" s="16">
        <v>35</v>
      </c>
      <c r="J358" s="16">
        <f t="shared" si="66"/>
        <v>105</v>
      </c>
      <c r="K358" s="16">
        <f t="shared" si="67"/>
        <v>74.2</v>
      </c>
      <c r="L358" s="16">
        <f t="shared" si="68"/>
        <v>35</v>
      </c>
      <c r="M358" s="5">
        <f>AVERAGE((SUM(E358:I358)), (SUM(E359:I359)), (SUM(E360:I360)), (SUM(E361:I361)), (SUM(E362:I362)))</f>
        <v>60.6</v>
      </c>
      <c r="N358" s="5">
        <f>AVERAGE((SUM(D358*0+E358*1+F358*2+G358*3+H358*4+I358*5)/(5*100)*100), (SUM(D359*0+E359*1+F359*2+G359*3+H359*4+I359*5)/(5*100)*100), (SUM(D360*0+E360*1+F360*2+G360*3+H360*4+I360*5)/(5*100)*100), (SUM(D361*0+E361*1+F361*2+G361*3+H361*4+I361*5)/(5*100)*100), (SUM(D362*0+E362*1+F362*2+G362*3+H362*4+I362*5)/(5*100)*100))</f>
        <v>41.8</v>
      </c>
      <c r="O358" s="5">
        <f>AVERAGE(I358:I362)</f>
        <v>18.8</v>
      </c>
    </row>
    <row r="359" spans="2:15" x14ac:dyDescent="0.2">
      <c r="B359" s="63"/>
      <c r="C359" s="16">
        <v>2</v>
      </c>
      <c r="D359" s="16">
        <f t="shared" si="65"/>
        <v>25</v>
      </c>
      <c r="E359" s="16">
        <v>8</v>
      </c>
      <c r="F359" s="16">
        <v>7</v>
      </c>
      <c r="G359" s="16">
        <v>14</v>
      </c>
      <c r="H359" s="16">
        <v>16</v>
      </c>
      <c r="I359" s="16">
        <v>30</v>
      </c>
      <c r="J359" s="16">
        <f t="shared" si="66"/>
        <v>75</v>
      </c>
      <c r="K359" s="16">
        <f t="shared" si="67"/>
        <v>55.600000000000009</v>
      </c>
      <c r="L359" s="16">
        <f t="shared" si="68"/>
        <v>30</v>
      </c>
      <c r="M359" s="5"/>
      <c r="N359" s="5"/>
      <c r="O359" s="5"/>
    </row>
    <row r="360" spans="2:15" x14ac:dyDescent="0.2">
      <c r="B360" s="63"/>
      <c r="C360" s="16">
        <v>3</v>
      </c>
      <c r="D360" s="16">
        <f t="shared" si="65"/>
        <v>63</v>
      </c>
      <c r="E360" s="16">
        <v>4</v>
      </c>
      <c r="F360" s="16">
        <v>5</v>
      </c>
      <c r="G360" s="16">
        <v>11</v>
      </c>
      <c r="H360" s="16">
        <v>11</v>
      </c>
      <c r="I360" s="16">
        <v>6</v>
      </c>
      <c r="J360" s="16">
        <f t="shared" si="66"/>
        <v>37</v>
      </c>
      <c r="K360" s="16">
        <f t="shared" si="67"/>
        <v>24.2</v>
      </c>
      <c r="L360" s="16">
        <f t="shared" si="68"/>
        <v>6</v>
      </c>
      <c r="M360" s="5"/>
      <c r="N360" s="5"/>
      <c r="O360" s="5"/>
    </row>
    <row r="361" spans="2:15" x14ac:dyDescent="0.2">
      <c r="B361" s="63"/>
      <c r="C361" s="16">
        <v>4</v>
      </c>
      <c r="D361" s="16">
        <f t="shared" si="65"/>
        <v>89</v>
      </c>
      <c r="E361" s="16">
        <v>4</v>
      </c>
      <c r="F361" s="16">
        <v>2</v>
      </c>
      <c r="G361" s="16">
        <v>2</v>
      </c>
      <c r="H361" s="16">
        <v>2</v>
      </c>
      <c r="I361" s="16">
        <v>1</v>
      </c>
      <c r="J361" s="16">
        <f t="shared" si="66"/>
        <v>11</v>
      </c>
      <c r="K361" s="16">
        <f t="shared" si="67"/>
        <v>5.4</v>
      </c>
      <c r="L361" s="16">
        <f t="shared" si="68"/>
        <v>1</v>
      </c>
      <c r="M361" s="5"/>
      <c r="N361" s="5"/>
      <c r="O361" s="5"/>
    </row>
    <row r="362" spans="2:15" x14ac:dyDescent="0.2">
      <c r="B362" s="63"/>
      <c r="C362" s="16">
        <v>5</v>
      </c>
      <c r="D362" s="16">
        <f t="shared" si="65"/>
        <v>25</v>
      </c>
      <c r="E362" s="16">
        <v>10</v>
      </c>
      <c r="F362" s="16">
        <v>15</v>
      </c>
      <c r="G362" s="16">
        <v>14</v>
      </c>
      <c r="H362" s="16">
        <v>14</v>
      </c>
      <c r="I362" s="16">
        <v>22</v>
      </c>
      <c r="J362" s="16">
        <f t="shared" si="66"/>
        <v>75</v>
      </c>
      <c r="K362" s="16">
        <f t="shared" si="67"/>
        <v>49.6</v>
      </c>
      <c r="L362" s="16">
        <f t="shared" si="68"/>
        <v>22</v>
      </c>
      <c r="M362" s="5"/>
      <c r="N362" s="5"/>
      <c r="O362" s="5"/>
    </row>
    <row r="363" spans="2:15" x14ac:dyDescent="0.2">
      <c r="B363" s="63" t="s">
        <v>571</v>
      </c>
      <c r="C363" s="16">
        <v>1</v>
      </c>
      <c r="D363" s="16">
        <f t="shared" si="65"/>
        <v>54</v>
      </c>
      <c r="E363" s="16">
        <v>14</v>
      </c>
      <c r="F363" s="16">
        <v>15</v>
      </c>
      <c r="G363" s="16">
        <v>12</v>
      </c>
      <c r="H363" s="16">
        <v>3</v>
      </c>
      <c r="I363" s="16">
        <v>2</v>
      </c>
      <c r="J363" s="16">
        <f t="shared" si="66"/>
        <v>46</v>
      </c>
      <c r="K363" s="16">
        <f t="shared" si="67"/>
        <v>20.399999999999999</v>
      </c>
      <c r="L363" s="16">
        <f t="shared" si="68"/>
        <v>2</v>
      </c>
      <c r="M363" s="5">
        <f>AVERAGE((SUM(E363:I363)), (SUM(E364:I364)), (SUM(E365:I365)), (SUM(E366:I366)), (SUM(E367:I367)))</f>
        <v>31.6</v>
      </c>
      <c r="N363" s="5">
        <f>AVERAGE((SUM(D363*0+E363*1+F363*2+G363*3+H363*4+I363*5)/(5*100)*100), (SUM(D364*0+E364*1+F364*2+G364*3+H364*4+I364*5)/(5*100)*100), (SUM(D365*0+E365*1+F365*2+G365*3+H365*4+I365*5)/(5*100)*100), (SUM(D366*0+E366*1+F366*2+G366*3+H366*4+I366*5)/(5*100)*100), (SUM(D367*0+E367*1+F367*2+G367*3+H367*4+I367*5)/(5*100)*100))</f>
        <v>14.8</v>
      </c>
      <c r="O363" s="5">
        <f>AVERAGE(I363:I367)</f>
        <v>2</v>
      </c>
    </row>
    <row r="364" spans="2:15" x14ac:dyDescent="0.2">
      <c r="B364" s="63"/>
      <c r="C364" s="16">
        <v>2</v>
      </c>
      <c r="D364" s="16">
        <f t="shared" si="65"/>
        <v>73</v>
      </c>
      <c r="E364" s="16">
        <v>9</v>
      </c>
      <c r="F364" s="16">
        <v>4</v>
      </c>
      <c r="G364" s="16">
        <v>8</v>
      </c>
      <c r="H364" s="16">
        <v>5</v>
      </c>
      <c r="I364" s="16">
        <v>1</v>
      </c>
      <c r="J364" s="16">
        <f t="shared" si="66"/>
        <v>27</v>
      </c>
      <c r="K364" s="16">
        <f t="shared" si="67"/>
        <v>13.200000000000001</v>
      </c>
      <c r="L364" s="16">
        <f t="shared" si="68"/>
        <v>1</v>
      </c>
      <c r="M364" s="5"/>
      <c r="N364" s="5"/>
      <c r="O364" s="5"/>
    </row>
    <row r="365" spans="2:15" x14ac:dyDescent="0.2">
      <c r="B365" s="63"/>
      <c r="C365" s="16">
        <v>3</v>
      </c>
      <c r="D365" s="16">
        <f t="shared" si="65"/>
        <v>91</v>
      </c>
      <c r="E365" s="16">
        <v>5</v>
      </c>
      <c r="F365" s="16">
        <v>1</v>
      </c>
      <c r="G365" s="16">
        <v>2</v>
      </c>
      <c r="H365" s="16">
        <v>0</v>
      </c>
      <c r="I365" s="16">
        <v>1</v>
      </c>
      <c r="J365" s="16">
        <f t="shared" si="66"/>
        <v>9</v>
      </c>
      <c r="K365" s="16">
        <f t="shared" si="67"/>
        <v>3.5999999999999996</v>
      </c>
      <c r="L365" s="16">
        <f t="shared" si="68"/>
        <v>1</v>
      </c>
      <c r="M365" s="5"/>
      <c r="N365" s="5"/>
      <c r="O365" s="5"/>
    </row>
    <row r="366" spans="2:15" x14ac:dyDescent="0.2">
      <c r="B366" s="63"/>
      <c r="C366" s="16">
        <v>4</v>
      </c>
      <c r="D366" s="16">
        <f t="shared" si="65"/>
        <v>51</v>
      </c>
      <c r="E366" s="16">
        <v>16</v>
      </c>
      <c r="F366" s="16">
        <v>12</v>
      </c>
      <c r="G366" s="16">
        <v>11</v>
      </c>
      <c r="H366" s="16">
        <v>5</v>
      </c>
      <c r="I366" s="16">
        <v>5</v>
      </c>
      <c r="J366" s="16">
        <f t="shared" si="66"/>
        <v>49</v>
      </c>
      <c r="K366" s="16">
        <f t="shared" si="67"/>
        <v>23.599999999999998</v>
      </c>
      <c r="L366" s="16">
        <f t="shared" si="68"/>
        <v>5</v>
      </c>
      <c r="M366" s="5"/>
      <c r="N366" s="5"/>
      <c r="O366" s="5"/>
    </row>
    <row r="367" spans="2:15" x14ac:dyDescent="0.2">
      <c r="B367" s="63"/>
      <c r="C367" s="16">
        <v>5</v>
      </c>
      <c r="D367" s="16">
        <f t="shared" si="65"/>
        <v>73</v>
      </c>
      <c r="E367" s="16">
        <v>9</v>
      </c>
      <c r="F367" s="16">
        <v>4</v>
      </c>
      <c r="G367" s="16">
        <v>8</v>
      </c>
      <c r="H367" s="16">
        <v>5</v>
      </c>
      <c r="I367" s="16">
        <v>1</v>
      </c>
      <c r="J367" s="16">
        <f t="shared" si="66"/>
        <v>27</v>
      </c>
      <c r="K367" s="16">
        <f t="shared" si="67"/>
        <v>13.200000000000001</v>
      </c>
      <c r="L367" s="16">
        <f t="shared" si="68"/>
        <v>1</v>
      </c>
      <c r="M367" s="5"/>
      <c r="N367" s="5"/>
      <c r="O367" s="5"/>
    </row>
    <row r="368" spans="2:15" x14ac:dyDescent="0.2">
      <c r="B368" s="63" t="s">
        <v>572</v>
      </c>
      <c r="C368" s="16">
        <v>1</v>
      </c>
      <c r="D368" s="16">
        <f t="shared" si="65"/>
        <v>75</v>
      </c>
      <c r="E368" s="16">
        <v>10</v>
      </c>
      <c r="F368" s="16">
        <v>4</v>
      </c>
      <c r="G368" s="16">
        <v>5</v>
      </c>
      <c r="H368" s="16">
        <v>4</v>
      </c>
      <c r="I368" s="16">
        <v>2</v>
      </c>
      <c r="J368" s="16">
        <f t="shared" si="66"/>
        <v>25</v>
      </c>
      <c r="K368" s="16">
        <f t="shared" si="67"/>
        <v>11.799999999999999</v>
      </c>
      <c r="L368" s="16">
        <f t="shared" si="68"/>
        <v>2</v>
      </c>
      <c r="M368" s="5">
        <f>AVERAGE((SUM(E368:I368)), (SUM(E369:I369)), (SUM(E370:I370)), (SUM(E371:I371)), (SUM(E372:I372)))</f>
        <v>49.8</v>
      </c>
      <c r="N368" s="5">
        <f>AVERAGE((SUM(D368*0+E368*1+F368*2+G368*3+H368*4+I368*5)/(5*100)*100), (SUM(D369*0+E369*1+F369*2+G369*3+H369*4+I369*5)/(5*100)*100), (SUM(D370*0+E370*1+F370*2+G370*3+H370*4+I370*5)/(5*100)*100), (SUM(D371*0+E371*1+F371*2+G371*3+H371*4+I371*5)/(5*100)*100), (SUM(D372*0+E372*1+F372*2+G372*3+H372*4+I372*5)/(5*100)*100))</f>
        <v>28.72</v>
      </c>
      <c r="O368" s="5">
        <f>AVERAGE(I368:I372)</f>
        <v>11.6</v>
      </c>
    </row>
    <row r="369" spans="2:15" x14ac:dyDescent="0.2">
      <c r="B369" s="63"/>
      <c r="C369" s="16">
        <v>2</v>
      </c>
      <c r="D369" s="16">
        <f t="shared" si="65"/>
        <v>60</v>
      </c>
      <c r="E369" s="16">
        <v>9</v>
      </c>
      <c r="F369" s="16">
        <v>5</v>
      </c>
      <c r="G369" s="16">
        <v>5</v>
      </c>
      <c r="H369" s="16">
        <v>5</v>
      </c>
      <c r="I369" s="16">
        <v>16</v>
      </c>
      <c r="J369" s="16">
        <f t="shared" si="66"/>
        <v>40</v>
      </c>
      <c r="K369" s="16">
        <f t="shared" si="67"/>
        <v>26.8</v>
      </c>
      <c r="L369" s="16">
        <f t="shared" si="68"/>
        <v>16</v>
      </c>
      <c r="M369" s="5"/>
      <c r="N369" s="5"/>
      <c r="O369" s="5"/>
    </row>
    <row r="370" spans="2:15" x14ac:dyDescent="0.2">
      <c r="B370" s="63"/>
      <c r="C370" s="16">
        <v>3</v>
      </c>
      <c r="D370" s="16">
        <f t="shared" si="65"/>
        <v>41</v>
      </c>
      <c r="E370" s="16">
        <v>23</v>
      </c>
      <c r="F370" s="16">
        <v>9</v>
      </c>
      <c r="G370" s="16">
        <v>8</v>
      </c>
      <c r="H370" s="16">
        <v>12</v>
      </c>
      <c r="I370" s="16">
        <v>7</v>
      </c>
      <c r="J370" s="16">
        <f t="shared" si="66"/>
        <v>59</v>
      </c>
      <c r="K370" s="16">
        <f t="shared" si="67"/>
        <v>29.599999999999998</v>
      </c>
      <c r="L370" s="16">
        <f t="shared" si="68"/>
        <v>7</v>
      </c>
      <c r="M370" s="5"/>
      <c r="N370" s="5"/>
      <c r="O370" s="5"/>
    </row>
    <row r="371" spans="2:15" x14ac:dyDescent="0.2">
      <c r="B371" s="63"/>
      <c r="C371" s="16">
        <v>4</v>
      </c>
      <c r="D371" s="16">
        <f t="shared" si="65"/>
        <v>28</v>
      </c>
      <c r="E371" s="16">
        <v>17</v>
      </c>
      <c r="F371" s="16">
        <v>16</v>
      </c>
      <c r="G371" s="16">
        <v>18</v>
      </c>
      <c r="H371" s="16">
        <v>11</v>
      </c>
      <c r="I371" s="16">
        <v>10</v>
      </c>
      <c r="J371" s="16">
        <f t="shared" si="66"/>
        <v>72</v>
      </c>
      <c r="K371" s="16">
        <f t="shared" si="67"/>
        <v>39.4</v>
      </c>
      <c r="L371" s="16">
        <f t="shared" si="68"/>
        <v>10</v>
      </c>
      <c r="M371" s="5"/>
      <c r="N371" s="5"/>
      <c r="O371" s="5"/>
    </row>
    <row r="372" spans="2:15" x14ac:dyDescent="0.2">
      <c r="B372" s="63"/>
      <c r="C372" s="16">
        <v>5</v>
      </c>
      <c r="D372" s="16">
        <f t="shared" si="65"/>
        <v>47</v>
      </c>
      <c r="E372" s="16">
        <v>11</v>
      </c>
      <c r="F372" s="16">
        <v>8</v>
      </c>
      <c r="G372" s="16">
        <v>6</v>
      </c>
      <c r="H372" s="16">
        <v>5</v>
      </c>
      <c r="I372" s="16">
        <v>23</v>
      </c>
      <c r="J372" s="16">
        <f t="shared" si="66"/>
        <v>53</v>
      </c>
      <c r="K372" s="16">
        <f t="shared" si="67"/>
        <v>36</v>
      </c>
      <c r="L372" s="16">
        <f t="shared" si="68"/>
        <v>23</v>
      </c>
      <c r="M372" s="5"/>
      <c r="N372" s="5"/>
      <c r="O372" s="5"/>
    </row>
    <row r="373" spans="2:15" x14ac:dyDescent="0.2">
      <c r="B373" s="63" t="s">
        <v>573</v>
      </c>
      <c r="C373" s="16">
        <v>1</v>
      </c>
      <c r="D373" s="16">
        <f t="shared" si="65"/>
        <v>57</v>
      </c>
      <c r="E373" s="16">
        <v>18</v>
      </c>
      <c r="F373" s="16">
        <v>5</v>
      </c>
      <c r="G373" s="16">
        <v>8</v>
      </c>
      <c r="H373" s="16">
        <v>4</v>
      </c>
      <c r="I373" s="16">
        <v>8</v>
      </c>
      <c r="J373" s="16">
        <f t="shared" si="66"/>
        <v>43</v>
      </c>
      <c r="K373" s="16">
        <f t="shared" si="67"/>
        <v>21.6</v>
      </c>
      <c r="L373" s="16">
        <f t="shared" si="68"/>
        <v>8</v>
      </c>
      <c r="M373" s="5">
        <f>AVERAGE((SUM(E373:I373)), (SUM(E374:I374)), (SUM(E375:I375)), (SUM(E376:I376)), (SUM(E377:I377)))</f>
        <v>21</v>
      </c>
      <c r="N373" s="5">
        <f>AVERAGE((SUM(D373*0+E373*1+F373*2+G373*3+H373*4+I373*5)/(5*100)*100), (SUM(D374*0+E374*1+F374*2+G374*3+H374*4+I374*5)/(5*100)*100), (SUM(D375*0+E375*1+F375*2+G375*3+H375*4+I375*5)/(5*100)*100), (SUM(D376*0+E376*1+F376*2+G376*3+H376*4+I376*5)/(5*100)*100), (SUM(D377*0+E377*1+F377*2+G377*3+H377*4+I377*5)/(5*100)*100))</f>
        <v>11.280000000000001</v>
      </c>
      <c r="O373" s="5">
        <f>AVERAGE(I373:I377)</f>
        <v>6.666666666666667</v>
      </c>
    </row>
    <row r="374" spans="2:15" x14ac:dyDescent="0.2">
      <c r="B374" s="63"/>
      <c r="C374" s="16">
        <v>2</v>
      </c>
      <c r="D374" s="16">
        <f t="shared" si="65"/>
        <v>59</v>
      </c>
      <c r="E374" s="16">
        <v>15</v>
      </c>
      <c r="F374" s="16">
        <v>3</v>
      </c>
      <c r="G374" s="16">
        <v>9</v>
      </c>
      <c r="H374" s="16">
        <v>5</v>
      </c>
      <c r="I374" s="16">
        <v>9</v>
      </c>
      <c r="J374" s="16">
        <f t="shared" si="66"/>
        <v>41</v>
      </c>
      <c r="K374" s="16">
        <f t="shared" si="67"/>
        <v>22.6</v>
      </c>
      <c r="L374" s="16">
        <f t="shared" si="68"/>
        <v>9</v>
      </c>
      <c r="M374" s="5"/>
      <c r="N374" s="5"/>
      <c r="O374" s="5"/>
    </row>
    <row r="375" spans="2:15" x14ac:dyDescent="0.2">
      <c r="B375" s="63"/>
      <c r="C375" s="16">
        <v>3</v>
      </c>
      <c r="D375" s="16">
        <f t="shared" si="65"/>
        <v>79</v>
      </c>
      <c r="E375" s="16">
        <v>4</v>
      </c>
      <c r="F375" s="16">
        <v>3</v>
      </c>
      <c r="G375" s="16">
        <v>8</v>
      </c>
      <c r="H375" s="16">
        <v>3</v>
      </c>
      <c r="I375" s="16">
        <v>3</v>
      </c>
      <c r="J375" s="16">
        <f t="shared" si="66"/>
        <v>21</v>
      </c>
      <c r="K375" s="16">
        <f t="shared" si="67"/>
        <v>12.2</v>
      </c>
      <c r="L375" s="16">
        <f t="shared" si="68"/>
        <v>3</v>
      </c>
      <c r="M375" s="5"/>
      <c r="N375" s="5"/>
      <c r="O375" s="5"/>
    </row>
    <row r="376" spans="2:15" x14ac:dyDescent="0.2">
      <c r="B376" s="63"/>
      <c r="C376" s="16">
        <v>4</v>
      </c>
      <c r="D376" s="16">
        <f t="shared" si="65"/>
        <v>100</v>
      </c>
      <c r="E376" s="16"/>
      <c r="F376" s="16"/>
      <c r="G376" s="16"/>
      <c r="H376" s="16"/>
      <c r="I376" s="16"/>
      <c r="J376" s="16">
        <f t="shared" si="66"/>
        <v>0</v>
      </c>
      <c r="K376" s="16">
        <f t="shared" si="67"/>
        <v>0</v>
      </c>
      <c r="L376" s="16">
        <f t="shared" si="68"/>
        <v>0</v>
      </c>
      <c r="M376" s="5"/>
      <c r="N376" s="5"/>
      <c r="O376" s="5"/>
    </row>
    <row r="377" spans="2:15" x14ac:dyDescent="0.2">
      <c r="B377" s="63"/>
      <c r="C377" s="16">
        <v>5</v>
      </c>
      <c r="D377" s="16">
        <f t="shared" si="65"/>
        <v>100</v>
      </c>
      <c r="E377" s="16"/>
      <c r="F377" s="16"/>
      <c r="G377" s="16"/>
      <c r="H377" s="16"/>
      <c r="I377" s="16"/>
      <c r="J377" s="16">
        <f t="shared" si="66"/>
        <v>0</v>
      </c>
      <c r="K377" s="16">
        <f t="shared" si="67"/>
        <v>0</v>
      </c>
      <c r="L377" s="16">
        <f t="shared" si="68"/>
        <v>0</v>
      </c>
      <c r="M377" s="5"/>
      <c r="N377" s="5"/>
      <c r="O377" s="5"/>
    </row>
    <row r="378" spans="2:15" x14ac:dyDescent="0.2">
      <c r="B378" s="63" t="s">
        <v>574</v>
      </c>
      <c r="C378" s="16">
        <v>1</v>
      </c>
      <c r="D378" s="16">
        <f t="shared" si="65"/>
        <v>99</v>
      </c>
      <c r="E378" s="16">
        <v>1</v>
      </c>
      <c r="F378" s="16">
        <v>0</v>
      </c>
      <c r="G378" s="16">
        <v>0</v>
      </c>
      <c r="H378" s="16">
        <v>0</v>
      </c>
      <c r="I378" s="16">
        <v>0</v>
      </c>
      <c r="J378" s="16">
        <f t="shared" si="66"/>
        <v>1</v>
      </c>
      <c r="K378" s="16">
        <f t="shared" si="67"/>
        <v>0.2</v>
      </c>
      <c r="L378" s="16">
        <f t="shared" si="68"/>
        <v>0</v>
      </c>
      <c r="M378" s="5">
        <f>AVERAGE((SUM(E378:I378)), (SUM(E379:I379)), (SUM(E380:I380)), (SUM(E381:I381)), (SUM(E382:I382)))</f>
        <v>24.8</v>
      </c>
      <c r="N378" s="5">
        <f>AVERAGE((SUM(D378*0+E378*1+F378*2+G378*3+H378*4+I378*5)/(5*100)*100), (SUM(D379*0+E379*1+F379*2+G379*3+H379*4+I379*5)/(5*100)*100), (SUM(D380*0+E380*1+F380*2+G380*3+H380*4+I380*5)/(5*100)*100), (SUM(D381*0+E381*1+F381*2+G381*3+H381*4+I381*5)/(5*100)*100), (SUM(D382*0+E382*1+F382*2+G382*3+H382*4+I382*5)/(5*100)*100))</f>
        <v>12.48</v>
      </c>
      <c r="O378" s="5">
        <f>AVERAGE(I378:I382)</f>
        <v>5.8</v>
      </c>
    </row>
    <row r="379" spans="2:15" x14ac:dyDescent="0.2">
      <c r="B379" s="63"/>
      <c r="C379" s="16">
        <v>2</v>
      </c>
      <c r="D379" s="16">
        <f t="shared" si="65"/>
        <v>93</v>
      </c>
      <c r="E379" s="16">
        <v>1</v>
      </c>
      <c r="F379" s="16">
        <v>0</v>
      </c>
      <c r="G379" s="16">
        <v>2</v>
      </c>
      <c r="H379" s="16">
        <v>0</v>
      </c>
      <c r="I379" s="16">
        <v>4</v>
      </c>
      <c r="J379" s="16">
        <f t="shared" si="66"/>
        <v>7</v>
      </c>
      <c r="K379" s="16">
        <f t="shared" si="67"/>
        <v>5.4</v>
      </c>
      <c r="L379" s="16">
        <f t="shared" si="68"/>
        <v>4</v>
      </c>
      <c r="M379" s="5"/>
      <c r="N379" s="5"/>
      <c r="O379" s="5"/>
    </row>
    <row r="380" spans="2:15" x14ac:dyDescent="0.2">
      <c r="B380" s="63"/>
      <c r="C380" s="16">
        <v>3</v>
      </c>
      <c r="D380" s="16">
        <f t="shared" si="65"/>
        <v>36</v>
      </c>
      <c r="E380" s="16">
        <v>17</v>
      </c>
      <c r="F380" s="16">
        <v>16</v>
      </c>
      <c r="G380" s="16">
        <v>9</v>
      </c>
      <c r="H380" s="16">
        <v>4</v>
      </c>
      <c r="I380" s="16">
        <v>18</v>
      </c>
      <c r="J380" s="16">
        <f t="shared" si="66"/>
        <v>64</v>
      </c>
      <c r="K380" s="16">
        <f t="shared" si="67"/>
        <v>36.4</v>
      </c>
      <c r="L380" s="16">
        <f t="shared" si="68"/>
        <v>18</v>
      </c>
      <c r="M380" s="5"/>
      <c r="N380" s="5"/>
      <c r="O380" s="5"/>
    </row>
    <row r="381" spans="2:15" x14ac:dyDescent="0.2">
      <c r="B381" s="63"/>
      <c r="C381" s="16">
        <v>4</v>
      </c>
      <c r="D381" s="16">
        <f t="shared" si="65"/>
        <v>53</v>
      </c>
      <c r="E381" s="16">
        <v>32</v>
      </c>
      <c r="F381" s="16">
        <v>7</v>
      </c>
      <c r="G381" s="16">
        <v>2</v>
      </c>
      <c r="H381" s="16">
        <v>3</v>
      </c>
      <c r="I381" s="16">
        <v>3</v>
      </c>
      <c r="J381" s="16">
        <f t="shared" si="66"/>
        <v>47</v>
      </c>
      <c r="K381" s="16">
        <f t="shared" si="67"/>
        <v>15.8</v>
      </c>
      <c r="L381" s="16">
        <f t="shared" si="68"/>
        <v>3</v>
      </c>
      <c r="M381" s="5"/>
      <c r="N381" s="5"/>
      <c r="O381" s="5"/>
    </row>
    <row r="382" spans="2:15" x14ac:dyDescent="0.2">
      <c r="B382" s="63"/>
      <c r="C382" s="16">
        <v>5</v>
      </c>
      <c r="D382" s="16">
        <f t="shared" si="65"/>
        <v>95</v>
      </c>
      <c r="E382" s="16">
        <v>0</v>
      </c>
      <c r="F382" s="16">
        <v>0</v>
      </c>
      <c r="G382" s="16">
        <v>1</v>
      </c>
      <c r="H382" s="16">
        <v>0</v>
      </c>
      <c r="I382" s="16">
        <v>4</v>
      </c>
      <c r="J382" s="16">
        <f t="shared" si="66"/>
        <v>5</v>
      </c>
      <c r="K382" s="16">
        <f t="shared" si="67"/>
        <v>4.5999999999999996</v>
      </c>
      <c r="L382" s="16">
        <f t="shared" si="68"/>
        <v>4</v>
      </c>
      <c r="M382" s="5"/>
      <c r="N382" s="5"/>
      <c r="O382" s="5"/>
    </row>
    <row r="383" spans="2:15" x14ac:dyDescent="0.2">
      <c r="B383" s="63" t="s">
        <v>575</v>
      </c>
      <c r="C383" s="16">
        <v>1</v>
      </c>
      <c r="D383" s="16">
        <f t="shared" si="65"/>
        <v>97</v>
      </c>
      <c r="E383" s="16">
        <v>1</v>
      </c>
      <c r="F383" s="16">
        <v>0</v>
      </c>
      <c r="G383" s="16">
        <v>0</v>
      </c>
      <c r="H383" s="16">
        <v>1</v>
      </c>
      <c r="I383" s="16">
        <v>1</v>
      </c>
      <c r="J383" s="16">
        <f t="shared" si="66"/>
        <v>3</v>
      </c>
      <c r="K383" s="16">
        <f t="shared" si="67"/>
        <v>2</v>
      </c>
      <c r="L383" s="16">
        <f t="shared" si="68"/>
        <v>1</v>
      </c>
      <c r="M383" s="5">
        <f>AVERAGE((SUM(E383:I383)), (SUM(E384:I384)), (SUM(E385:I385)), (SUM(E386:I386)), (SUM(E387:I387)))</f>
        <v>6</v>
      </c>
      <c r="N383" s="5">
        <f>AVERAGE((SUM(D383*0+E383*1+F383*2+G383*3+H383*4+I383*5)/(5*100)*100), (SUM(D384*0+E384*1+F384*2+G384*3+H384*4+I384*5)/(5*100)*100), (SUM(D385*0+E385*1+F385*2+G385*3+H385*4+I385*5)/(5*100)*100), (SUM(D386*0+E386*1+F386*2+G386*3+H386*4+I386*5)/(5*100)*100), (SUM(D387*0+E387*1+F387*2+G387*3+H387*4+I387*5)/(5*100)*100))</f>
        <v>3.7600000000000002</v>
      </c>
      <c r="O383" s="5">
        <f>AVERAGE(I383:I387)</f>
        <v>1</v>
      </c>
    </row>
    <row r="384" spans="2:15" x14ac:dyDescent="0.2">
      <c r="B384" s="63"/>
      <c r="C384" s="16">
        <v>2</v>
      </c>
      <c r="D384" s="16">
        <f t="shared" si="65"/>
        <v>97</v>
      </c>
      <c r="E384" s="16">
        <v>1</v>
      </c>
      <c r="F384" s="16">
        <v>0</v>
      </c>
      <c r="G384" s="16">
        <v>1</v>
      </c>
      <c r="H384" s="16">
        <v>0</v>
      </c>
      <c r="I384" s="16">
        <v>1</v>
      </c>
      <c r="J384" s="16">
        <f t="shared" si="66"/>
        <v>3</v>
      </c>
      <c r="K384" s="16">
        <f t="shared" si="67"/>
        <v>1.7999999999999998</v>
      </c>
      <c r="L384" s="16">
        <f t="shared" si="68"/>
        <v>1</v>
      </c>
      <c r="M384" s="5"/>
      <c r="N384" s="5"/>
      <c r="O384" s="5"/>
    </row>
    <row r="385" spans="2:15" x14ac:dyDescent="0.2">
      <c r="B385" s="63"/>
      <c r="C385" s="16">
        <v>3</v>
      </c>
      <c r="D385" s="16">
        <f t="shared" si="65"/>
        <v>98</v>
      </c>
      <c r="E385" s="16">
        <v>0</v>
      </c>
      <c r="F385" s="16">
        <v>0</v>
      </c>
      <c r="G385" s="16">
        <v>1</v>
      </c>
      <c r="H385" s="16">
        <v>1</v>
      </c>
      <c r="I385" s="16">
        <v>0</v>
      </c>
      <c r="J385" s="16">
        <f t="shared" si="66"/>
        <v>2</v>
      </c>
      <c r="K385" s="16">
        <f t="shared" si="67"/>
        <v>1.4000000000000001</v>
      </c>
      <c r="L385" s="16">
        <f t="shared" si="68"/>
        <v>0</v>
      </c>
      <c r="M385" s="5"/>
      <c r="N385" s="5"/>
      <c r="O385" s="5"/>
    </row>
    <row r="386" spans="2:15" x14ac:dyDescent="0.2">
      <c r="B386" s="63"/>
      <c r="C386" s="16">
        <v>4</v>
      </c>
      <c r="D386" s="16">
        <f t="shared" si="65"/>
        <v>79</v>
      </c>
      <c r="E386" s="16">
        <v>0</v>
      </c>
      <c r="F386" s="16">
        <v>8</v>
      </c>
      <c r="G386" s="16">
        <v>6</v>
      </c>
      <c r="H386" s="16">
        <v>4</v>
      </c>
      <c r="I386" s="16">
        <v>3</v>
      </c>
      <c r="J386" s="16">
        <f t="shared" si="66"/>
        <v>21</v>
      </c>
      <c r="K386" s="16">
        <f t="shared" si="67"/>
        <v>13</v>
      </c>
      <c r="L386" s="16">
        <f t="shared" si="68"/>
        <v>3</v>
      </c>
      <c r="M386" s="5"/>
      <c r="N386" s="5"/>
      <c r="O386" s="5"/>
    </row>
    <row r="387" spans="2:15" x14ac:dyDescent="0.2">
      <c r="B387" s="63"/>
      <c r="C387" s="16">
        <v>5</v>
      </c>
      <c r="D387" s="16">
        <f t="shared" ref="D387:D450" si="69">100-(SUM(E387:I387))</f>
        <v>99</v>
      </c>
      <c r="E387" s="16">
        <v>0</v>
      </c>
      <c r="F387" s="16">
        <v>0</v>
      </c>
      <c r="G387" s="16">
        <v>1</v>
      </c>
      <c r="H387" s="16">
        <v>0</v>
      </c>
      <c r="I387" s="16">
        <v>0</v>
      </c>
      <c r="J387" s="16">
        <f t="shared" si="66"/>
        <v>1</v>
      </c>
      <c r="K387" s="16">
        <f t="shared" si="67"/>
        <v>0.6</v>
      </c>
      <c r="L387" s="16">
        <f t="shared" si="68"/>
        <v>0</v>
      </c>
      <c r="M387" s="5"/>
      <c r="N387" s="5"/>
      <c r="O387" s="5"/>
    </row>
    <row r="388" spans="2:15" x14ac:dyDescent="0.2">
      <c r="B388" s="63" t="s">
        <v>576</v>
      </c>
      <c r="C388" s="16">
        <v>1</v>
      </c>
      <c r="D388" s="16">
        <f t="shared" si="69"/>
        <v>32</v>
      </c>
      <c r="E388" s="16">
        <v>10</v>
      </c>
      <c r="F388" s="16">
        <v>12</v>
      </c>
      <c r="G388" s="16">
        <v>16</v>
      </c>
      <c r="H388" s="16">
        <v>12</v>
      </c>
      <c r="I388" s="16">
        <v>18</v>
      </c>
      <c r="J388" s="16">
        <f t="shared" ref="J388:J451" si="70">SUM(E388:I388)</f>
        <v>68</v>
      </c>
      <c r="K388" s="16">
        <f t="shared" ref="K388:K451" si="71">AVERAGE(SUM(E388*1,F388*2,G388*3,H388*4,I388*5))/(5*100)*100</f>
        <v>44</v>
      </c>
      <c r="L388" s="16">
        <f t="shared" ref="L388:L451" si="72">I388</f>
        <v>18</v>
      </c>
      <c r="M388" s="5">
        <f>AVERAGE((SUM(E388:I388)), (SUM(E389:I389)), (SUM(E390:I390)), (SUM(E391:I391)), (SUM(E392:I392)))</f>
        <v>72</v>
      </c>
      <c r="N388" s="5">
        <f>AVERAGE((SUM(D388*0+E388*1+F388*2+G388*3+H388*4+I388*5)/(5*100)*100), (SUM(D389*0+E389*1+F389*2+G389*3+H389*4+I389*5)/(5*100)*100), (SUM(D390*0+E390*1+F390*2+G390*3+H390*4+I390*5)/(5*100)*100), (SUM(D391*0+E391*1+F391*2+G391*3+H391*4+I391*5)/(5*100)*100), (SUM(D392*0+E392*1+F392*2+G392*3+H392*4+I392*5)/(5*100)*100))</f>
        <v>45.08</v>
      </c>
      <c r="O388" s="5">
        <f>AVERAGE(I388:I392)</f>
        <v>18.399999999999999</v>
      </c>
    </row>
    <row r="389" spans="2:15" x14ac:dyDescent="0.2">
      <c r="B389" s="63"/>
      <c r="C389" s="16">
        <v>2</v>
      </c>
      <c r="D389" s="16">
        <f t="shared" si="69"/>
        <v>30</v>
      </c>
      <c r="E389" s="16">
        <v>15</v>
      </c>
      <c r="F389" s="16">
        <v>8</v>
      </c>
      <c r="G389" s="16">
        <v>14</v>
      </c>
      <c r="H389" s="16">
        <v>10</v>
      </c>
      <c r="I389" s="16">
        <v>23</v>
      </c>
      <c r="J389" s="16">
        <f t="shared" si="70"/>
        <v>70</v>
      </c>
      <c r="K389" s="16">
        <f t="shared" si="71"/>
        <v>45.6</v>
      </c>
      <c r="L389" s="16">
        <f t="shared" si="72"/>
        <v>23</v>
      </c>
      <c r="M389" s="5"/>
      <c r="N389" s="5"/>
      <c r="O389" s="5"/>
    </row>
    <row r="390" spans="2:15" x14ac:dyDescent="0.2">
      <c r="B390" s="63"/>
      <c r="C390" s="16">
        <v>3</v>
      </c>
      <c r="D390" s="16">
        <f t="shared" si="69"/>
        <v>41</v>
      </c>
      <c r="E390" s="16">
        <v>15</v>
      </c>
      <c r="F390" s="16">
        <v>17</v>
      </c>
      <c r="G390" s="16">
        <v>13</v>
      </c>
      <c r="H390" s="16">
        <v>3</v>
      </c>
      <c r="I390" s="16">
        <v>11</v>
      </c>
      <c r="J390" s="16">
        <f t="shared" si="70"/>
        <v>59</v>
      </c>
      <c r="K390" s="16">
        <f t="shared" si="71"/>
        <v>31</v>
      </c>
      <c r="L390" s="16">
        <f t="shared" si="72"/>
        <v>11</v>
      </c>
      <c r="M390" s="5"/>
      <c r="N390" s="5"/>
      <c r="O390" s="5"/>
    </row>
    <row r="391" spans="2:15" x14ac:dyDescent="0.2">
      <c r="B391" s="63"/>
      <c r="C391" s="16">
        <v>4</v>
      </c>
      <c r="D391" s="16">
        <f t="shared" si="69"/>
        <v>19</v>
      </c>
      <c r="E391" s="16">
        <v>13</v>
      </c>
      <c r="F391" s="16">
        <v>13</v>
      </c>
      <c r="G391" s="16">
        <v>16</v>
      </c>
      <c r="H391" s="16">
        <v>17</v>
      </c>
      <c r="I391" s="16">
        <v>22</v>
      </c>
      <c r="J391" s="16">
        <f t="shared" si="70"/>
        <v>81</v>
      </c>
      <c r="K391" s="16">
        <f t="shared" si="71"/>
        <v>53</v>
      </c>
      <c r="L391" s="16">
        <f t="shared" si="72"/>
        <v>22</v>
      </c>
      <c r="M391" s="5"/>
      <c r="N391" s="5"/>
      <c r="O391" s="5"/>
    </row>
    <row r="392" spans="2:15" x14ac:dyDescent="0.2">
      <c r="B392" s="63"/>
      <c r="C392" s="16">
        <v>5</v>
      </c>
      <c r="D392" s="16">
        <f t="shared" si="69"/>
        <v>18</v>
      </c>
      <c r="E392" s="16">
        <v>14</v>
      </c>
      <c r="F392" s="16">
        <v>10</v>
      </c>
      <c r="G392" s="16">
        <v>25</v>
      </c>
      <c r="H392" s="16">
        <v>15</v>
      </c>
      <c r="I392" s="16">
        <v>18</v>
      </c>
      <c r="J392" s="16">
        <f t="shared" si="70"/>
        <v>82</v>
      </c>
      <c r="K392" s="16">
        <f t="shared" si="71"/>
        <v>51.800000000000004</v>
      </c>
      <c r="L392" s="16">
        <f t="shared" si="72"/>
        <v>18</v>
      </c>
      <c r="M392" s="5"/>
      <c r="N392" s="5"/>
      <c r="O392" s="5"/>
    </row>
    <row r="393" spans="2:15" x14ac:dyDescent="0.2">
      <c r="B393" s="63" t="s">
        <v>577</v>
      </c>
      <c r="C393" s="16">
        <v>1</v>
      </c>
      <c r="D393" s="16">
        <f t="shared" si="69"/>
        <v>26</v>
      </c>
      <c r="E393" s="16">
        <v>23</v>
      </c>
      <c r="F393" s="16">
        <v>18</v>
      </c>
      <c r="G393" s="16">
        <v>10</v>
      </c>
      <c r="H393" s="16">
        <v>9</v>
      </c>
      <c r="I393" s="16">
        <v>14</v>
      </c>
      <c r="J393" s="16">
        <f t="shared" si="70"/>
        <v>74</v>
      </c>
      <c r="K393" s="16">
        <f t="shared" si="71"/>
        <v>39</v>
      </c>
      <c r="L393" s="16">
        <f t="shared" si="72"/>
        <v>14</v>
      </c>
      <c r="M393" s="5">
        <f>AVERAGE((SUM(E393:I393)), (SUM(E394:I394)), (SUM(E395:I395)), (SUM(E396:I396)), (SUM(E397:I397)))</f>
        <v>38.6</v>
      </c>
      <c r="N393" s="5">
        <f>AVERAGE((SUM(D393*0+E393*1+F393*2+G393*3+H393*4+I393*5)/(5*100)*100), (SUM(D394*0+E394*1+F394*2+G394*3+H394*4+I394*5)/(5*100)*100), (SUM(D395*0+E395*1+F395*2+G395*3+H395*4+I395*5)/(5*100)*100), (SUM(D396*0+E396*1+F396*2+G396*3+H396*4+I396*5)/(5*100)*100), (SUM(D397*0+E397*1+F397*2+G397*3+H397*4+I397*5)/(5*100)*100))</f>
        <v>20.72</v>
      </c>
      <c r="O393" s="5">
        <f>AVERAGE(I393:I397)</f>
        <v>12</v>
      </c>
    </row>
    <row r="394" spans="2:15" x14ac:dyDescent="0.2">
      <c r="B394" s="63"/>
      <c r="C394" s="16">
        <v>2</v>
      </c>
      <c r="D394" s="16">
        <f t="shared" si="69"/>
        <v>36</v>
      </c>
      <c r="E394" s="16">
        <v>19</v>
      </c>
      <c r="F394" s="16">
        <v>15</v>
      </c>
      <c r="G394" s="16">
        <v>9</v>
      </c>
      <c r="H394" s="16">
        <v>6</v>
      </c>
      <c r="I394" s="16">
        <v>15</v>
      </c>
      <c r="J394" s="16">
        <f t="shared" si="70"/>
        <v>64</v>
      </c>
      <c r="K394" s="16">
        <f t="shared" si="71"/>
        <v>35</v>
      </c>
      <c r="L394" s="16">
        <f t="shared" si="72"/>
        <v>15</v>
      </c>
      <c r="M394" s="5"/>
      <c r="N394" s="5"/>
      <c r="O394" s="5"/>
    </row>
    <row r="395" spans="2:15" x14ac:dyDescent="0.2">
      <c r="B395" s="63"/>
      <c r="C395" s="16">
        <v>3</v>
      </c>
      <c r="D395" s="16">
        <f t="shared" si="69"/>
        <v>45</v>
      </c>
      <c r="E395" s="16">
        <v>14</v>
      </c>
      <c r="F395" s="16">
        <v>11</v>
      </c>
      <c r="G395" s="16">
        <v>15</v>
      </c>
      <c r="H395" s="16">
        <v>8</v>
      </c>
      <c r="I395" s="16">
        <v>7</v>
      </c>
      <c r="J395" s="16">
        <f t="shared" si="70"/>
        <v>55</v>
      </c>
      <c r="K395" s="16">
        <f t="shared" si="71"/>
        <v>29.599999999999998</v>
      </c>
      <c r="L395" s="16">
        <f t="shared" si="72"/>
        <v>7</v>
      </c>
      <c r="M395" s="5"/>
      <c r="N395" s="5"/>
      <c r="O395" s="5"/>
    </row>
    <row r="396" spans="2:15" x14ac:dyDescent="0.2">
      <c r="B396" s="63"/>
      <c r="C396" s="16">
        <v>4</v>
      </c>
      <c r="D396" s="16">
        <f t="shared" si="69"/>
        <v>100</v>
      </c>
      <c r="E396" s="16"/>
      <c r="F396" s="16"/>
      <c r="G396" s="16"/>
      <c r="H396" s="16"/>
      <c r="I396" s="16"/>
      <c r="J396" s="16">
        <f t="shared" si="70"/>
        <v>0</v>
      </c>
      <c r="K396" s="16">
        <f t="shared" si="71"/>
        <v>0</v>
      </c>
      <c r="L396" s="16">
        <f t="shared" si="72"/>
        <v>0</v>
      </c>
      <c r="M396" s="5"/>
      <c r="N396" s="5"/>
      <c r="O396" s="5"/>
    </row>
    <row r="397" spans="2:15" x14ac:dyDescent="0.2">
      <c r="B397" s="63"/>
      <c r="C397" s="16">
        <v>5</v>
      </c>
      <c r="D397" s="16">
        <f t="shared" si="69"/>
        <v>100</v>
      </c>
      <c r="E397" s="16"/>
      <c r="F397" s="16"/>
      <c r="G397" s="16"/>
      <c r="H397" s="16"/>
      <c r="I397" s="16"/>
      <c r="J397" s="16">
        <f t="shared" si="70"/>
        <v>0</v>
      </c>
      <c r="K397" s="16">
        <f t="shared" si="71"/>
        <v>0</v>
      </c>
      <c r="L397" s="16">
        <f t="shared" si="72"/>
        <v>0</v>
      </c>
      <c r="M397" s="5"/>
      <c r="N397" s="5"/>
      <c r="O397" s="5"/>
    </row>
    <row r="398" spans="2:15" x14ac:dyDescent="0.2">
      <c r="B398" s="63" t="s">
        <v>578</v>
      </c>
      <c r="C398" s="16">
        <v>1</v>
      </c>
      <c r="D398" s="16">
        <f t="shared" si="69"/>
        <v>57</v>
      </c>
      <c r="E398" s="16">
        <v>0</v>
      </c>
      <c r="F398" s="16">
        <v>24</v>
      </c>
      <c r="G398" s="16">
        <v>8</v>
      </c>
      <c r="H398" s="16">
        <v>9</v>
      </c>
      <c r="I398" s="16">
        <v>2</v>
      </c>
      <c r="J398" s="16">
        <f t="shared" si="70"/>
        <v>43</v>
      </c>
      <c r="K398" s="16">
        <f t="shared" si="71"/>
        <v>23.599999999999998</v>
      </c>
      <c r="L398" s="16">
        <f t="shared" si="72"/>
        <v>2</v>
      </c>
      <c r="M398" s="5">
        <f>AVERAGE((SUM(E398:I398)), (SUM(E399:I399)), (SUM(E400:I400)), (SUM(E401:I401)), (SUM(E402:I402)))</f>
        <v>32</v>
      </c>
      <c r="N398" s="5">
        <f>AVERAGE((SUM(D398*0+E398*1+F398*2+G398*3+H398*4+I398*5)/(5*100)*100), (SUM(D399*0+E399*1+F399*2+G399*3+H399*4+I399*5)/(5*100)*100), (SUM(D400*0+E400*1+F400*2+G400*3+H400*4+I400*5)/(5*100)*100), (SUM(D401*0+E401*1+F401*2+G401*3+H401*4+I401*5)/(5*100)*100), (SUM(D402*0+E402*1+F402*2+G402*3+H402*4+I402*5)/(5*100)*100))</f>
        <v>18.600000000000001</v>
      </c>
      <c r="O398" s="5">
        <f>AVERAGE(I398:I402)</f>
        <v>6.5</v>
      </c>
    </row>
    <row r="399" spans="2:15" x14ac:dyDescent="0.2">
      <c r="B399" s="63"/>
      <c r="C399" s="16">
        <v>2</v>
      </c>
      <c r="D399" s="16">
        <f t="shared" si="69"/>
        <v>47</v>
      </c>
      <c r="E399" s="16">
        <v>11</v>
      </c>
      <c r="F399" s="16">
        <v>8</v>
      </c>
      <c r="G399" s="16">
        <v>6</v>
      </c>
      <c r="H399" s="16">
        <v>5</v>
      </c>
      <c r="I399" s="16">
        <v>23</v>
      </c>
      <c r="J399" s="16">
        <f t="shared" si="70"/>
        <v>53</v>
      </c>
      <c r="K399" s="16">
        <f t="shared" si="71"/>
        <v>36</v>
      </c>
      <c r="L399" s="16">
        <f t="shared" si="72"/>
        <v>23</v>
      </c>
      <c r="M399" s="5"/>
      <c r="N399" s="5"/>
      <c r="O399" s="5"/>
    </row>
    <row r="400" spans="2:15" x14ac:dyDescent="0.2">
      <c r="B400" s="63"/>
      <c r="C400" s="16">
        <v>3</v>
      </c>
      <c r="D400" s="16">
        <f t="shared" si="69"/>
        <v>76</v>
      </c>
      <c r="E400" s="16">
        <v>0</v>
      </c>
      <c r="F400" s="16">
        <v>14</v>
      </c>
      <c r="G400" s="16">
        <v>6</v>
      </c>
      <c r="H400" s="16">
        <v>4</v>
      </c>
      <c r="I400" s="16">
        <v>0</v>
      </c>
      <c r="J400" s="16">
        <f t="shared" si="70"/>
        <v>24</v>
      </c>
      <c r="K400" s="16">
        <f t="shared" si="71"/>
        <v>12.4</v>
      </c>
      <c r="L400" s="16">
        <f t="shared" si="72"/>
        <v>0</v>
      </c>
      <c r="M400" s="5"/>
      <c r="N400" s="5"/>
      <c r="O400" s="5"/>
    </row>
    <row r="401" spans="2:15" x14ac:dyDescent="0.2">
      <c r="B401" s="63"/>
      <c r="C401" s="16">
        <v>4</v>
      </c>
      <c r="D401" s="16">
        <f t="shared" si="69"/>
        <v>60</v>
      </c>
      <c r="E401" s="16">
        <v>0</v>
      </c>
      <c r="F401" s="16">
        <v>22</v>
      </c>
      <c r="G401" s="16">
        <v>12</v>
      </c>
      <c r="H401" s="16">
        <v>5</v>
      </c>
      <c r="I401" s="16">
        <v>1</v>
      </c>
      <c r="J401" s="16">
        <f t="shared" si="70"/>
        <v>40</v>
      </c>
      <c r="K401" s="16">
        <f t="shared" si="71"/>
        <v>21</v>
      </c>
      <c r="L401" s="16">
        <f t="shared" si="72"/>
        <v>1</v>
      </c>
      <c r="M401" s="5"/>
      <c r="N401" s="5"/>
      <c r="O401" s="5"/>
    </row>
    <row r="402" spans="2:15" x14ac:dyDescent="0.2">
      <c r="B402" s="63"/>
      <c r="C402" s="16">
        <v>5</v>
      </c>
      <c r="D402" s="16">
        <f t="shared" si="69"/>
        <v>100</v>
      </c>
      <c r="E402" s="16"/>
      <c r="F402" s="16"/>
      <c r="G402" s="16"/>
      <c r="H402" s="16"/>
      <c r="I402" s="16"/>
      <c r="J402" s="16">
        <f t="shared" si="70"/>
        <v>0</v>
      </c>
      <c r="K402" s="16">
        <f t="shared" si="71"/>
        <v>0</v>
      </c>
      <c r="L402" s="16">
        <f t="shared" si="72"/>
        <v>0</v>
      </c>
      <c r="M402" s="5"/>
      <c r="N402" s="5"/>
      <c r="O402" s="5"/>
    </row>
    <row r="403" spans="2:15" x14ac:dyDescent="0.2">
      <c r="B403" s="63" t="s">
        <v>579</v>
      </c>
      <c r="C403" s="16">
        <v>1</v>
      </c>
      <c r="D403" s="16">
        <f t="shared" si="69"/>
        <v>86</v>
      </c>
      <c r="E403" s="16">
        <v>2</v>
      </c>
      <c r="F403" s="16">
        <v>1</v>
      </c>
      <c r="G403" s="16">
        <v>3</v>
      </c>
      <c r="H403" s="16">
        <v>7</v>
      </c>
      <c r="I403" s="16">
        <v>1</v>
      </c>
      <c r="J403" s="16">
        <f t="shared" si="70"/>
        <v>14</v>
      </c>
      <c r="K403" s="16">
        <f t="shared" si="71"/>
        <v>9.1999999999999993</v>
      </c>
      <c r="L403" s="16">
        <f t="shared" si="72"/>
        <v>1</v>
      </c>
      <c r="M403" s="5">
        <f>AVERAGE((SUM(E403:I403)), (SUM(E404:I404)), (SUM(E405:I405)), (SUM(E406:I406)), (SUM(E407:I407)))</f>
        <v>11.2</v>
      </c>
      <c r="N403" s="5">
        <f>AVERAGE((SUM(D403*0+E403*1+F403*2+G403*3+H403*4+I403*5)/(5*100)*100), (SUM(D404*0+E404*1+F404*2+G404*3+H404*4+I404*5)/(5*100)*100), (SUM(D405*0+E405*1+F405*2+G405*3+H405*4+I405*5)/(5*100)*100), (SUM(D406*0+E406*1+F406*2+G406*3+H406*4+I406*5)/(5*100)*100), (SUM(D407*0+E407*1+F407*2+G407*3+H407*4+I407*5)/(5*100)*100))</f>
        <v>7.6400000000000006</v>
      </c>
      <c r="O403" s="5">
        <f>AVERAGE(I403:I407)</f>
        <v>4.5</v>
      </c>
    </row>
    <row r="404" spans="2:15" x14ac:dyDescent="0.2">
      <c r="B404" s="63"/>
      <c r="C404" s="16">
        <v>2</v>
      </c>
      <c r="D404" s="16">
        <f t="shared" si="69"/>
        <v>91</v>
      </c>
      <c r="E404" s="16">
        <v>2</v>
      </c>
      <c r="F404" s="16">
        <v>1</v>
      </c>
      <c r="G404" s="16">
        <v>3</v>
      </c>
      <c r="H404" s="16">
        <v>1</v>
      </c>
      <c r="I404" s="16">
        <v>2</v>
      </c>
      <c r="J404" s="16">
        <f t="shared" si="70"/>
        <v>9</v>
      </c>
      <c r="K404" s="16">
        <f t="shared" si="71"/>
        <v>5.4</v>
      </c>
      <c r="L404" s="16">
        <f t="shared" si="72"/>
        <v>2</v>
      </c>
      <c r="M404" s="5"/>
      <c r="N404" s="5"/>
      <c r="O404" s="5"/>
    </row>
    <row r="405" spans="2:15" x14ac:dyDescent="0.2">
      <c r="B405" s="63"/>
      <c r="C405" s="16">
        <v>3</v>
      </c>
      <c r="D405" s="16">
        <f t="shared" si="69"/>
        <v>99</v>
      </c>
      <c r="E405" s="16">
        <v>0</v>
      </c>
      <c r="F405" s="16">
        <v>1</v>
      </c>
      <c r="G405" s="16">
        <v>0</v>
      </c>
      <c r="H405" s="16">
        <v>0</v>
      </c>
      <c r="I405" s="16">
        <v>0</v>
      </c>
      <c r="J405" s="16">
        <f t="shared" si="70"/>
        <v>1</v>
      </c>
      <c r="K405" s="16">
        <f t="shared" si="71"/>
        <v>0.4</v>
      </c>
      <c r="L405" s="16">
        <f t="shared" si="72"/>
        <v>0</v>
      </c>
      <c r="M405" s="5"/>
      <c r="N405" s="5"/>
      <c r="O405" s="5"/>
    </row>
    <row r="406" spans="2:15" x14ac:dyDescent="0.2">
      <c r="B406" s="63"/>
      <c r="C406" s="16">
        <v>4</v>
      </c>
      <c r="D406" s="16">
        <f t="shared" si="69"/>
        <v>68</v>
      </c>
      <c r="E406" s="16">
        <v>4</v>
      </c>
      <c r="F406" s="16">
        <v>6</v>
      </c>
      <c r="G406" s="16">
        <v>3</v>
      </c>
      <c r="H406" s="16">
        <v>4</v>
      </c>
      <c r="I406" s="16">
        <v>15</v>
      </c>
      <c r="J406" s="16">
        <f t="shared" si="70"/>
        <v>32</v>
      </c>
      <c r="K406" s="16">
        <f t="shared" si="71"/>
        <v>23.200000000000003</v>
      </c>
      <c r="L406" s="16">
        <f t="shared" si="72"/>
        <v>15</v>
      </c>
      <c r="M406" s="5"/>
      <c r="N406" s="5"/>
      <c r="O406" s="5"/>
    </row>
    <row r="407" spans="2:15" x14ac:dyDescent="0.2">
      <c r="B407" s="63"/>
      <c r="C407" s="16">
        <v>5</v>
      </c>
      <c r="D407" s="16">
        <f t="shared" si="69"/>
        <v>100</v>
      </c>
      <c r="E407" s="16"/>
      <c r="F407" s="16"/>
      <c r="G407" s="16"/>
      <c r="H407" s="16"/>
      <c r="I407" s="16"/>
      <c r="J407" s="16">
        <f t="shared" si="70"/>
        <v>0</v>
      </c>
      <c r="K407" s="16">
        <f t="shared" si="71"/>
        <v>0</v>
      </c>
      <c r="L407" s="16">
        <f t="shared" si="72"/>
        <v>0</v>
      </c>
      <c r="M407" s="5"/>
      <c r="N407" s="5"/>
      <c r="O407" s="5"/>
    </row>
    <row r="408" spans="2:15" x14ac:dyDescent="0.2">
      <c r="B408" s="63" t="s">
        <v>580</v>
      </c>
      <c r="C408" s="16">
        <v>1</v>
      </c>
      <c r="D408" s="16">
        <f t="shared" si="69"/>
        <v>94</v>
      </c>
      <c r="E408" s="16">
        <v>3</v>
      </c>
      <c r="F408" s="16">
        <v>0</v>
      </c>
      <c r="G408" s="16">
        <v>0</v>
      </c>
      <c r="H408" s="16">
        <v>1</v>
      </c>
      <c r="I408" s="16">
        <v>2</v>
      </c>
      <c r="J408" s="16">
        <f t="shared" si="70"/>
        <v>6</v>
      </c>
      <c r="K408" s="16">
        <f t="shared" si="71"/>
        <v>3.4000000000000004</v>
      </c>
      <c r="L408" s="16">
        <f t="shared" si="72"/>
        <v>2</v>
      </c>
      <c r="M408" s="5">
        <f>AVERAGE((SUM(E408:I408)), (SUM(E409:I409)), (SUM(E410:I410)), (SUM(E411:I411)), (SUM(E412:I412)))</f>
        <v>34.4</v>
      </c>
      <c r="N408" s="5">
        <f>AVERAGE((SUM(D408*0+E408*1+F408*2+G408*3+H408*4+I408*5)/(5*100)*100), (SUM(D409*0+E409*1+F409*2+G409*3+H409*4+I409*5)/(5*100)*100), (SUM(D410*0+E410*1+F410*2+G410*3+H410*4+I410*5)/(5*100)*100), (SUM(D411*0+E411*1+F411*2+G411*3+H411*4+I411*5)/(5*100)*100), (SUM(D412*0+E412*1+F412*2+G412*3+H412*4+I412*5)/(5*100)*100))</f>
        <v>21.72</v>
      </c>
      <c r="O408" s="5">
        <f>AVERAGE(I408:I412)</f>
        <v>11.4</v>
      </c>
    </row>
    <row r="409" spans="2:15" x14ac:dyDescent="0.2">
      <c r="B409" s="63"/>
      <c r="C409" s="16">
        <v>2</v>
      </c>
      <c r="D409" s="16">
        <f t="shared" si="69"/>
        <v>80</v>
      </c>
      <c r="E409" s="16">
        <v>8</v>
      </c>
      <c r="F409" s="16">
        <v>2</v>
      </c>
      <c r="G409" s="16">
        <v>1</v>
      </c>
      <c r="H409" s="16">
        <v>3</v>
      </c>
      <c r="I409" s="16">
        <v>6</v>
      </c>
      <c r="J409" s="16">
        <f t="shared" si="70"/>
        <v>20</v>
      </c>
      <c r="K409" s="16">
        <f t="shared" si="71"/>
        <v>11.4</v>
      </c>
      <c r="L409" s="16">
        <f t="shared" si="72"/>
        <v>6</v>
      </c>
      <c r="M409" s="5"/>
      <c r="N409" s="5"/>
      <c r="O409" s="5"/>
    </row>
    <row r="410" spans="2:15" x14ac:dyDescent="0.2">
      <c r="B410" s="63"/>
      <c r="C410" s="16">
        <v>3</v>
      </c>
      <c r="D410" s="16">
        <f t="shared" si="69"/>
        <v>49</v>
      </c>
      <c r="E410" s="16">
        <v>11</v>
      </c>
      <c r="F410" s="16">
        <v>11</v>
      </c>
      <c r="G410" s="16">
        <v>4</v>
      </c>
      <c r="H410" s="16">
        <v>10</v>
      </c>
      <c r="I410" s="16">
        <v>15</v>
      </c>
      <c r="J410" s="16">
        <f t="shared" si="70"/>
        <v>51</v>
      </c>
      <c r="K410" s="16">
        <f t="shared" si="71"/>
        <v>32</v>
      </c>
      <c r="L410" s="16">
        <f t="shared" si="72"/>
        <v>15</v>
      </c>
      <c r="M410" s="5"/>
      <c r="N410" s="5"/>
      <c r="O410" s="5"/>
    </row>
    <row r="411" spans="2:15" x14ac:dyDescent="0.2">
      <c r="B411" s="63"/>
      <c r="C411" s="16">
        <v>4</v>
      </c>
      <c r="D411" s="16">
        <f t="shared" si="69"/>
        <v>53</v>
      </c>
      <c r="E411" s="16">
        <v>13</v>
      </c>
      <c r="F411" s="16">
        <v>6</v>
      </c>
      <c r="G411" s="16">
        <v>4</v>
      </c>
      <c r="H411" s="16">
        <v>5</v>
      </c>
      <c r="I411" s="16">
        <v>19</v>
      </c>
      <c r="J411" s="16">
        <f t="shared" si="70"/>
        <v>47</v>
      </c>
      <c r="K411" s="16">
        <f t="shared" si="71"/>
        <v>30.4</v>
      </c>
      <c r="L411" s="16">
        <f t="shared" si="72"/>
        <v>19</v>
      </c>
      <c r="M411" s="5"/>
      <c r="N411" s="5"/>
      <c r="O411" s="5"/>
    </row>
    <row r="412" spans="2:15" x14ac:dyDescent="0.2">
      <c r="B412" s="63"/>
      <c r="C412" s="16">
        <v>5</v>
      </c>
      <c r="D412" s="16">
        <f t="shared" si="69"/>
        <v>52</v>
      </c>
      <c r="E412" s="16">
        <v>9</v>
      </c>
      <c r="F412" s="16">
        <v>9</v>
      </c>
      <c r="G412" s="16">
        <v>5</v>
      </c>
      <c r="H412" s="16">
        <v>10</v>
      </c>
      <c r="I412" s="16">
        <v>15</v>
      </c>
      <c r="J412" s="16">
        <f t="shared" si="70"/>
        <v>48</v>
      </c>
      <c r="K412" s="16">
        <f t="shared" si="71"/>
        <v>31.4</v>
      </c>
      <c r="L412" s="16">
        <f t="shared" si="72"/>
        <v>15</v>
      </c>
      <c r="M412" s="5"/>
      <c r="N412" s="5"/>
      <c r="O412" s="5"/>
    </row>
    <row r="413" spans="2:15" x14ac:dyDescent="0.2">
      <c r="B413" s="63" t="s">
        <v>581</v>
      </c>
      <c r="C413" s="16">
        <v>1</v>
      </c>
      <c r="D413" s="16">
        <f t="shared" si="69"/>
        <v>89</v>
      </c>
      <c r="E413" s="16">
        <v>0</v>
      </c>
      <c r="F413" s="16">
        <v>3</v>
      </c>
      <c r="G413" s="16">
        <v>3</v>
      </c>
      <c r="H413" s="16">
        <v>3</v>
      </c>
      <c r="I413" s="16">
        <v>2</v>
      </c>
      <c r="J413" s="16">
        <f t="shared" si="70"/>
        <v>11</v>
      </c>
      <c r="K413" s="16">
        <f t="shared" si="71"/>
        <v>7.3999999999999995</v>
      </c>
      <c r="L413" s="16">
        <f t="shared" si="72"/>
        <v>2</v>
      </c>
      <c r="M413" s="5">
        <f>AVERAGE((SUM(E413:I413)), (SUM(E414:I414)), (SUM(E415:I415)), (SUM(E416:I416)), (SUM(E417:I417)))</f>
        <v>30.4</v>
      </c>
      <c r="N413" s="5">
        <f>AVERAGE((SUM(D413*0+E413*1+F413*2+G413*3+H413*4+I413*5)/(5*100)*100), (SUM(D414*0+E414*1+F414*2+G414*3+H414*4+I414*5)/(5*100)*100), (SUM(D415*0+E415*1+F415*2+G415*3+H415*4+I415*5)/(5*100)*100), (SUM(D416*0+E416*1+F416*2+G416*3+H416*4+I416*5)/(5*100)*100), (SUM(D417*0+E417*1+F417*2+G417*3+H417*4+I417*5)/(5*100)*100))</f>
        <v>20.559999999999995</v>
      </c>
      <c r="O413" s="5">
        <f>AVERAGE(I413:I417)</f>
        <v>11.2</v>
      </c>
    </row>
    <row r="414" spans="2:15" x14ac:dyDescent="0.2">
      <c r="B414" s="63"/>
      <c r="C414" s="16">
        <v>2</v>
      </c>
      <c r="D414" s="16">
        <f t="shared" si="69"/>
        <v>90</v>
      </c>
      <c r="E414" s="16">
        <v>3</v>
      </c>
      <c r="F414" s="16">
        <v>3</v>
      </c>
      <c r="G414" s="16">
        <v>2</v>
      </c>
      <c r="H414" s="16">
        <v>0</v>
      </c>
      <c r="I414" s="16">
        <v>2</v>
      </c>
      <c r="J414" s="16">
        <f t="shared" si="70"/>
        <v>10</v>
      </c>
      <c r="K414" s="16">
        <f t="shared" si="71"/>
        <v>5</v>
      </c>
      <c r="L414" s="16">
        <f t="shared" si="72"/>
        <v>2</v>
      </c>
      <c r="M414" s="5"/>
      <c r="N414" s="5"/>
      <c r="O414" s="5"/>
    </row>
    <row r="415" spans="2:15" x14ac:dyDescent="0.2">
      <c r="B415" s="63"/>
      <c r="C415" s="16">
        <v>3</v>
      </c>
      <c r="D415" s="16">
        <f t="shared" si="69"/>
        <v>64</v>
      </c>
      <c r="E415" s="16">
        <v>3</v>
      </c>
      <c r="F415" s="16">
        <v>6</v>
      </c>
      <c r="G415" s="16">
        <v>5</v>
      </c>
      <c r="H415" s="16">
        <v>8</v>
      </c>
      <c r="I415" s="16">
        <v>14</v>
      </c>
      <c r="J415" s="16">
        <f t="shared" si="70"/>
        <v>36</v>
      </c>
      <c r="K415" s="16">
        <f t="shared" si="71"/>
        <v>26.400000000000002</v>
      </c>
      <c r="L415" s="16">
        <f t="shared" si="72"/>
        <v>14</v>
      </c>
      <c r="M415" s="5"/>
      <c r="N415" s="5"/>
      <c r="O415" s="5"/>
    </row>
    <row r="416" spans="2:15" x14ac:dyDescent="0.2">
      <c r="B416" s="63"/>
      <c r="C416" s="16">
        <v>4</v>
      </c>
      <c r="D416" s="16">
        <f t="shared" si="69"/>
        <v>46</v>
      </c>
      <c r="E416" s="16">
        <v>7</v>
      </c>
      <c r="F416" s="16">
        <v>14</v>
      </c>
      <c r="G416" s="16">
        <v>3</v>
      </c>
      <c r="H416" s="16">
        <v>7</v>
      </c>
      <c r="I416" s="16">
        <v>23</v>
      </c>
      <c r="J416" s="16">
        <f t="shared" si="70"/>
        <v>54</v>
      </c>
      <c r="K416" s="16">
        <f t="shared" si="71"/>
        <v>37.4</v>
      </c>
      <c r="L416" s="16">
        <f t="shared" si="72"/>
        <v>23</v>
      </c>
      <c r="M416" s="5"/>
      <c r="N416" s="5"/>
      <c r="O416" s="5"/>
    </row>
    <row r="417" spans="2:15" x14ac:dyDescent="0.2">
      <c r="B417" s="63"/>
      <c r="C417" s="16">
        <v>5</v>
      </c>
      <c r="D417" s="16">
        <f t="shared" si="69"/>
        <v>59</v>
      </c>
      <c r="E417" s="16">
        <v>6</v>
      </c>
      <c r="F417" s="16">
        <v>12</v>
      </c>
      <c r="G417" s="16">
        <v>4</v>
      </c>
      <c r="H417" s="16">
        <v>4</v>
      </c>
      <c r="I417" s="16">
        <v>15</v>
      </c>
      <c r="J417" s="16">
        <f t="shared" si="70"/>
        <v>41</v>
      </c>
      <c r="K417" s="16">
        <f t="shared" si="71"/>
        <v>26.6</v>
      </c>
      <c r="L417" s="16">
        <f t="shared" si="72"/>
        <v>15</v>
      </c>
      <c r="M417" s="5"/>
      <c r="N417" s="5"/>
      <c r="O417" s="5"/>
    </row>
    <row r="418" spans="2:15" x14ac:dyDescent="0.2">
      <c r="B418" s="63" t="s">
        <v>582</v>
      </c>
      <c r="C418" s="16">
        <v>1</v>
      </c>
      <c r="D418" s="16">
        <f t="shared" si="69"/>
        <v>89</v>
      </c>
      <c r="E418" s="16">
        <v>5</v>
      </c>
      <c r="F418" s="16">
        <v>2</v>
      </c>
      <c r="G418" s="16">
        <v>1</v>
      </c>
      <c r="H418" s="16">
        <v>0</v>
      </c>
      <c r="I418" s="16">
        <v>3</v>
      </c>
      <c r="J418" s="16">
        <f t="shared" si="70"/>
        <v>11</v>
      </c>
      <c r="K418" s="16">
        <f t="shared" si="71"/>
        <v>5.4</v>
      </c>
      <c r="L418" s="16">
        <f t="shared" si="72"/>
        <v>3</v>
      </c>
      <c r="M418" s="5">
        <f>AVERAGE((SUM(E418:I418)), (SUM(E419:I419)), (SUM(E420:I420)), (SUM(E421:I421)), (SUM(E422:I422)))</f>
        <v>19.8</v>
      </c>
      <c r="N418" s="5">
        <f>AVERAGE((SUM(D418*0+E418*1+F418*2+G418*3+H418*4+I418*5)/(5*100)*100), (SUM(D419*0+E419*1+F419*2+G419*3+H419*4+I419*5)/(5*100)*100), (SUM(D420*0+E420*1+F420*2+G420*3+H420*4+I420*5)/(5*100)*100), (SUM(D421*0+E421*1+F421*2+G421*3+H421*4+I421*5)/(5*100)*100), (SUM(D422*0+E422*1+F422*2+G422*3+H422*4+I422*5)/(5*100)*100))</f>
        <v>13.959999999999999</v>
      </c>
      <c r="O418" s="5">
        <f>AVERAGE(I418:I422)</f>
        <v>10.199999999999999</v>
      </c>
    </row>
    <row r="419" spans="2:15" x14ac:dyDescent="0.2">
      <c r="B419" s="63"/>
      <c r="C419" s="16">
        <v>2</v>
      </c>
      <c r="D419" s="16">
        <f t="shared" si="69"/>
        <v>87</v>
      </c>
      <c r="E419" s="16">
        <v>3</v>
      </c>
      <c r="F419" s="16">
        <v>3</v>
      </c>
      <c r="G419" s="16">
        <v>1</v>
      </c>
      <c r="H419" s="16">
        <v>2</v>
      </c>
      <c r="I419" s="16">
        <v>4</v>
      </c>
      <c r="J419" s="16">
        <f t="shared" si="70"/>
        <v>13</v>
      </c>
      <c r="K419" s="16">
        <f t="shared" si="71"/>
        <v>8</v>
      </c>
      <c r="L419" s="16">
        <f t="shared" si="72"/>
        <v>4</v>
      </c>
      <c r="M419" s="5"/>
      <c r="N419" s="5"/>
      <c r="O419" s="5"/>
    </row>
    <row r="420" spans="2:15" x14ac:dyDescent="0.2">
      <c r="B420" s="63"/>
      <c r="C420" s="16">
        <v>3</v>
      </c>
      <c r="D420" s="16">
        <f t="shared" si="69"/>
        <v>90</v>
      </c>
      <c r="E420" s="16">
        <v>3</v>
      </c>
      <c r="F420" s="16">
        <v>5</v>
      </c>
      <c r="G420" s="16">
        <v>0</v>
      </c>
      <c r="H420" s="16">
        <v>0</v>
      </c>
      <c r="I420" s="16">
        <v>2</v>
      </c>
      <c r="J420" s="16">
        <f t="shared" si="70"/>
        <v>10</v>
      </c>
      <c r="K420" s="16">
        <f t="shared" si="71"/>
        <v>4.5999999999999996</v>
      </c>
      <c r="L420" s="16">
        <f t="shared" si="72"/>
        <v>2</v>
      </c>
      <c r="M420" s="5"/>
      <c r="N420" s="5"/>
      <c r="O420" s="5"/>
    </row>
    <row r="421" spans="2:15" x14ac:dyDescent="0.2">
      <c r="B421" s="63"/>
      <c r="C421" s="16">
        <v>4</v>
      </c>
      <c r="D421" s="16">
        <f t="shared" si="69"/>
        <v>66</v>
      </c>
      <c r="E421" s="16">
        <v>9</v>
      </c>
      <c r="F421" s="16">
        <v>1</v>
      </c>
      <c r="G421" s="16">
        <v>3</v>
      </c>
      <c r="H421" s="16">
        <v>1</v>
      </c>
      <c r="I421" s="16">
        <v>20</v>
      </c>
      <c r="J421" s="16">
        <f t="shared" si="70"/>
        <v>34</v>
      </c>
      <c r="K421" s="16">
        <f t="shared" si="71"/>
        <v>24.8</v>
      </c>
      <c r="L421" s="16">
        <f t="shared" si="72"/>
        <v>20</v>
      </c>
      <c r="M421" s="5"/>
      <c r="N421" s="5"/>
      <c r="O421" s="5"/>
    </row>
    <row r="422" spans="2:15" x14ac:dyDescent="0.2">
      <c r="B422" s="63"/>
      <c r="C422" s="16">
        <v>5</v>
      </c>
      <c r="D422" s="16">
        <f t="shared" si="69"/>
        <v>69</v>
      </c>
      <c r="E422" s="16">
        <v>0</v>
      </c>
      <c r="F422" s="16">
        <v>3</v>
      </c>
      <c r="G422" s="16">
        <v>5</v>
      </c>
      <c r="H422" s="16">
        <v>1</v>
      </c>
      <c r="I422" s="16">
        <v>22</v>
      </c>
      <c r="J422" s="16">
        <f t="shared" si="70"/>
        <v>31</v>
      </c>
      <c r="K422" s="16">
        <f t="shared" si="71"/>
        <v>27</v>
      </c>
      <c r="L422" s="16">
        <f t="shared" si="72"/>
        <v>22</v>
      </c>
      <c r="M422" s="5"/>
      <c r="N422" s="5"/>
      <c r="O422" s="5"/>
    </row>
    <row r="423" spans="2:15" x14ac:dyDescent="0.2">
      <c r="B423" s="63" t="s">
        <v>583</v>
      </c>
      <c r="C423" s="16">
        <v>1</v>
      </c>
      <c r="D423" s="16">
        <f t="shared" si="69"/>
        <v>90</v>
      </c>
      <c r="E423" s="16">
        <v>2</v>
      </c>
      <c r="F423" s="16">
        <v>1</v>
      </c>
      <c r="G423" s="16">
        <v>0</v>
      </c>
      <c r="H423" s="16">
        <v>0</v>
      </c>
      <c r="I423" s="16">
        <v>7</v>
      </c>
      <c r="J423" s="16">
        <f t="shared" si="70"/>
        <v>10</v>
      </c>
      <c r="K423" s="16">
        <f t="shared" si="71"/>
        <v>7.8</v>
      </c>
      <c r="L423" s="16">
        <f t="shared" si="72"/>
        <v>7</v>
      </c>
      <c r="M423" s="5">
        <f>AVERAGE((SUM(E423:I423)), (SUM(E424:I424)), (SUM(E425:I425)), (SUM(E426:I426)), (SUM(E427:I427)))</f>
        <v>9.6</v>
      </c>
      <c r="N423" s="5">
        <f>AVERAGE((SUM(D423*0+E423*1+F423*2+G423*3+H423*4+I423*5)/(5*100)*100), (SUM(D424*0+E424*1+F424*2+G424*3+H424*4+I424*5)/(5*100)*100), (SUM(D425*0+E425*1+F425*2+G425*3+H425*4+I425*5)/(5*100)*100), (SUM(D426*0+E426*1+F426*2+G426*3+H426*4+I426*5)/(5*100)*100), (SUM(D427*0+E427*1+F427*2+G427*3+H427*4+I427*5)/(5*100)*100))</f>
        <v>7</v>
      </c>
      <c r="O423" s="5">
        <f>AVERAGE(I423:I427)</f>
        <v>4.8</v>
      </c>
    </row>
    <row r="424" spans="2:15" x14ac:dyDescent="0.2">
      <c r="B424" s="63"/>
      <c r="C424" s="16">
        <v>2</v>
      </c>
      <c r="D424" s="16">
        <f t="shared" si="69"/>
        <v>88</v>
      </c>
      <c r="E424" s="16">
        <v>2</v>
      </c>
      <c r="F424" s="16">
        <v>2</v>
      </c>
      <c r="G424" s="16">
        <v>2</v>
      </c>
      <c r="H424" s="16">
        <v>1</v>
      </c>
      <c r="I424" s="16">
        <v>5</v>
      </c>
      <c r="J424" s="16">
        <f t="shared" si="70"/>
        <v>12</v>
      </c>
      <c r="K424" s="16">
        <f t="shared" si="71"/>
        <v>8.2000000000000011</v>
      </c>
      <c r="L424" s="16">
        <f t="shared" si="72"/>
        <v>5</v>
      </c>
      <c r="M424" s="5"/>
      <c r="N424" s="5"/>
      <c r="O424" s="5"/>
    </row>
    <row r="425" spans="2:15" x14ac:dyDescent="0.2">
      <c r="B425" s="63"/>
      <c r="C425" s="16">
        <v>3</v>
      </c>
      <c r="D425" s="16">
        <f t="shared" si="69"/>
        <v>88</v>
      </c>
      <c r="E425" s="16">
        <v>0</v>
      </c>
      <c r="F425" s="16">
        <v>2</v>
      </c>
      <c r="G425" s="16">
        <v>0</v>
      </c>
      <c r="H425" s="16">
        <v>0</v>
      </c>
      <c r="I425" s="16">
        <v>10</v>
      </c>
      <c r="J425" s="16">
        <f t="shared" si="70"/>
        <v>12</v>
      </c>
      <c r="K425" s="16">
        <f t="shared" si="71"/>
        <v>10.8</v>
      </c>
      <c r="L425" s="16">
        <f t="shared" si="72"/>
        <v>10</v>
      </c>
      <c r="M425" s="5"/>
      <c r="N425" s="5"/>
      <c r="O425" s="5"/>
    </row>
    <row r="426" spans="2:15" x14ac:dyDescent="0.2">
      <c r="B426" s="63"/>
      <c r="C426" s="16">
        <v>4</v>
      </c>
      <c r="D426" s="16">
        <f t="shared" si="69"/>
        <v>91</v>
      </c>
      <c r="E426" s="16">
        <v>0</v>
      </c>
      <c r="F426" s="16">
        <v>0</v>
      </c>
      <c r="G426" s="16">
        <v>7</v>
      </c>
      <c r="H426" s="16">
        <v>0</v>
      </c>
      <c r="I426" s="16">
        <v>2</v>
      </c>
      <c r="J426" s="16">
        <f t="shared" si="70"/>
        <v>9</v>
      </c>
      <c r="K426" s="16">
        <f t="shared" si="71"/>
        <v>6.2</v>
      </c>
      <c r="L426" s="16">
        <f t="shared" si="72"/>
        <v>2</v>
      </c>
      <c r="M426" s="5"/>
      <c r="N426" s="5"/>
      <c r="O426" s="5"/>
    </row>
    <row r="427" spans="2:15" x14ac:dyDescent="0.2">
      <c r="B427" s="63"/>
      <c r="C427" s="16">
        <v>5</v>
      </c>
      <c r="D427" s="16">
        <f t="shared" si="69"/>
        <v>95</v>
      </c>
      <c r="E427" s="16">
        <v>0</v>
      </c>
      <c r="F427" s="16">
        <v>5</v>
      </c>
      <c r="G427" s="16">
        <v>0</v>
      </c>
      <c r="H427" s="16">
        <v>0</v>
      </c>
      <c r="I427" s="16">
        <v>0</v>
      </c>
      <c r="J427" s="16">
        <f t="shared" si="70"/>
        <v>5</v>
      </c>
      <c r="K427" s="16">
        <f t="shared" si="71"/>
        <v>2</v>
      </c>
      <c r="L427" s="16">
        <f t="shared" si="72"/>
        <v>0</v>
      </c>
      <c r="M427" s="5"/>
      <c r="N427" s="5"/>
      <c r="O427" s="5"/>
    </row>
    <row r="428" spans="2:15" x14ac:dyDescent="0.2">
      <c r="B428" s="63" t="s">
        <v>584</v>
      </c>
      <c r="C428" s="16">
        <v>1</v>
      </c>
      <c r="D428" s="16">
        <f t="shared" si="69"/>
        <v>2</v>
      </c>
      <c r="E428" s="16">
        <v>0</v>
      </c>
      <c r="F428" s="16">
        <v>2</v>
      </c>
      <c r="G428" s="16">
        <v>7</v>
      </c>
      <c r="H428" s="16">
        <v>21</v>
      </c>
      <c r="I428" s="16">
        <v>68</v>
      </c>
      <c r="J428" s="16">
        <f t="shared" si="70"/>
        <v>98</v>
      </c>
      <c r="K428" s="16">
        <f t="shared" si="71"/>
        <v>89.8</v>
      </c>
      <c r="L428" s="16">
        <f t="shared" si="72"/>
        <v>68</v>
      </c>
      <c r="M428" s="5">
        <f>AVERAGE((SUM(E428:I428)), (SUM(E429:I429)), (SUM(E430:I430)), (SUM(E431:I431)), (SUM(E432:I432)))</f>
        <v>99</v>
      </c>
      <c r="N428" s="5">
        <f>AVERAGE((SUM(D428*0+E428*1+F428*2+G428*3+H428*4+I428*5)/(5*100)*100), (SUM(D429*0+E429*1+F429*2+G429*3+H429*4+I429*5)/(5*100)*100), (SUM(D430*0+E430*1+F430*2+G430*3+H430*4+I430*5)/(5*100)*100), (SUM(D431*0+E431*1+F431*2+G431*3+H431*4+I431*5)/(5*100)*100), (SUM(D432*0+E432*1+F432*2+G432*3+H432*4+I432*5)/(5*100)*100))</f>
        <v>89.080000000000013</v>
      </c>
      <c r="O428" s="5">
        <f>AVERAGE(I428:I432)</f>
        <v>65.599999999999994</v>
      </c>
    </row>
    <row r="429" spans="2:15" x14ac:dyDescent="0.2">
      <c r="B429" s="63"/>
      <c r="C429" s="16">
        <v>2</v>
      </c>
      <c r="D429" s="16">
        <f t="shared" si="69"/>
        <v>0</v>
      </c>
      <c r="E429" s="16">
        <v>0</v>
      </c>
      <c r="F429" s="16">
        <v>6</v>
      </c>
      <c r="G429" s="16">
        <v>8</v>
      </c>
      <c r="H429" s="16">
        <v>16</v>
      </c>
      <c r="I429" s="16">
        <v>70</v>
      </c>
      <c r="J429" s="16">
        <f t="shared" si="70"/>
        <v>100</v>
      </c>
      <c r="K429" s="16">
        <f t="shared" si="71"/>
        <v>90</v>
      </c>
      <c r="L429" s="16">
        <f t="shared" si="72"/>
        <v>70</v>
      </c>
      <c r="M429" s="5"/>
      <c r="N429" s="5"/>
      <c r="O429" s="5"/>
    </row>
    <row r="430" spans="2:15" x14ac:dyDescent="0.2">
      <c r="B430" s="63"/>
      <c r="C430" s="16">
        <v>3</v>
      </c>
      <c r="D430" s="16">
        <f t="shared" si="69"/>
        <v>1</v>
      </c>
      <c r="E430" s="16">
        <v>1</v>
      </c>
      <c r="F430" s="16">
        <v>4</v>
      </c>
      <c r="G430" s="16">
        <v>8</v>
      </c>
      <c r="H430" s="16">
        <v>34</v>
      </c>
      <c r="I430" s="16">
        <v>52</v>
      </c>
      <c r="J430" s="16">
        <f t="shared" si="70"/>
        <v>99</v>
      </c>
      <c r="K430" s="16">
        <f t="shared" si="71"/>
        <v>85.8</v>
      </c>
      <c r="L430" s="16">
        <f t="shared" si="72"/>
        <v>52</v>
      </c>
      <c r="M430" s="5"/>
      <c r="N430" s="5"/>
      <c r="O430" s="5"/>
    </row>
    <row r="431" spans="2:15" x14ac:dyDescent="0.2">
      <c r="B431" s="63"/>
      <c r="C431" s="16">
        <v>4</v>
      </c>
      <c r="D431" s="16">
        <f t="shared" si="69"/>
        <v>2</v>
      </c>
      <c r="E431" s="16">
        <v>0</v>
      </c>
      <c r="F431" s="16">
        <v>2</v>
      </c>
      <c r="G431" s="16">
        <v>7</v>
      </c>
      <c r="H431" s="16">
        <v>21</v>
      </c>
      <c r="I431" s="16">
        <v>68</v>
      </c>
      <c r="J431" s="16">
        <f t="shared" si="70"/>
        <v>98</v>
      </c>
      <c r="K431" s="16">
        <f t="shared" si="71"/>
        <v>89.8</v>
      </c>
      <c r="L431" s="16">
        <f t="shared" si="72"/>
        <v>68</v>
      </c>
      <c r="M431" s="5"/>
      <c r="N431" s="5"/>
      <c r="O431" s="5"/>
    </row>
    <row r="432" spans="2:15" x14ac:dyDescent="0.2">
      <c r="B432" s="63"/>
      <c r="C432" s="16">
        <v>5</v>
      </c>
      <c r="D432" s="16">
        <f t="shared" si="69"/>
        <v>0</v>
      </c>
      <c r="E432" s="16">
        <v>0</v>
      </c>
      <c r="F432" s="16">
        <v>6</v>
      </c>
      <c r="G432" s="16">
        <v>8</v>
      </c>
      <c r="H432" s="16">
        <v>16</v>
      </c>
      <c r="I432" s="16">
        <v>70</v>
      </c>
      <c r="J432" s="16">
        <f t="shared" si="70"/>
        <v>100</v>
      </c>
      <c r="K432" s="16">
        <f t="shared" si="71"/>
        <v>90</v>
      </c>
      <c r="L432" s="16">
        <f t="shared" si="72"/>
        <v>70</v>
      </c>
      <c r="M432" s="5"/>
      <c r="N432" s="5"/>
      <c r="O432" s="5"/>
    </row>
    <row r="433" spans="2:15" x14ac:dyDescent="0.2">
      <c r="B433" s="63" t="s">
        <v>585</v>
      </c>
      <c r="C433" s="16">
        <v>1</v>
      </c>
      <c r="D433" s="16">
        <f t="shared" si="69"/>
        <v>88</v>
      </c>
      <c r="E433" s="16">
        <v>3</v>
      </c>
      <c r="F433" s="16">
        <v>2</v>
      </c>
      <c r="G433" s="16">
        <v>0</v>
      </c>
      <c r="H433" s="16">
        <v>3</v>
      </c>
      <c r="I433" s="16">
        <v>4</v>
      </c>
      <c r="J433" s="16">
        <f t="shared" si="70"/>
        <v>12</v>
      </c>
      <c r="K433" s="16">
        <f t="shared" si="71"/>
        <v>7.8</v>
      </c>
      <c r="L433" s="16">
        <f t="shared" si="72"/>
        <v>4</v>
      </c>
      <c r="M433" s="5">
        <f>AVERAGE((SUM(E433:I433)), (SUM(E434:I434)), (SUM(E435:I435)), (SUM(E436:I436)), (SUM(E437:I437)))</f>
        <v>17.399999999999999</v>
      </c>
      <c r="N433" s="5">
        <f>AVERAGE((SUM(D433*0+E433*1+F433*2+G433*3+H433*4+I433*5)/(5*100)*100), (SUM(D434*0+E434*1+F434*2+G434*3+H434*4+I434*5)/(5*100)*100), (SUM(D435*0+E435*1+F435*2+G435*3+H435*4+I435*5)/(5*100)*100), (SUM(D436*0+E436*1+F436*2+G436*3+H436*4+I436*5)/(5*100)*100), (SUM(D437*0+E437*1+F437*2+G437*3+H437*4+I437*5)/(5*100)*100))</f>
        <v>8.6799999999999979</v>
      </c>
      <c r="O433" s="5">
        <f>AVERAGE(I433:I437)</f>
        <v>2.2000000000000002</v>
      </c>
    </row>
    <row r="434" spans="2:15" x14ac:dyDescent="0.2">
      <c r="B434" s="63"/>
      <c r="C434" s="16">
        <v>2</v>
      </c>
      <c r="D434" s="16">
        <f t="shared" si="69"/>
        <v>78</v>
      </c>
      <c r="E434" s="16">
        <v>3</v>
      </c>
      <c r="F434" s="16">
        <v>4</v>
      </c>
      <c r="G434" s="16">
        <v>3</v>
      </c>
      <c r="H434" s="16">
        <v>7</v>
      </c>
      <c r="I434" s="16">
        <v>5</v>
      </c>
      <c r="J434" s="16">
        <f t="shared" si="70"/>
        <v>22</v>
      </c>
      <c r="K434" s="16">
        <f t="shared" si="71"/>
        <v>14.6</v>
      </c>
      <c r="L434" s="16">
        <f t="shared" si="72"/>
        <v>5</v>
      </c>
      <c r="M434" s="5"/>
      <c r="N434" s="5"/>
      <c r="O434" s="5"/>
    </row>
    <row r="435" spans="2:15" x14ac:dyDescent="0.2">
      <c r="B435" s="63"/>
      <c r="C435" s="16">
        <v>3</v>
      </c>
      <c r="D435" s="16">
        <f t="shared" si="69"/>
        <v>87</v>
      </c>
      <c r="E435" s="16">
        <v>6</v>
      </c>
      <c r="F435" s="16">
        <v>3</v>
      </c>
      <c r="G435" s="16">
        <v>2</v>
      </c>
      <c r="H435" s="16">
        <v>1</v>
      </c>
      <c r="I435" s="16">
        <v>1</v>
      </c>
      <c r="J435" s="16">
        <f t="shared" si="70"/>
        <v>13</v>
      </c>
      <c r="K435" s="16">
        <f t="shared" si="71"/>
        <v>5.4</v>
      </c>
      <c r="L435" s="16">
        <f t="shared" si="72"/>
        <v>1</v>
      </c>
      <c r="M435" s="5"/>
      <c r="N435" s="5"/>
      <c r="O435" s="5"/>
    </row>
    <row r="436" spans="2:15" x14ac:dyDescent="0.2">
      <c r="B436" s="63"/>
      <c r="C436" s="16">
        <v>4</v>
      </c>
      <c r="D436" s="16">
        <f t="shared" si="69"/>
        <v>73</v>
      </c>
      <c r="E436" s="16">
        <v>8</v>
      </c>
      <c r="F436" s="16">
        <v>11</v>
      </c>
      <c r="G436" s="16">
        <v>4</v>
      </c>
      <c r="H436" s="16">
        <v>3</v>
      </c>
      <c r="I436" s="16">
        <v>1</v>
      </c>
      <c r="J436" s="16">
        <f t="shared" si="70"/>
        <v>27</v>
      </c>
      <c r="K436" s="16">
        <f t="shared" si="71"/>
        <v>11.799999999999999</v>
      </c>
      <c r="L436" s="16">
        <f t="shared" si="72"/>
        <v>1</v>
      </c>
      <c r="M436" s="5"/>
      <c r="N436" s="5"/>
      <c r="O436" s="5"/>
    </row>
    <row r="437" spans="2:15" x14ac:dyDescent="0.2">
      <c r="B437" s="63"/>
      <c r="C437" s="16">
        <v>5</v>
      </c>
      <c r="D437" s="16">
        <f t="shared" si="69"/>
        <v>87</v>
      </c>
      <c r="E437" s="16">
        <v>7</v>
      </c>
      <c r="F437" s="16">
        <v>6</v>
      </c>
      <c r="G437" s="16">
        <v>0</v>
      </c>
      <c r="H437" s="16">
        <v>0</v>
      </c>
      <c r="I437" s="16">
        <v>0</v>
      </c>
      <c r="J437" s="16">
        <f t="shared" si="70"/>
        <v>13</v>
      </c>
      <c r="K437" s="16">
        <f t="shared" si="71"/>
        <v>3.8</v>
      </c>
      <c r="L437" s="16">
        <f t="shared" si="72"/>
        <v>0</v>
      </c>
      <c r="M437" s="5"/>
      <c r="N437" s="5"/>
      <c r="O437" s="5"/>
    </row>
    <row r="438" spans="2:15" x14ac:dyDescent="0.2">
      <c r="B438" s="63" t="s">
        <v>586</v>
      </c>
      <c r="C438" s="16">
        <v>1</v>
      </c>
      <c r="D438" s="16">
        <f t="shared" si="69"/>
        <v>98</v>
      </c>
      <c r="E438" s="16">
        <v>2</v>
      </c>
      <c r="F438" s="16">
        <v>0</v>
      </c>
      <c r="G438" s="16">
        <v>0</v>
      </c>
      <c r="H438" s="16">
        <v>0</v>
      </c>
      <c r="I438" s="16">
        <v>0</v>
      </c>
      <c r="J438" s="16">
        <f t="shared" si="70"/>
        <v>2</v>
      </c>
      <c r="K438" s="16">
        <f t="shared" si="71"/>
        <v>0.4</v>
      </c>
      <c r="L438" s="16">
        <f t="shared" si="72"/>
        <v>0</v>
      </c>
      <c r="M438" s="5">
        <f>AVERAGE((SUM(E438:I438)), (SUM(E439:I439)), (SUM(E440:I440)), (SUM(E441:I441)), (SUM(E442:I442)))</f>
        <v>6.4</v>
      </c>
      <c r="N438" s="5">
        <f>AVERAGE((SUM(D438*0+E438*1+F438*2+G438*3+H438*4+I438*5)/(5*100)*100), (SUM(D439*0+E439*1+F439*2+G439*3+H439*4+I439*5)/(5*100)*100), (SUM(D440*0+E440*1+F440*2+G440*3+H440*4+I440*5)/(5*100)*100), (SUM(D441*0+E441*1+F441*2+G441*3+H441*4+I441*5)/(5*100)*100), (SUM(D442*0+E442*1+F442*2+G442*3+H442*4+I442*5)/(5*100)*100))</f>
        <v>2.7600000000000002</v>
      </c>
      <c r="O438" s="5">
        <f>AVERAGE(I438:I442)</f>
        <v>1</v>
      </c>
    </row>
    <row r="439" spans="2:15" x14ac:dyDescent="0.2">
      <c r="B439" s="63"/>
      <c r="C439" s="16">
        <v>2</v>
      </c>
      <c r="D439" s="16">
        <f t="shared" si="69"/>
        <v>98</v>
      </c>
      <c r="E439" s="16">
        <v>1</v>
      </c>
      <c r="F439" s="16">
        <v>1</v>
      </c>
      <c r="G439" s="16">
        <v>0</v>
      </c>
      <c r="H439" s="16">
        <v>0</v>
      </c>
      <c r="I439" s="16">
        <v>0</v>
      </c>
      <c r="J439" s="16">
        <f t="shared" si="70"/>
        <v>2</v>
      </c>
      <c r="K439" s="16">
        <f t="shared" si="71"/>
        <v>0.6</v>
      </c>
      <c r="L439" s="16">
        <f t="shared" si="72"/>
        <v>0</v>
      </c>
      <c r="M439" s="5"/>
      <c r="N439" s="5"/>
      <c r="O439" s="5"/>
    </row>
    <row r="440" spans="2:15" x14ac:dyDescent="0.2">
      <c r="B440" s="63"/>
      <c r="C440" s="16">
        <v>3</v>
      </c>
      <c r="D440" s="16">
        <f t="shared" si="69"/>
        <v>94</v>
      </c>
      <c r="E440" s="16">
        <v>1</v>
      </c>
      <c r="F440" s="16">
        <v>2</v>
      </c>
      <c r="G440" s="16">
        <v>2</v>
      </c>
      <c r="H440" s="16">
        <v>0</v>
      </c>
      <c r="I440" s="16">
        <v>1</v>
      </c>
      <c r="J440" s="16">
        <f t="shared" si="70"/>
        <v>6</v>
      </c>
      <c r="K440" s="16">
        <f t="shared" si="71"/>
        <v>3.2</v>
      </c>
      <c r="L440" s="16">
        <f t="shared" si="72"/>
        <v>1</v>
      </c>
      <c r="M440" s="5"/>
      <c r="N440" s="5"/>
      <c r="O440" s="5"/>
    </row>
    <row r="441" spans="2:15" x14ac:dyDescent="0.2">
      <c r="B441" s="63"/>
      <c r="C441" s="16">
        <v>4</v>
      </c>
      <c r="D441" s="16">
        <f t="shared" si="69"/>
        <v>86</v>
      </c>
      <c r="E441" s="16">
        <v>8</v>
      </c>
      <c r="F441" s="16">
        <v>0</v>
      </c>
      <c r="G441" s="16">
        <v>2</v>
      </c>
      <c r="H441" s="16">
        <v>1</v>
      </c>
      <c r="I441" s="16">
        <v>3</v>
      </c>
      <c r="J441" s="16">
        <f t="shared" si="70"/>
        <v>14</v>
      </c>
      <c r="K441" s="16">
        <f t="shared" si="71"/>
        <v>6.6000000000000005</v>
      </c>
      <c r="L441" s="16">
        <f t="shared" si="72"/>
        <v>3</v>
      </c>
      <c r="M441" s="5"/>
      <c r="N441" s="5"/>
      <c r="O441" s="5"/>
    </row>
    <row r="442" spans="2:15" x14ac:dyDescent="0.2">
      <c r="B442" s="63"/>
      <c r="C442" s="16">
        <v>5</v>
      </c>
      <c r="D442" s="16">
        <f t="shared" si="69"/>
        <v>92</v>
      </c>
      <c r="E442" s="16">
        <v>5</v>
      </c>
      <c r="F442" s="16">
        <v>1</v>
      </c>
      <c r="G442" s="16">
        <v>1</v>
      </c>
      <c r="H442" s="16">
        <v>0</v>
      </c>
      <c r="I442" s="16">
        <v>1</v>
      </c>
      <c r="J442" s="16">
        <f t="shared" si="70"/>
        <v>8</v>
      </c>
      <c r="K442" s="16">
        <f t="shared" si="71"/>
        <v>3</v>
      </c>
      <c r="L442" s="16">
        <f t="shared" si="72"/>
        <v>1</v>
      </c>
      <c r="M442" s="5"/>
      <c r="N442" s="5"/>
      <c r="O442" s="5"/>
    </row>
    <row r="443" spans="2:15" x14ac:dyDescent="0.2">
      <c r="B443" s="63" t="s">
        <v>587</v>
      </c>
      <c r="C443" s="16">
        <v>1</v>
      </c>
      <c r="D443" s="16">
        <f t="shared" si="69"/>
        <v>93</v>
      </c>
      <c r="E443" s="16">
        <v>1</v>
      </c>
      <c r="F443" s="16">
        <v>1</v>
      </c>
      <c r="G443" s="16">
        <v>0</v>
      </c>
      <c r="H443" s="16">
        <v>0</v>
      </c>
      <c r="I443" s="16">
        <v>5</v>
      </c>
      <c r="J443" s="16">
        <f t="shared" si="70"/>
        <v>7</v>
      </c>
      <c r="K443" s="16">
        <f t="shared" si="71"/>
        <v>5.6000000000000005</v>
      </c>
      <c r="L443" s="16">
        <f t="shared" si="72"/>
        <v>5</v>
      </c>
      <c r="M443" s="5">
        <f>AVERAGE((SUM(E443:I443)), (SUM(E444:I444)), (SUM(E445:I445)), (SUM(E446:I446)), (SUM(E447:I447)))</f>
        <v>13.4</v>
      </c>
      <c r="N443" s="5">
        <f>AVERAGE((SUM(D443*0+E443*1+F443*2+G443*3+H443*4+I443*5)/(5*100)*100), (SUM(D444*0+E444*1+F444*2+G444*3+H444*4+I444*5)/(5*100)*100), (SUM(D445*0+E445*1+F445*2+G445*3+H445*4+I445*5)/(5*100)*100), (SUM(D446*0+E446*1+F446*2+G446*3+H446*4+I446*5)/(5*100)*100), (SUM(D447*0+E447*1+F447*2+G447*3+H447*4+I447*5)/(5*100)*100))</f>
        <v>6.16</v>
      </c>
      <c r="O443" s="5">
        <f>AVERAGE(I443:I447)</f>
        <v>1.6</v>
      </c>
    </row>
    <row r="444" spans="2:15" x14ac:dyDescent="0.2">
      <c r="B444" s="63"/>
      <c r="C444" s="16">
        <v>2</v>
      </c>
      <c r="D444" s="16">
        <f t="shared" si="69"/>
        <v>93</v>
      </c>
      <c r="E444" s="16">
        <v>2</v>
      </c>
      <c r="F444" s="16">
        <v>0</v>
      </c>
      <c r="G444" s="16">
        <v>2</v>
      </c>
      <c r="H444" s="16">
        <v>2</v>
      </c>
      <c r="I444" s="16">
        <v>1</v>
      </c>
      <c r="J444" s="16">
        <f t="shared" si="70"/>
        <v>7</v>
      </c>
      <c r="K444" s="16">
        <f t="shared" si="71"/>
        <v>4.2</v>
      </c>
      <c r="L444" s="16">
        <f t="shared" si="72"/>
        <v>1</v>
      </c>
      <c r="M444" s="5"/>
      <c r="N444" s="5"/>
      <c r="O444" s="5"/>
    </row>
    <row r="445" spans="2:15" x14ac:dyDescent="0.2">
      <c r="B445" s="63"/>
      <c r="C445" s="16">
        <v>3</v>
      </c>
      <c r="D445" s="16">
        <f t="shared" si="69"/>
        <v>87</v>
      </c>
      <c r="E445" s="16">
        <v>6</v>
      </c>
      <c r="F445" s="16">
        <v>3</v>
      </c>
      <c r="G445" s="16">
        <v>2</v>
      </c>
      <c r="H445" s="16">
        <v>1</v>
      </c>
      <c r="I445" s="16">
        <v>1</v>
      </c>
      <c r="J445" s="16">
        <f t="shared" si="70"/>
        <v>13</v>
      </c>
      <c r="K445" s="16">
        <f t="shared" si="71"/>
        <v>5.4</v>
      </c>
      <c r="L445" s="16">
        <f t="shared" si="72"/>
        <v>1</v>
      </c>
      <c r="M445" s="5"/>
      <c r="N445" s="5"/>
      <c r="O445" s="5"/>
    </row>
    <row r="446" spans="2:15" x14ac:dyDescent="0.2">
      <c r="B446" s="63"/>
      <c r="C446" s="16">
        <v>4</v>
      </c>
      <c r="D446" s="16">
        <f t="shared" si="69"/>
        <v>73</v>
      </c>
      <c r="E446" s="16">
        <v>8</v>
      </c>
      <c r="F446" s="16">
        <v>11</v>
      </c>
      <c r="G446" s="16">
        <v>4</v>
      </c>
      <c r="H446" s="16">
        <v>3</v>
      </c>
      <c r="I446" s="16">
        <v>1</v>
      </c>
      <c r="J446" s="16">
        <f t="shared" si="70"/>
        <v>27</v>
      </c>
      <c r="K446" s="16">
        <f t="shared" si="71"/>
        <v>11.799999999999999</v>
      </c>
      <c r="L446" s="16">
        <f t="shared" si="72"/>
        <v>1</v>
      </c>
      <c r="M446" s="5"/>
      <c r="N446" s="5"/>
      <c r="O446" s="5"/>
    </row>
    <row r="447" spans="2:15" x14ac:dyDescent="0.2">
      <c r="B447" s="63"/>
      <c r="C447" s="16">
        <v>5</v>
      </c>
      <c r="D447" s="16">
        <f t="shared" si="69"/>
        <v>87</v>
      </c>
      <c r="E447" s="16">
        <v>7</v>
      </c>
      <c r="F447" s="16">
        <v>6</v>
      </c>
      <c r="G447" s="16">
        <v>0</v>
      </c>
      <c r="H447" s="16">
        <v>0</v>
      </c>
      <c r="I447" s="16">
        <v>0</v>
      </c>
      <c r="J447" s="16">
        <f t="shared" si="70"/>
        <v>13</v>
      </c>
      <c r="K447" s="16">
        <f t="shared" si="71"/>
        <v>3.8</v>
      </c>
      <c r="L447" s="16">
        <f t="shared" si="72"/>
        <v>0</v>
      </c>
      <c r="M447" s="5"/>
      <c r="N447" s="5"/>
      <c r="O447" s="5"/>
    </row>
    <row r="448" spans="2:15" x14ac:dyDescent="0.2">
      <c r="B448" s="63" t="s">
        <v>588</v>
      </c>
      <c r="C448" s="16">
        <v>1</v>
      </c>
      <c r="D448" s="16">
        <f t="shared" si="69"/>
        <v>94</v>
      </c>
      <c r="E448" s="16">
        <v>3</v>
      </c>
      <c r="F448" s="16">
        <v>1</v>
      </c>
      <c r="G448" s="16">
        <v>0</v>
      </c>
      <c r="H448" s="16">
        <v>0</v>
      </c>
      <c r="I448" s="16">
        <v>2</v>
      </c>
      <c r="J448" s="16">
        <f t="shared" si="70"/>
        <v>6</v>
      </c>
      <c r="K448" s="16">
        <f t="shared" si="71"/>
        <v>3</v>
      </c>
      <c r="L448" s="16">
        <f t="shared" si="72"/>
        <v>2</v>
      </c>
      <c r="M448" s="5">
        <f>AVERAGE((SUM(E448:I448)), (SUM(E449:I449)), (SUM(E450:I450)), (SUM(E451:I451)), (SUM(E452:I452)))</f>
        <v>12.2</v>
      </c>
      <c r="N448" s="5">
        <f>AVERAGE((SUM(D448*0+E448*1+F448*2+G448*3+H448*4+I448*5)/(5*100)*100), (SUM(D449*0+E449*1+F449*2+G449*3+H449*4+I449*5)/(5*100)*100), (SUM(D450*0+E450*1+F450*2+G450*3+H450*4+I450*5)/(5*100)*100), (SUM(D451*0+E451*1+F451*2+G451*3+H451*4+I451*5)/(5*100)*100), (SUM(D452*0+E452*1+F452*2+G452*3+H452*4+I452*5)/(5*100)*100))</f>
        <v>8.4400000000000013</v>
      </c>
      <c r="O448" s="5">
        <f>AVERAGE(I448:I452)</f>
        <v>5.4</v>
      </c>
    </row>
    <row r="449" spans="2:15" x14ac:dyDescent="0.2">
      <c r="B449" s="63"/>
      <c r="C449" s="16">
        <v>2</v>
      </c>
      <c r="D449" s="16">
        <f t="shared" si="69"/>
        <v>84</v>
      </c>
      <c r="E449" s="16">
        <v>3</v>
      </c>
      <c r="F449" s="16">
        <v>0</v>
      </c>
      <c r="G449" s="16">
        <v>2</v>
      </c>
      <c r="H449" s="16">
        <v>4</v>
      </c>
      <c r="I449" s="16">
        <v>7</v>
      </c>
      <c r="J449" s="16">
        <f t="shared" si="70"/>
        <v>16</v>
      </c>
      <c r="K449" s="16">
        <f t="shared" si="71"/>
        <v>12</v>
      </c>
      <c r="L449" s="16">
        <f t="shared" si="72"/>
        <v>7</v>
      </c>
      <c r="M449" s="5"/>
      <c r="N449" s="5"/>
      <c r="O449" s="5"/>
    </row>
    <row r="450" spans="2:15" x14ac:dyDescent="0.2">
      <c r="B450" s="63"/>
      <c r="C450" s="16">
        <v>3</v>
      </c>
      <c r="D450" s="16">
        <f t="shared" si="69"/>
        <v>95</v>
      </c>
      <c r="E450" s="16">
        <v>2</v>
      </c>
      <c r="F450" s="16">
        <v>1</v>
      </c>
      <c r="G450" s="16">
        <v>0</v>
      </c>
      <c r="H450" s="16">
        <v>0</v>
      </c>
      <c r="I450" s="16">
        <v>2</v>
      </c>
      <c r="J450" s="16">
        <f t="shared" si="70"/>
        <v>5</v>
      </c>
      <c r="K450" s="16">
        <f t="shared" si="71"/>
        <v>2.8000000000000003</v>
      </c>
      <c r="L450" s="16">
        <f t="shared" si="72"/>
        <v>2</v>
      </c>
      <c r="M450" s="5"/>
      <c r="N450" s="5"/>
      <c r="O450" s="5"/>
    </row>
    <row r="451" spans="2:15" x14ac:dyDescent="0.2">
      <c r="B451" s="63"/>
      <c r="C451" s="16">
        <v>4</v>
      </c>
      <c r="D451" s="16">
        <f t="shared" ref="D451:D514" si="73">100-(SUM(E451:I451))</f>
        <v>83</v>
      </c>
      <c r="E451" s="16">
        <v>3</v>
      </c>
      <c r="F451" s="16">
        <v>0</v>
      </c>
      <c r="G451" s="16">
        <v>2</v>
      </c>
      <c r="H451" s="16">
        <v>3</v>
      </c>
      <c r="I451" s="16">
        <v>9</v>
      </c>
      <c r="J451" s="16">
        <f t="shared" si="70"/>
        <v>17</v>
      </c>
      <c r="K451" s="16">
        <f t="shared" si="71"/>
        <v>13.200000000000001</v>
      </c>
      <c r="L451" s="16">
        <f t="shared" si="72"/>
        <v>9</v>
      </c>
      <c r="M451" s="5"/>
      <c r="N451" s="5"/>
      <c r="O451" s="5"/>
    </row>
    <row r="452" spans="2:15" x14ac:dyDescent="0.2">
      <c r="B452" s="63"/>
      <c r="C452" s="16">
        <v>5</v>
      </c>
      <c r="D452" s="16">
        <f t="shared" si="73"/>
        <v>83</v>
      </c>
      <c r="E452" s="16">
        <v>5</v>
      </c>
      <c r="F452" s="16">
        <v>0</v>
      </c>
      <c r="G452" s="16">
        <v>4</v>
      </c>
      <c r="H452" s="16">
        <v>1</v>
      </c>
      <c r="I452" s="16">
        <v>7</v>
      </c>
      <c r="J452" s="16">
        <f t="shared" ref="J452:J515" si="74">SUM(E452:I452)</f>
        <v>17</v>
      </c>
      <c r="K452" s="16">
        <f t="shared" ref="K452:K515" si="75">AVERAGE(SUM(E452*1,F452*2,G452*3,H452*4,I452*5))/(5*100)*100</f>
        <v>11.200000000000001</v>
      </c>
      <c r="L452" s="16">
        <f t="shared" ref="L452:L515" si="76">I452</f>
        <v>7</v>
      </c>
      <c r="M452" s="5"/>
      <c r="N452" s="5"/>
      <c r="O452" s="5"/>
    </row>
    <row r="453" spans="2:15" x14ac:dyDescent="0.2">
      <c r="B453" s="63" t="s">
        <v>589</v>
      </c>
      <c r="C453" s="16">
        <v>1</v>
      </c>
      <c r="D453" s="16">
        <f t="shared" si="73"/>
        <v>45</v>
      </c>
      <c r="E453" s="16">
        <v>0</v>
      </c>
      <c r="F453" s="16">
        <v>3</v>
      </c>
      <c r="G453" s="16">
        <v>9</v>
      </c>
      <c r="H453" s="16">
        <v>11</v>
      </c>
      <c r="I453" s="16">
        <v>32</v>
      </c>
      <c r="J453" s="16">
        <f t="shared" si="74"/>
        <v>55</v>
      </c>
      <c r="K453" s="16">
        <f t="shared" si="75"/>
        <v>47.4</v>
      </c>
      <c r="L453" s="16">
        <f t="shared" si="76"/>
        <v>32</v>
      </c>
      <c r="M453" s="5">
        <f t="shared" ref="M453" si="77">AVERAGE((SUM(E453:I453)), (SUM(E454:I454)), (SUM(E455:I455)), (SUM(E456:I456)), (SUM(E457:I457)))</f>
        <v>53.2</v>
      </c>
      <c r="N453" s="5">
        <f t="shared" ref="N453" si="78">AVERAGE((SUM(D453*0+E453*1+F453*2+G453*3+H453*4+I453*5)/(5*100)*100), (SUM(D454*0+E454*1+F454*2+G454*3+H454*4+I454*5)/(5*100)*100), (SUM(D455*0+E455*1+F455*2+G455*3+H455*4+I455*5)/(5*100)*100), (SUM(D456*0+E456*1+F456*2+G456*3+H456*4+I456*5)/(5*100)*100), (SUM(D457*0+E457*1+F457*2+G457*3+H457*4+I457*5)/(5*100)*100))</f>
        <v>47.92</v>
      </c>
      <c r="O453" s="5">
        <f t="shared" ref="O453" si="79">AVERAGE(I453:I457)</f>
        <v>33.200000000000003</v>
      </c>
    </row>
    <row r="454" spans="2:15" x14ac:dyDescent="0.2">
      <c r="B454" s="63"/>
      <c r="C454" s="16">
        <v>2</v>
      </c>
      <c r="D454" s="16">
        <f t="shared" si="73"/>
        <v>29</v>
      </c>
      <c r="E454" s="16">
        <v>0</v>
      </c>
      <c r="F454" s="16">
        <v>0</v>
      </c>
      <c r="G454" s="16">
        <v>6</v>
      </c>
      <c r="H454" s="16">
        <v>14</v>
      </c>
      <c r="I454" s="16">
        <v>51</v>
      </c>
      <c r="J454" s="16">
        <f t="shared" si="74"/>
        <v>71</v>
      </c>
      <c r="K454" s="16">
        <f t="shared" si="75"/>
        <v>65.8</v>
      </c>
      <c r="L454" s="16">
        <f t="shared" si="76"/>
        <v>51</v>
      </c>
      <c r="M454" s="5"/>
      <c r="N454" s="5"/>
      <c r="O454" s="5"/>
    </row>
    <row r="455" spans="2:15" x14ac:dyDescent="0.2">
      <c r="B455" s="63"/>
      <c r="C455" s="16">
        <v>3</v>
      </c>
      <c r="D455" s="16">
        <f t="shared" si="73"/>
        <v>46</v>
      </c>
      <c r="E455" s="16">
        <v>0</v>
      </c>
      <c r="F455" s="16">
        <v>0</v>
      </c>
      <c r="G455" s="16">
        <v>0</v>
      </c>
      <c r="H455" s="16">
        <v>18</v>
      </c>
      <c r="I455" s="16">
        <v>36</v>
      </c>
      <c r="J455" s="16">
        <f t="shared" si="74"/>
        <v>54</v>
      </c>
      <c r="K455" s="16">
        <f t="shared" si="75"/>
        <v>50.4</v>
      </c>
      <c r="L455" s="16">
        <f t="shared" si="76"/>
        <v>36</v>
      </c>
      <c r="M455" s="5"/>
      <c r="N455" s="5"/>
      <c r="O455" s="5"/>
    </row>
    <row r="456" spans="2:15" x14ac:dyDescent="0.2">
      <c r="B456" s="63"/>
      <c r="C456" s="16">
        <v>4</v>
      </c>
      <c r="D456" s="16">
        <f t="shared" si="73"/>
        <v>66</v>
      </c>
      <c r="E456" s="16">
        <v>0</v>
      </c>
      <c r="F456" s="16">
        <v>0</v>
      </c>
      <c r="G456" s="16">
        <v>0</v>
      </c>
      <c r="H456" s="16">
        <v>14</v>
      </c>
      <c r="I456" s="16">
        <v>20</v>
      </c>
      <c r="J456" s="16">
        <f t="shared" si="74"/>
        <v>34</v>
      </c>
      <c r="K456" s="16">
        <f t="shared" si="75"/>
        <v>31.2</v>
      </c>
      <c r="L456" s="16">
        <f t="shared" si="76"/>
        <v>20</v>
      </c>
      <c r="M456" s="5"/>
      <c r="N456" s="5"/>
      <c r="O456" s="5"/>
    </row>
    <row r="457" spans="2:15" x14ac:dyDescent="0.2">
      <c r="B457" s="63"/>
      <c r="C457" s="16">
        <v>5</v>
      </c>
      <c r="D457" s="16">
        <f t="shared" si="73"/>
        <v>48</v>
      </c>
      <c r="E457" s="16">
        <v>0</v>
      </c>
      <c r="F457" s="16">
        <v>2</v>
      </c>
      <c r="G457" s="16">
        <v>7</v>
      </c>
      <c r="H457" s="16">
        <v>16</v>
      </c>
      <c r="I457" s="16">
        <v>27</v>
      </c>
      <c r="J457" s="16">
        <f t="shared" si="74"/>
        <v>52</v>
      </c>
      <c r="K457" s="16">
        <f t="shared" si="75"/>
        <v>44.800000000000004</v>
      </c>
      <c r="L457" s="16">
        <f t="shared" si="76"/>
        <v>27</v>
      </c>
      <c r="M457" s="5"/>
      <c r="N457" s="5"/>
      <c r="O457" s="5"/>
    </row>
    <row r="458" spans="2:15" x14ac:dyDescent="0.2">
      <c r="B458" s="63" t="s">
        <v>590</v>
      </c>
      <c r="C458" s="16">
        <v>1</v>
      </c>
      <c r="D458" s="16">
        <f t="shared" si="73"/>
        <v>85</v>
      </c>
      <c r="E458" s="16">
        <v>0</v>
      </c>
      <c r="F458" s="16">
        <v>0</v>
      </c>
      <c r="G458" s="16">
        <v>0</v>
      </c>
      <c r="H458" s="16">
        <v>0</v>
      </c>
      <c r="I458" s="16">
        <v>15</v>
      </c>
      <c r="J458" s="16">
        <f t="shared" si="74"/>
        <v>15</v>
      </c>
      <c r="K458" s="16">
        <f t="shared" si="75"/>
        <v>15</v>
      </c>
      <c r="L458" s="16">
        <f t="shared" si="76"/>
        <v>15</v>
      </c>
      <c r="M458" s="5">
        <f t="shared" ref="M458" si="80">AVERAGE((SUM(E458:I458)), (SUM(E459:I459)), (SUM(E460:I460)), (SUM(E461:I461)), (SUM(E462:I462)))</f>
        <v>5.4</v>
      </c>
      <c r="N458" s="5">
        <f t="shared" ref="N458" si="81">AVERAGE((SUM(D458*0+E458*1+F458*2+G458*3+H458*4+I458*5)/(5*100)*100), (SUM(D459*0+E459*1+F459*2+G459*3+H459*4+I459*5)/(5*100)*100), (SUM(D460*0+E460*1+F460*2+G460*3+H460*4+I460*5)/(5*100)*100), (SUM(D461*0+E461*1+F461*2+G461*3+H461*4+I461*5)/(5*100)*100), (SUM(D462*0+E462*1+F462*2+G462*3+H462*4+I462*5)/(5*100)*100))</f>
        <v>5.24</v>
      </c>
      <c r="O458" s="5">
        <f t="shared" ref="O458" si="82">AVERAGE(I458:I462)</f>
        <v>5.2</v>
      </c>
    </row>
    <row r="459" spans="2:15" x14ac:dyDescent="0.2">
      <c r="B459" s="63"/>
      <c r="C459" s="16">
        <v>2</v>
      </c>
      <c r="D459" s="16">
        <f t="shared" si="73"/>
        <v>99</v>
      </c>
      <c r="E459" s="16">
        <v>0</v>
      </c>
      <c r="F459" s="16">
        <v>0</v>
      </c>
      <c r="G459" s="16">
        <v>0</v>
      </c>
      <c r="H459" s="16">
        <v>0</v>
      </c>
      <c r="I459" s="16">
        <v>1</v>
      </c>
      <c r="J459" s="16">
        <f t="shared" si="74"/>
        <v>1</v>
      </c>
      <c r="K459" s="16">
        <f t="shared" si="75"/>
        <v>1</v>
      </c>
      <c r="L459" s="16">
        <f t="shared" si="76"/>
        <v>1</v>
      </c>
      <c r="M459" s="5"/>
      <c r="N459" s="5"/>
      <c r="O459" s="5"/>
    </row>
    <row r="460" spans="2:15" x14ac:dyDescent="0.2">
      <c r="B460" s="63"/>
      <c r="C460" s="16">
        <v>3</v>
      </c>
      <c r="D460" s="16">
        <f t="shared" si="73"/>
        <v>93</v>
      </c>
      <c r="E460" s="16">
        <v>1</v>
      </c>
      <c r="F460" s="16">
        <v>0</v>
      </c>
      <c r="G460" s="16">
        <v>0</v>
      </c>
      <c r="H460" s="16">
        <v>0</v>
      </c>
      <c r="I460" s="16">
        <v>6</v>
      </c>
      <c r="J460" s="16">
        <f t="shared" si="74"/>
        <v>7</v>
      </c>
      <c r="K460" s="16">
        <f t="shared" si="75"/>
        <v>6.2</v>
      </c>
      <c r="L460" s="16">
        <f t="shared" si="76"/>
        <v>6</v>
      </c>
      <c r="M460" s="5"/>
      <c r="N460" s="5"/>
      <c r="O460" s="5"/>
    </row>
    <row r="461" spans="2:15" x14ac:dyDescent="0.2">
      <c r="B461" s="63"/>
      <c r="C461" s="16">
        <v>4</v>
      </c>
      <c r="D461" s="16">
        <f t="shared" si="73"/>
        <v>98</v>
      </c>
      <c r="E461" s="16">
        <v>0</v>
      </c>
      <c r="F461" s="16">
        <v>0</v>
      </c>
      <c r="G461" s="16">
        <v>0</v>
      </c>
      <c r="H461" s="16">
        <v>0</v>
      </c>
      <c r="I461" s="16">
        <v>2</v>
      </c>
      <c r="J461" s="16">
        <f t="shared" si="74"/>
        <v>2</v>
      </c>
      <c r="K461" s="16">
        <f t="shared" si="75"/>
        <v>2</v>
      </c>
      <c r="L461" s="16">
        <f t="shared" si="76"/>
        <v>2</v>
      </c>
      <c r="M461" s="5"/>
      <c r="N461" s="5"/>
      <c r="O461" s="5"/>
    </row>
    <row r="462" spans="2:15" x14ac:dyDescent="0.2">
      <c r="B462" s="63"/>
      <c r="C462" s="16">
        <v>5</v>
      </c>
      <c r="D462" s="16">
        <f t="shared" si="73"/>
        <v>98</v>
      </c>
      <c r="E462" s="16">
        <v>0</v>
      </c>
      <c r="F462" s="16">
        <v>0</v>
      </c>
      <c r="G462" s="16">
        <v>0</v>
      </c>
      <c r="H462" s="16">
        <v>0</v>
      </c>
      <c r="I462" s="16">
        <v>2</v>
      </c>
      <c r="J462" s="16">
        <f t="shared" si="74"/>
        <v>2</v>
      </c>
      <c r="K462" s="16">
        <f t="shared" si="75"/>
        <v>2</v>
      </c>
      <c r="L462" s="16">
        <f t="shared" si="76"/>
        <v>2</v>
      </c>
      <c r="M462" s="5"/>
      <c r="N462" s="5"/>
      <c r="O462" s="5"/>
    </row>
    <row r="463" spans="2:15" x14ac:dyDescent="0.2">
      <c r="B463" s="63" t="s">
        <v>591</v>
      </c>
      <c r="C463" s="16">
        <v>1</v>
      </c>
      <c r="D463" s="16">
        <f t="shared" si="73"/>
        <v>100</v>
      </c>
      <c r="E463" s="16">
        <v>0</v>
      </c>
      <c r="F463" s="16">
        <v>0</v>
      </c>
      <c r="G463" s="16">
        <v>0</v>
      </c>
      <c r="H463" s="16">
        <v>0</v>
      </c>
      <c r="I463" s="16">
        <v>0</v>
      </c>
      <c r="J463" s="16">
        <f t="shared" si="74"/>
        <v>0</v>
      </c>
      <c r="K463" s="16">
        <f t="shared" si="75"/>
        <v>0</v>
      </c>
      <c r="L463" s="16">
        <f t="shared" si="76"/>
        <v>0</v>
      </c>
      <c r="M463" s="5">
        <f t="shared" ref="M463" si="83">AVERAGE((SUM(E463:I463)), (SUM(E464:I464)), (SUM(E465:I465)), (SUM(E466:I466)), (SUM(E467:I467)))</f>
        <v>0</v>
      </c>
      <c r="N463" s="5">
        <f t="shared" ref="N463" si="84">AVERAGE((SUM(D463*0+E463*1+F463*2+G463*3+H463*4+I463*5)/(5*100)*100), (SUM(D464*0+E464*1+F464*2+G464*3+H464*4+I464*5)/(5*100)*100), (SUM(D465*0+E465*1+F465*2+G465*3+H465*4+I465*5)/(5*100)*100), (SUM(D466*0+E466*1+F466*2+G466*3+H466*4+I466*5)/(5*100)*100), (SUM(D467*0+E467*1+F467*2+G467*3+H467*4+I467*5)/(5*100)*100))</f>
        <v>0</v>
      </c>
      <c r="O463" s="5">
        <f t="shared" ref="O463" si="85">AVERAGE(I463:I467)</f>
        <v>0</v>
      </c>
    </row>
    <row r="464" spans="2:15" x14ac:dyDescent="0.2">
      <c r="B464" s="63"/>
      <c r="C464" s="16">
        <v>2</v>
      </c>
      <c r="D464" s="16">
        <f t="shared" si="73"/>
        <v>100</v>
      </c>
      <c r="E464" s="16">
        <v>0</v>
      </c>
      <c r="F464" s="16">
        <v>0</v>
      </c>
      <c r="G464" s="16">
        <v>0</v>
      </c>
      <c r="H464" s="16">
        <v>0</v>
      </c>
      <c r="I464" s="16">
        <v>0</v>
      </c>
      <c r="J464" s="16">
        <f t="shared" si="74"/>
        <v>0</v>
      </c>
      <c r="K464" s="16">
        <f t="shared" si="75"/>
        <v>0</v>
      </c>
      <c r="L464" s="16">
        <f t="shared" si="76"/>
        <v>0</v>
      </c>
      <c r="M464" s="5"/>
      <c r="N464" s="5"/>
      <c r="O464" s="5"/>
    </row>
    <row r="465" spans="2:15" x14ac:dyDescent="0.2">
      <c r="B465" s="63"/>
      <c r="C465" s="16">
        <v>3</v>
      </c>
      <c r="D465" s="16">
        <f t="shared" si="73"/>
        <v>100</v>
      </c>
      <c r="E465" s="16">
        <v>0</v>
      </c>
      <c r="F465" s="16">
        <v>0</v>
      </c>
      <c r="G465" s="16">
        <v>0</v>
      </c>
      <c r="H465" s="16">
        <v>0</v>
      </c>
      <c r="I465" s="16">
        <v>0</v>
      </c>
      <c r="J465" s="16">
        <f t="shared" si="74"/>
        <v>0</v>
      </c>
      <c r="K465" s="16">
        <f t="shared" si="75"/>
        <v>0</v>
      </c>
      <c r="L465" s="16">
        <f t="shared" si="76"/>
        <v>0</v>
      </c>
      <c r="M465" s="5"/>
      <c r="N465" s="5"/>
      <c r="O465" s="5"/>
    </row>
    <row r="466" spans="2:15" x14ac:dyDescent="0.2">
      <c r="B466" s="63"/>
      <c r="C466" s="16">
        <v>4</v>
      </c>
      <c r="D466" s="16">
        <f t="shared" si="73"/>
        <v>100</v>
      </c>
      <c r="E466" s="16">
        <v>0</v>
      </c>
      <c r="F466" s="16">
        <v>0</v>
      </c>
      <c r="G466" s="16">
        <v>0</v>
      </c>
      <c r="H466" s="16">
        <v>0</v>
      </c>
      <c r="I466" s="16">
        <v>0</v>
      </c>
      <c r="J466" s="16">
        <f t="shared" si="74"/>
        <v>0</v>
      </c>
      <c r="K466" s="16">
        <f t="shared" si="75"/>
        <v>0</v>
      </c>
      <c r="L466" s="16">
        <f t="shared" si="76"/>
        <v>0</v>
      </c>
      <c r="M466" s="5"/>
      <c r="N466" s="5"/>
      <c r="O466" s="5"/>
    </row>
    <row r="467" spans="2:15" x14ac:dyDescent="0.2">
      <c r="B467" s="63"/>
      <c r="C467" s="16">
        <v>5</v>
      </c>
      <c r="D467" s="16">
        <f t="shared" si="73"/>
        <v>100</v>
      </c>
      <c r="E467" s="16">
        <v>0</v>
      </c>
      <c r="F467" s="16">
        <v>0</v>
      </c>
      <c r="G467" s="16">
        <v>0</v>
      </c>
      <c r="H467" s="16">
        <v>0</v>
      </c>
      <c r="I467" s="16">
        <v>0</v>
      </c>
      <c r="J467" s="16">
        <f t="shared" si="74"/>
        <v>0</v>
      </c>
      <c r="K467" s="16">
        <f t="shared" si="75"/>
        <v>0</v>
      </c>
      <c r="L467" s="16">
        <f t="shared" si="76"/>
        <v>0</v>
      </c>
      <c r="M467" s="5"/>
      <c r="N467" s="5"/>
      <c r="O467" s="5"/>
    </row>
    <row r="468" spans="2:15" x14ac:dyDescent="0.2">
      <c r="B468" s="63" t="s">
        <v>592</v>
      </c>
      <c r="C468" s="16">
        <v>1</v>
      </c>
      <c r="D468" s="16">
        <f t="shared" si="73"/>
        <v>98</v>
      </c>
      <c r="E468" s="16">
        <v>1</v>
      </c>
      <c r="F468" s="16">
        <v>0</v>
      </c>
      <c r="G468" s="16">
        <v>0</v>
      </c>
      <c r="H468" s="16">
        <v>0</v>
      </c>
      <c r="I468" s="16">
        <v>1</v>
      </c>
      <c r="J468" s="16">
        <f t="shared" si="74"/>
        <v>2</v>
      </c>
      <c r="K468" s="16">
        <f t="shared" si="75"/>
        <v>1.2</v>
      </c>
      <c r="L468" s="16">
        <f t="shared" si="76"/>
        <v>1</v>
      </c>
      <c r="M468" s="5">
        <f t="shared" ref="M468" si="86">AVERAGE((SUM(E468:I468)), (SUM(E469:I469)), (SUM(E470:I470)), (SUM(E471:I471)), (SUM(E472:I472)))</f>
        <v>11.4</v>
      </c>
      <c r="N468" s="5">
        <f t="shared" ref="N468" si="87">AVERAGE((SUM(D468*0+E468*1+F468*2+G468*3+H468*4+I468*5)/(5*100)*100), (SUM(D469*0+E469*1+F469*2+G469*3+H469*4+I469*5)/(5*100)*100), (SUM(D470*0+E470*1+F470*2+G470*3+H470*4+I470*5)/(5*100)*100), (SUM(D471*0+E471*1+F471*2+G471*3+H471*4+I471*5)/(5*100)*100), (SUM(D472*0+E472*1+F472*2+G472*3+H472*4+I472*5)/(5*100)*100))</f>
        <v>2.44</v>
      </c>
      <c r="O468" s="5">
        <f t="shared" ref="O468" si="88">AVERAGE(I468:I472)</f>
        <v>0.2</v>
      </c>
    </row>
    <row r="469" spans="2:15" x14ac:dyDescent="0.2">
      <c r="B469" s="63"/>
      <c r="C469" s="16">
        <v>2</v>
      </c>
      <c r="D469" s="16">
        <f t="shared" si="73"/>
        <v>72</v>
      </c>
      <c r="E469" s="16">
        <v>28</v>
      </c>
      <c r="F469" s="16">
        <v>0</v>
      </c>
      <c r="G469" s="16">
        <v>0</v>
      </c>
      <c r="H469" s="16">
        <v>0</v>
      </c>
      <c r="I469" s="16">
        <v>0</v>
      </c>
      <c r="J469" s="16">
        <f t="shared" si="74"/>
        <v>28</v>
      </c>
      <c r="K469" s="16">
        <f t="shared" si="75"/>
        <v>5.6000000000000005</v>
      </c>
      <c r="L469" s="16">
        <f t="shared" si="76"/>
        <v>0</v>
      </c>
      <c r="M469" s="5"/>
      <c r="N469" s="5"/>
      <c r="O469" s="5"/>
    </row>
    <row r="470" spans="2:15" x14ac:dyDescent="0.2">
      <c r="B470" s="63"/>
      <c r="C470" s="16">
        <v>3</v>
      </c>
      <c r="D470" s="16">
        <f t="shared" si="73"/>
        <v>85</v>
      </c>
      <c r="E470" s="16">
        <v>15</v>
      </c>
      <c r="F470" s="16">
        <v>0</v>
      </c>
      <c r="G470" s="16">
        <v>0</v>
      </c>
      <c r="H470" s="16">
        <v>0</v>
      </c>
      <c r="I470" s="16">
        <v>0</v>
      </c>
      <c r="J470" s="16">
        <f t="shared" si="74"/>
        <v>15</v>
      </c>
      <c r="K470" s="16">
        <f t="shared" si="75"/>
        <v>3</v>
      </c>
      <c r="L470" s="16">
        <f t="shared" si="76"/>
        <v>0</v>
      </c>
      <c r="M470" s="5"/>
      <c r="N470" s="5"/>
      <c r="O470" s="5"/>
    </row>
    <row r="471" spans="2:15" x14ac:dyDescent="0.2">
      <c r="B471" s="63"/>
      <c r="C471" s="16">
        <v>4</v>
      </c>
      <c r="D471" s="16">
        <f t="shared" si="73"/>
        <v>97</v>
      </c>
      <c r="E471" s="16">
        <v>3</v>
      </c>
      <c r="F471" s="16">
        <v>0</v>
      </c>
      <c r="G471" s="16">
        <v>0</v>
      </c>
      <c r="H471" s="16">
        <v>0</v>
      </c>
      <c r="I471" s="16">
        <v>0</v>
      </c>
      <c r="J471" s="16">
        <f t="shared" si="74"/>
        <v>3</v>
      </c>
      <c r="K471" s="16">
        <f t="shared" si="75"/>
        <v>0.6</v>
      </c>
      <c r="L471" s="16">
        <f t="shared" si="76"/>
        <v>0</v>
      </c>
      <c r="M471" s="5"/>
      <c r="N471" s="5"/>
      <c r="O471" s="5"/>
    </row>
    <row r="472" spans="2:15" x14ac:dyDescent="0.2">
      <c r="B472" s="63"/>
      <c r="C472" s="16">
        <v>5</v>
      </c>
      <c r="D472" s="16">
        <f t="shared" si="73"/>
        <v>91</v>
      </c>
      <c r="E472" s="16">
        <v>9</v>
      </c>
      <c r="F472" s="16">
        <v>0</v>
      </c>
      <c r="G472" s="16">
        <v>0</v>
      </c>
      <c r="H472" s="16">
        <v>0</v>
      </c>
      <c r="I472" s="16">
        <v>0</v>
      </c>
      <c r="J472" s="16">
        <f t="shared" si="74"/>
        <v>9</v>
      </c>
      <c r="K472" s="16">
        <f t="shared" si="75"/>
        <v>1.7999999999999998</v>
      </c>
      <c r="L472" s="16">
        <f t="shared" si="76"/>
        <v>0</v>
      </c>
      <c r="M472" s="5"/>
      <c r="N472" s="5"/>
      <c r="O472" s="5"/>
    </row>
    <row r="473" spans="2:15" x14ac:dyDescent="0.2">
      <c r="B473" s="63" t="s">
        <v>593</v>
      </c>
      <c r="C473" s="16">
        <v>1</v>
      </c>
      <c r="D473" s="16">
        <f t="shared" si="73"/>
        <v>100</v>
      </c>
      <c r="E473" s="16">
        <v>0</v>
      </c>
      <c r="F473" s="16">
        <v>0</v>
      </c>
      <c r="G473" s="16">
        <v>0</v>
      </c>
      <c r="H473" s="16">
        <v>0</v>
      </c>
      <c r="I473" s="16">
        <v>0</v>
      </c>
      <c r="J473" s="16">
        <f t="shared" si="74"/>
        <v>0</v>
      </c>
      <c r="K473" s="16">
        <f t="shared" si="75"/>
        <v>0</v>
      </c>
      <c r="L473" s="16">
        <f t="shared" si="76"/>
        <v>0</v>
      </c>
      <c r="M473" s="5">
        <f t="shared" ref="M473" si="89">AVERAGE((SUM(E473:I473)), (SUM(E474:I474)), (SUM(E475:I475)), (SUM(E476:I476)), (SUM(E477:I477)))</f>
        <v>0</v>
      </c>
      <c r="N473" s="5">
        <f t="shared" ref="N473" si="90">AVERAGE((SUM(D473*0+E473*1+F473*2+G473*3+H473*4+I473*5)/(5*100)*100), (SUM(D474*0+E474*1+F474*2+G474*3+H474*4+I474*5)/(5*100)*100), (SUM(D475*0+E475*1+F475*2+G475*3+H475*4+I475*5)/(5*100)*100), (SUM(D476*0+E476*1+F476*2+G476*3+H476*4+I476*5)/(5*100)*100), (SUM(D477*0+E477*1+F477*2+G477*3+H477*4+I477*5)/(5*100)*100))</f>
        <v>0</v>
      </c>
      <c r="O473" s="5">
        <f t="shared" ref="O473" si="91">AVERAGE(I473:I477)</f>
        <v>0</v>
      </c>
    </row>
    <row r="474" spans="2:15" x14ac:dyDescent="0.2">
      <c r="B474" s="63"/>
      <c r="C474" s="16">
        <v>2</v>
      </c>
      <c r="D474" s="16">
        <f t="shared" si="73"/>
        <v>100</v>
      </c>
      <c r="E474" s="16">
        <v>0</v>
      </c>
      <c r="F474" s="16">
        <v>0</v>
      </c>
      <c r="G474" s="16">
        <v>0</v>
      </c>
      <c r="H474" s="16">
        <v>0</v>
      </c>
      <c r="I474" s="16">
        <v>0</v>
      </c>
      <c r="J474" s="16">
        <f t="shared" si="74"/>
        <v>0</v>
      </c>
      <c r="K474" s="16">
        <f t="shared" si="75"/>
        <v>0</v>
      </c>
      <c r="L474" s="16">
        <f t="shared" si="76"/>
        <v>0</v>
      </c>
      <c r="M474" s="5"/>
      <c r="N474" s="5"/>
      <c r="O474" s="5"/>
    </row>
    <row r="475" spans="2:15" x14ac:dyDescent="0.2">
      <c r="B475" s="63"/>
      <c r="C475" s="16">
        <v>3</v>
      </c>
      <c r="D475" s="16">
        <f t="shared" si="73"/>
        <v>100</v>
      </c>
      <c r="E475" s="16">
        <v>0</v>
      </c>
      <c r="F475" s="16">
        <v>0</v>
      </c>
      <c r="G475" s="16">
        <v>0</v>
      </c>
      <c r="H475" s="16">
        <v>0</v>
      </c>
      <c r="I475" s="16">
        <v>0</v>
      </c>
      <c r="J475" s="16">
        <f t="shared" si="74"/>
        <v>0</v>
      </c>
      <c r="K475" s="16">
        <f t="shared" si="75"/>
        <v>0</v>
      </c>
      <c r="L475" s="16">
        <f t="shared" si="76"/>
        <v>0</v>
      </c>
      <c r="M475" s="5"/>
      <c r="N475" s="5"/>
      <c r="O475" s="5"/>
    </row>
    <row r="476" spans="2:15" x14ac:dyDescent="0.2">
      <c r="B476" s="63"/>
      <c r="C476" s="16">
        <v>4</v>
      </c>
      <c r="D476" s="16">
        <f t="shared" si="73"/>
        <v>100</v>
      </c>
      <c r="E476" s="16">
        <v>0</v>
      </c>
      <c r="F476" s="16">
        <v>0</v>
      </c>
      <c r="G476" s="16">
        <v>0</v>
      </c>
      <c r="H476" s="16">
        <v>0</v>
      </c>
      <c r="I476" s="16">
        <v>0</v>
      </c>
      <c r="J476" s="16">
        <f t="shared" si="74"/>
        <v>0</v>
      </c>
      <c r="K476" s="16">
        <f t="shared" si="75"/>
        <v>0</v>
      </c>
      <c r="L476" s="16">
        <f t="shared" si="76"/>
        <v>0</v>
      </c>
      <c r="M476" s="5"/>
      <c r="N476" s="5"/>
      <c r="O476" s="5"/>
    </row>
    <row r="477" spans="2:15" x14ac:dyDescent="0.2">
      <c r="B477" s="63"/>
      <c r="C477" s="16">
        <v>5</v>
      </c>
      <c r="D477" s="16">
        <f t="shared" si="73"/>
        <v>100</v>
      </c>
      <c r="E477" s="16">
        <v>0</v>
      </c>
      <c r="F477" s="16">
        <v>0</v>
      </c>
      <c r="G477" s="16">
        <v>0</v>
      </c>
      <c r="H477" s="16">
        <v>0</v>
      </c>
      <c r="I477" s="16">
        <v>0</v>
      </c>
      <c r="J477" s="16">
        <f t="shared" si="74"/>
        <v>0</v>
      </c>
      <c r="K477" s="16">
        <f t="shared" si="75"/>
        <v>0</v>
      </c>
      <c r="L477" s="16">
        <f t="shared" si="76"/>
        <v>0</v>
      </c>
      <c r="M477" s="5"/>
      <c r="N477" s="5"/>
      <c r="O477" s="5"/>
    </row>
    <row r="478" spans="2:15" x14ac:dyDescent="0.2">
      <c r="B478" s="63" t="s">
        <v>594</v>
      </c>
      <c r="C478" s="16">
        <v>1</v>
      </c>
      <c r="D478" s="16">
        <f t="shared" si="73"/>
        <v>100</v>
      </c>
      <c r="E478" s="16">
        <v>0</v>
      </c>
      <c r="F478" s="16">
        <v>0</v>
      </c>
      <c r="G478" s="16">
        <v>0</v>
      </c>
      <c r="H478" s="16">
        <v>0</v>
      </c>
      <c r="I478" s="16">
        <v>0</v>
      </c>
      <c r="J478" s="16">
        <f t="shared" si="74"/>
        <v>0</v>
      </c>
      <c r="K478" s="16">
        <f t="shared" si="75"/>
        <v>0</v>
      </c>
      <c r="L478" s="16">
        <f t="shared" si="76"/>
        <v>0</v>
      </c>
      <c r="M478" s="5">
        <f t="shared" ref="M478" si="92">AVERAGE((SUM(E478:I478)), (SUM(E479:I479)), (SUM(E480:I480)), (SUM(E481:I481)), (SUM(E482:I482)))</f>
        <v>0</v>
      </c>
      <c r="N478" s="5">
        <f t="shared" ref="N478" si="93">AVERAGE((SUM(D478*0+E478*1+F478*2+G478*3+H478*4+I478*5)/(5*100)*100), (SUM(D479*0+E479*1+F479*2+G479*3+H479*4+I479*5)/(5*100)*100), (SUM(D480*0+E480*1+F480*2+G480*3+H480*4+I480*5)/(5*100)*100), (SUM(D481*0+E481*1+F481*2+G481*3+H481*4+I481*5)/(5*100)*100), (SUM(D482*0+E482*1+F482*2+G482*3+H482*4+I482*5)/(5*100)*100))</f>
        <v>0</v>
      </c>
      <c r="O478" s="5">
        <f t="shared" ref="O478" si="94">AVERAGE(I478:I482)</f>
        <v>0</v>
      </c>
    </row>
    <row r="479" spans="2:15" x14ac:dyDescent="0.2">
      <c r="B479" s="63"/>
      <c r="C479" s="16">
        <v>2</v>
      </c>
      <c r="D479" s="16">
        <f t="shared" si="73"/>
        <v>100</v>
      </c>
      <c r="E479" s="16">
        <v>0</v>
      </c>
      <c r="F479" s="16">
        <v>0</v>
      </c>
      <c r="G479" s="16">
        <v>0</v>
      </c>
      <c r="H479" s="16">
        <v>0</v>
      </c>
      <c r="I479" s="16">
        <v>0</v>
      </c>
      <c r="J479" s="16">
        <f t="shared" si="74"/>
        <v>0</v>
      </c>
      <c r="K479" s="16">
        <f t="shared" si="75"/>
        <v>0</v>
      </c>
      <c r="L479" s="16">
        <f t="shared" si="76"/>
        <v>0</v>
      </c>
      <c r="M479" s="5"/>
      <c r="N479" s="5"/>
      <c r="O479" s="5"/>
    </row>
    <row r="480" spans="2:15" x14ac:dyDescent="0.2">
      <c r="B480" s="63"/>
      <c r="C480" s="16">
        <v>3</v>
      </c>
      <c r="D480" s="16">
        <f t="shared" si="73"/>
        <v>100</v>
      </c>
      <c r="E480" s="16">
        <v>0</v>
      </c>
      <c r="F480" s="16">
        <v>0</v>
      </c>
      <c r="G480" s="16">
        <v>0</v>
      </c>
      <c r="H480" s="16">
        <v>0</v>
      </c>
      <c r="I480" s="16">
        <v>0</v>
      </c>
      <c r="J480" s="16">
        <f t="shared" si="74"/>
        <v>0</v>
      </c>
      <c r="K480" s="16">
        <f t="shared" si="75"/>
        <v>0</v>
      </c>
      <c r="L480" s="16">
        <f t="shared" si="76"/>
        <v>0</v>
      </c>
      <c r="M480" s="5"/>
      <c r="N480" s="5"/>
      <c r="O480" s="5"/>
    </row>
    <row r="481" spans="2:15" x14ac:dyDescent="0.2">
      <c r="B481" s="63"/>
      <c r="C481" s="16">
        <v>4</v>
      </c>
      <c r="D481" s="16">
        <f t="shared" si="73"/>
        <v>100</v>
      </c>
      <c r="E481" s="16">
        <v>0</v>
      </c>
      <c r="F481" s="16">
        <v>0</v>
      </c>
      <c r="G481" s="16">
        <v>0</v>
      </c>
      <c r="H481" s="16">
        <v>0</v>
      </c>
      <c r="I481" s="16">
        <v>0</v>
      </c>
      <c r="J481" s="16">
        <f t="shared" si="74"/>
        <v>0</v>
      </c>
      <c r="K481" s="16">
        <f t="shared" si="75"/>
        <v>0</v>
      </c>
      <c r="L481" s="16">
        <f t="shared" si="76"/>
        <v>0</v>
      </c>
      <c r="M481" s="5"/>
      <c r="N481" s="5"/>
      <c r="O481" s="5"/>
    </row>
    <row r="482" spans="2:15" x14ac:dyDescent="0.2">
      <c r="B482" s="63"/>
      <c r="C482" s="16">
        <v>5</v>
      </c>
      <c r="D482" s="16">
        <f t="shared" si="73"/>
        <v>100</v>
      </c>
      <c r="E482" s="16">
        <v>0</v>
      </c>
      <c r="F482" s="16">
        <v>0</v>
      </c>
      <c r="G482" s="16">
        <v>0</v>
      </c>
      <c r="H482" s="16">
        <v>0</v>
      </c>
      <c r="I482" s="16">
        <v>0</v>
      </c>
      <c r="J482" s="16">
        <f t="shared" si="74"/>
        <v>0</v>
      </c>
      <c r="K482" s="16">
        <f t="shared" si="75"/>
        <v>0</v>
      </c>
      <c r="L482" s="16">
        <f t="shared" si="76"/>
        <v>0</v>
      </c>
      <c r="M482" s="5"/>
      <c r="N482" s="5"/>
      <c r="O482" s="5"/>
    </row>
    <row r="483" spans="2:15" x14ac:dyDescent="0.2">
      <c r="B483" s="63" t="s">
        <v>595</v>
      </c>
      <c r="C483" s="16">
        <v>1</v>
      </c>
      <c r="D483" s="16">
        <f t="shared" si="73"/>
        <v>99</v>
      </c>
      <c r="E483" s="16">
        <v>0</v>
      </c>
      <c r="F483" s="16">
        <v>1</v>
      </c>
      <c r="G483" s="16">
        <v>0</v>
      </c>
      <c r="H483" s="16">
        <v>0</v>
      </c>
      <c r="I483" s="16">
        <v>0</v>
      </c>
      <c r="J483" s="16">
        <f t="shared" si="74"/>
        <v>1</v>
      </c>
      <c r="K483" s="16">
        <f t="shared" si="75"/>
        <v>0.4</v>
      </c>
      <c r="L483" s="16">
        <f t="shared" si="76"/>
        <v>0</v>
      </c>
      <c r="M483" s="5">
        <f t="shared" ref="M483" si="95">AVERAGE((SUM(E483:I483)), (SUM(E484:I484)), (SUM(E485:I485)), (SUM(E486:I486)), (SUM(E487:I487)))</f>
        <v>0.4</v>
      </c>
      <c r="N483" s="5">
        <f t="shared" ref="N483" si="96">AVERAGE((SUM(D483*0+E483*1+F483*2+G483*3+H483*4+I483*5)/(5*100)*100), (SUM(D484*0+E484*1+F484*2+G484*3+H484*4+I484*5)/(5*100)*100), (SUM(D485*0+E485*1+F485*2+G485*3+H485*4+I485*5)/(5*100)*100), (SUM(D486*0+E486*1+F486*2+G486*3+H486*4+I486*5)/(5*100)*100), (SUM(D487*0+E487*1+F487*2+G487*3+H487*4+I487*5)/(5*100)*100))</f>
        <v>0.12000000000000002</v>
      </c>
      <c r="O483" s="5">
        <f t="shared" ref="O483" si="97">AVERAGE(I483:I487)</f>
        <v>0</v>
      </c>
    </row>
    <row r="484" spans="2:15" x14ac:dyDescent="0.2">
      <c r="B484" s="63"/>
      <c r="C484" s="16">
        <v>2</v>
      </c>
      <c r="D484" s="16">
        <f t="shared" si="73"/>
        <v>99</v>
      </c>
      <c r="E484" s="16">
        <v>1</v>
      </c>
      <c r="F484" s="16">
        <v>0</v>
      </c>
      <c r="G484" s="16">
        <v>0</v>
      </c>
      <c r="H484" s="16">
        <v>0</v>
      </c>
      <c r="I484" s="16">
        <v>0</v>
      </c>
      <c r="J484" s="16">
        <f t="shared" si="74"/>
        <v>1</v>
      </c>
      <c r="K484" s="16">
        <f t="shared" si="75"/>
        <v>0.2</v>
      </c>
      <c r="L484" s="16">
        <f t="shared" si="76"/>
        <v>0</v>
      </c>
      <c r="M484" s="5"/>
      <c r="N484" s="5"/>
      <c r="O484" s="5"/>
    </row>
    <row r="485" spans="2:15" x14ac:dyDescent="0.2">
      <c r="B485" s="63"/>
      <c r="C485" s="16">
        <v>3</v>
      </c>
      <c r="D485" s="16">
        <f t="shared" si="73"/>
        <v>100</v>
      </c>
      <c r="E485" s="16">
        <v>0</v>
      </c>
      <c r="F485" s="16">
        <v>0</v>
      </c>
      <c r="G485" s="16">
        <v>0</v>
      </c>
      <c r="H485" s="16">
        <v>0</v>
      </c>
      <c r="I485" s="16">
        <v>0</v>
      </c>
      <c r="J485" s="16">
        <f t="shared" si="74"/>
        <v>0</v>
      </c>
      <c r="K485" s="16">
        <f t="shared" si="75"/>
        <v>0</v>
      </c>
      <c r="L485" s="16">
        <f t="shared" si="76"/>
        <v>0</v>
      </c>
      <c r="M485" s="5"/>
      <c r="N485" s="5"/>
      <c r="O485" s="5"/>
    </row>
    <row r="486" spans="2:15" x14ac:dyDescent="0.2">
      <c r="B486" s="63"/>
      <c r="C486" s="16">
        <v>4</v>
      </c>
      <c r="D486" s="16">
        <f t="shared" si="73"/>
        <v>100</v>
      </c>
      <c r="E486" s="16">
        <v>0</v>
      </c>
      <c r="F486" s="16">
        <v>0</v>
      </c>
      <c r="G486" s="16">
        <v>0</v>
      </c>
      <c r="H486" s="16">
        <v>0</v>
      </c>
      <c r="I486" s="16">
        <v>0</v>
      </c>
      <c r="J486" s="16">
        <f t="shared" si="74"/>
        <v>0</v>
      </c>
      <c r="K486" s="16">
        <f t="shared" si="75"/>
        <v>0</v>
      </c>
      <c r="L486" s="16">
        <f t="shared" si="76"/>
        <v>0</v>
      </c>
      <c r="M486" s="5"/>
      <c r="N486" s="5"/>
      <c r="O486" s="5"/>
    </row>
    <row r="487" spans="2:15" x14ac:dyDescent="0.2">
      <c r="B487" s="63"/>
      <c r="C487" s="16">
        <v>5</v>
      </c>
      <c r="D487" s="16">
        <f t="shared" si="73"/>
        <v>100</v>
      </c>
      <c r="E487" s="16">
        <v>0</v>
      </c>
      <c r="F487" s="16">
        <v>0</v>
      </c>
      <c r="G487" s="16">
        <v>0</v>
      </c>
      <c r="H487" s="16">
        <v>0</v>
      </c>
      <c r="I487" s="16">
        <v>0</v>
      </c>
      <c r="J487" s="16">
        <f t="shared" si="74"/>
        <v>0</v>
      </c>
      <c r="K487" s="16">
        <f t="shared" si="75"/>
        <v>0</v>
      </c>
      <c r="L487" s="16">
        <f t="shared" si="76"/>
        <v>0</v>
      </c>
      <c r="M487" s="5"/>
      <c r="N487" s="5"/>
      <c r="O487" s="5"/>
    </row>
    <row r="488" spans="2:15" x14ac:dyDescent="0.2">
      <c r="B488" s="63" t="s">
        <v>596</v>
      </c>
      <c r="C488" s="16">
        <v>1</v>
      </c>
      <c r="D488" s="16">
        <f t="shared" si="73"/>
        <v>67</v>
      </c>
      <c r="E488" s="16">
        <v>21</v>
      </c>
      <c r="F488" s="16">
        <v>0</v>
      </c>
      <c r="G488" s="16">
        <v>0</v>
      </c>
      <c r="H488" s="16">
        <v>0</v>
      </c>
      <c r="I488" s="16">
        <v>12</v>
      </c>
      <c r="J488" s="16">
        <f t="shared" si="74"/>
        <v>33</v>
      </c>
      <c r="K488" s="16">
        <f t="shared" si="75"/>
        <v>16.2</v>
      </c>
      <c r="L488" s="16">
        <f t="shared" si="76"/>
        <v>12</v>
      </c>
      <c r="M488" s="5">
        <f t="shared" ref="M488" si="98">AVERAGE((SUM(E488:I488)), (SUM(E489:I489)), (SUM(E490:I490)), (SUM(E491:I491)), (SUM(E492:I492)))</f>
        <v>6.6</v>
      </c>
      <c r="N488" s="5">
        <f t="shared" ref="N488" si="99">AVERAGE((SUM(D488*0+E488*1+F488*2+G488*3+H488*4+I488*5)/(5*100)*100), (SUM(D489*0+E489*1+F489*2+G489*3+H489*4+I489*5)/(5*100)*100), (SUM(D490*0+E490*1+F490*2+G490*3+H490*4+I490*5)/(5*100)*100), (SUM(D491*0+E491*1+F491*2+G491*3+H491*4+I491*5)/(5*100)*100), (SUM(D492*0+E492*1+F492*2+G492*3+H492*4+I492*5)/(5*100)*100))</f>
        <v>3.2399999999999998</v>
      </c>
      <c r="O488" s="5">
        <f t="shared" ref="O488" si="100">AVERAGE(I488:I492)</f>
        <v>2.4</v>
      </c>
    </row>
    <row r="489" spans="2:15" x14ac:dyDescent="0.2">
      <c r="B489" s="63"/>
      <c r="C489" s="16">
        <v>2</v>
      </c>
      <c r="D489" s="16">
        <f t="shared" si="73"/>
        <v>100</v>
      </c>
      <c r="E489" s="16">
        <v>0</v>
      </c>
      <c r="F489" s="16">
        <v>0</v>
      </c>
      <c r="G489" s="16">
        <v>0</v>
      </c>
      <c r="H489" s="16">
        <v>0</v>
      </c>
      <c r="I489" s="16">
        <v>0</v>
      </c>
      <c r="J489" s="16">
        <f t="shared" si="74"/>
        <v>0</v>
      </c>
      <c r="K489" s="16">
        <f t="shared" si="75"/>
        <v>0</v>
      </c>
      <c r="L489" s="16">
        <f t="shared" si="76"/>
        <v>0</v>
      </c>
      <c r="M489" s="5"/>
      <c r="N489" s="5"/>
      <c r="O489" s="5"/>
    </row>
    <row r="490" spans="2:15" x14ac:dyDescent="0.2">
      <c r="B490" s="63"/>
      <c r="C490" s="16">
        <v>3</v>
      </c>
      <c r="D490" s="16">
        <f t="shared" si="73"/>
        <v>100</v>
      </c>
      <c r="E490" s="16">
        <v>0</v>
      </c>
      <c r="F490" s="16">
        <v>0</v>
      </c>
      <c r="G490" s="16">
        <v>0</v>
      </c>
      <c r="H490" s="16">
        <v>0</v>
      </c>
      <c r="I490" s="16">
        <v>0</v>
      </c>
      <c r="J490" s="16">
        <f t="shared" si="74"/>
        <v>0</v>
      </c>
      <c r="K490" s="16">
        <f t="shared" si="75"/>
        <v>0</v>
      </c>
      <c r="L490" s="16">
        <f t="shared" si="76"/>
        <v>0</v>
      </c>
      <c r="M490" s="5"/>
      <c r="N490" s="5"/>
      <c r="O490" s="5"/>
    </row>
    <row r="491" spans="2:15" x14ac:dyDescent="0.2">
      <c r="B491" s="63"/>
      <c r="C491" s="16">
        <v>4</v>
      </c>
      <c r="D491" s="16">
        <f t="shared" si="73"/>
        <v>100</v>
      </c>
      <c r="E491" s="16">
        <v>0</v>
      </c>
      <c r="F491" s="16">
        <v>0</v>
      </c>
      <c r="G491" s="16">
        <v>0</v>
      </c>
      <c r="H491" s="16">
        <v>0</v>
      </c>
      <c r="I491" s="16">
        <v>0</v>
      </c>
      <c r="J491" s="16">
        <f t="shared" si="74"/>
        <v>0</v>
      </c>
      <c r="K491" s="16">
        <f t="shared" si="75"/>
        <v>0</v>
      </c>
      <c r="L491" s="16">
        <f t="shared" si="76"/>
        <v>0</v>
      </c>
      <c r="M491" s="5"/>
      <c r="N491" s="5"/>
      <c r="O491" s="5"/>
    </row>
    <row r="492" spans="2:15" x14ac:dyDescent="0.2">
      <c r="B492" s="63"/>
      <c r="C492" s="16">
        <v>5</v>
      </c>
      <c r="D492" s="16">
        <f t="shared" si="73"/>
        <v>100</v>
      </c>
      <c r="E492" s="16">
        <v>0</v>
      </c>
      <c r="F492" s="16">
        <v>0</v>
      </c>
      <c r="G492" s="16">
        <v>0</v>
      </c>
      <c r="H492" s="16">
        <v>0</v>
      </c>
      <c r="I492" s="16">
        <v>0</v>
      </c>
      <c r="J492" s="16">
        <f t="shared" si="74"/>
        <v>0</v>
      </c>
      <c r="K492" s="16">
        <f t="shared" si="75"/>
        <v>0</v>
      </c>
      <c r="L492" s="16">
        <f t="shared" si="76"/>
        <v>0</v>
      </c>
      <c r="M492" s="5"/>
      <c r="N492" s="5"/>
      <c r="O492" s="5"/>
    </row>
    <row r="493" spans="2:15" x14ac:dyDescent="0.2">
      <c r="B493" s="63" t="s">
        <v>597</v>
      </c>
      <c r="C493" s="16">
        <v>1</v>
      </c>
      <c r="D493" s="16">
        <f t="shared" si="73"/>
        <v>100</v>
      </c>
      <c r="E493" s="16">
        <v>0</v>
      </c>
      <c r="F493" s="16">
        <v>0</v>
      </c>
      <c r="G493" s="16">
        <v>0</v>
      </c>
      <c r="H493" s="16">
        <v>0</v>
      </c>
      <c r="I493" s="16">
        <v>0</v>
      </c>
      <c r="J493" s="16">
        <f t="shared" si="74"/>
        <v>0</v>
      </c>
      <c r="K493" s="16">
        <f t="shared" si="75"/>
        <v>0</v>
      </c>
      <c r="L493" s="16">
        <f t="shared" si="76"/>
        <v>0</v>
      </c>
      <c r="M493" s="5">
        <f t="shared" ref="M493" si="101">AVERAGE((SUM(E493:I493)), (SUM(E494:I494)), (SUM(E495:I495)), (SUM(E496:I496)), (SUM(E497:I497)))</f>
        <v>0</v>
      </c>
      <c r="N493" s="5">
        <f t="shared" ref="N493" si="102">AVERAGE((SUM(D493*0+E493*1+F493*2+G493*3+H493*4+I493*5)/(5*100)*100), (SUM(D494*0+E494*1+F494*2+G494*3+H494*4+I494*5)/(5*100)*100), (SUM(D495*0+E495*1+F495*2+G495*3+H495*4+I495*5)/(5*100)*100), (SUM(D496*0+E496*1+F496*2+G496*3+H496*4+I496*5)/(5*100)*100), (SUM(D497*0+E497*1+F497*2+G497*3+H497*4+I497*5)/(5*100)*100))</f>
        <v>0</v>
      </c>
      <c r="O493" s="5">
        <f t="shared" ref="O493" si="103">AVERAGE(I493:I497)</f>
        <v>0</v>
      </c>
    </row>
    <row r="494" spans="2:15" x14ac:dyDescent="0.2">
      <c r="B494" s="63"/>
      <c r="C494" s="16">
        <v>2</v>
      </c>
      <c r="D494" s="16">
        <f t="shared" si="73"/>
        <v>100</v>
      </c>
      <c r="E494" s="16">
        <v>0</v>
      </c>
      <c r="F494" s="16">
        <v>0</v>
      </c>
      <c r="G494" s="16">
        <v>0</v>
      </c>
      <c r="H494" s="16">
        <v>0</v>
      </c>
      <c r="I494" s="16">
        <v>0</v>
      </c>
      <c r="J494" s="16">
        <f t="shared" si="74"/>
        <v>0</v>
      </c>
      <c r="K494" s="16">
        <f t="shared" si="75"/>
        <v>0</v>
      </c>
      <c r="L494" s="16">
        <f t="shared" si="76"/>
        <v>0</v>
      </c>
      <c r="M494" s="5"/>
      <c r="N494" s="5"/>
      <c r="O494" s="5"/>
    </row>
    <row r="495" spans="2:15" x14ac:dyDescent="0.2">
      <c r="B495" s="63"/>
      <c r="C495" s="16">
        <v>3</v>
      </c>
      <c r="D495" s="16">
        <f t="shared" si="73"/>
        <v>100</v>
      </c>
      <c r="E495" s="16">
        <v>0</v>
      </c>
      <c r="F495" s="16">
        <v>0</v>
      </c>
      <c r="G495" s="16">
        <v>0</v>
      </c>
      <c r="H495" s="16">
        <v>0</v>
      </c>
      <c r="I495" s="16">
        <v>0</v>
      </c>
      <c r="J495" s="16">
        <f t="shared" si="74"/>
        <v>0</v>
      </c>
      <c r="K495" s="16">
        <f t="shared" si="75"/>
        <v>0</v>
      </c>
      <c r="L495" s="16">
        <f t="shared" si="76"/>
        <v>0</v>
      </c>
      <c r="M495" s="5"/>
      <c r="N495" s="5"/>
      <c r="O495" s="5"/>
    </row>
    <row r="496" spans="2:15" x14ac:dyDescent="0.2">
      <c r="B496" s="63"/>
      <c r="C496" s="16">
        <v>4</v>
      </c>
      <c r="D496" s="16">
        <f t="shared" si="73"/>
        <v>100</v>
      </c>
      <c r="E496" s="16">
        <v>0</v>
      </c>
      <c r="F496" s="16">
        <v>0</v>
      </c>
      <c r="G496" s="16">
        <v>0</v>
      </c>
      <c r="H496" s="16">
        <v>0</v>
      </c>
      <c r="I496" s="16">
        <v>0</v>
      </c>
      <c r="J496" s="16">
        <f t="shared" si="74"/>
        <v>0</v>
      </c>
      <c r="K496" s="16">
        <f t="shared" si="75"/>
        <v>0</v>
      </c>
      <c r="L496" s="16">
        <f t="shared" si="76"/>
        <v>0</v>
      </c>
      <c r="M496" s="5"/>
      <c r="N496" s="5"/>
      <c r="O496" s="5"/>
    </row>
    <row r="497" spans="2:15" x14ac:dyDescent="0.2">
      <c r="B497" s="63"/>
      <c r="C497" s="16">
        <v>5</v>
      </c>
      <c r="D497" s="16">
        <f t="shared" si="73"/>
        <v>100</v>
      </c>
      <c r="E497" s="16">
        <v>0</v>
      </c>
      <c r="F497" s="16">
        <v>0</v>
      </c>
      <c r="G497" s="16">
        <v>0</v>
      </c>
      <c r="H497" s="16">
        <v>0</v>
      </c>
      <c r="I497" s="16">
        <v>0</v>
      </c>
      <c r="J497" s="16">
        <f t="shared" si="74"/>
        <v>0</v>
      </c>
      <c r="K497" s="16">
        <f t="shared" si="75"/>
        <v>0</v>
      </c>
      <c r="L497" s="16">
        <f t="shared" si="76"/>
        <v>0</v>
      </c>
      <c r="M497" s="5"/>
      <c r="N497" s="5"/>
      <c r="O497" s="5"/>
    </row>
    <row r="498" spans="2:15" x14ac:dyDescent="0.2">
      <c r="B498" s="63" t="s">
        <v>598</v>
      </c>
      <c r="C498" s="16">
        <v>1</v>
      </c>
      <c r="D498" s="16">
        <f t="shared" si="73"/>
        <v>86</v>
      </c>
      <c r="E498" s="16">
        <v>14</v>
      </c>
      <c r="F498" s="16">
        <v>0</v>
      </c>
      <c r="G498" s="16">
        <v>0</v>
      </c>
      <c r="H498" s="16">
        <v>0</v>
      </c>
      <c r="I498" s="16">
        <v>0</v>
      </c>
      <c r="J498" s="16">
        <f t="shared" si="74"/>
        <v>14</v>
      </c>
      <c r="K498" s="16">
        <f t="shared" si="75"/>
        <v>2.8000000000000003</v>
      </c>
      <c r="L498" s="16">
        <f t="shared" si="76"/>
        <v>0</v>
      </c>
      <c r="M498" s="5">
        <f t="shared" ref="M498" si="104">AVERAGE((SUM(E498:I498)), (SUM(E499:I499)), (SUM(E500:I500)), (SUM(E501:I501)), (SUM(E502:I502)))</f>
        <v>2.8</v>
      </c>
      <c r="N498" s="5">
        <f t="shared" ref="N498" si="105">AVERAGE((SUM(D498*0+E498*1+F498*2+G498*3+H498*4+I498*5)/(5*100)*100), (SUM(D499*0+E499*1+F499*2+G499*3+H499*4+I499*5)/(5*100)*100), (SUM(D500*0+E500*1+F500*2+G500*3+H500*4+I500*5)/(5*100)*100), (SUM(D501*0+E501*1+F501*2+G501*3+H501*4+I501*5)/(5*100)*100), (SUM(D502*0+E502*1+F502*2+G502*3+H502*4+I502*5)/(5*100)*100))</f>
        <v>0.56000000000000005</v>
      </c>
      <c r="O498" s="5">
        <f t="shared" ref="O498" si="106">AVERAGE(I498:I502)</f>
        <v>0</v>
      </c>
    </row>
    <row r="499" spans="2:15" x14ac:dyDescent="0.2">
      <c r="B499" s="63"/>
      <c r="C499" s="16">
        <v>2</v>
      </c>
      <c r="D499" s="16">
        <f t="shared" si="73"/>
        <v>100</v>
      </c>
      <c r="E499" s="16">
        <v>0</v>
      </c>
      <c r="F499" s="16">
        <v>0</v>
      </c>
      <c r="G499" s="16">
        <v>0</v>
      </c>
      <c r="H499" s="16">
        <v>0</v>
      </c>
      <c r="I499" s="16">
        <v>0</v>
      </c>
      <c r="J499" s="16">
        <f t="shared" si="74"/>
        <v>0</v>
      </c>
      <c r="K499" s="16">
        <f t="shared" si="75"/>
        <v>0</v>
      </c>
      <c r="L499" s="16">
        <f t="shared" si="76"/>
        <v>0</v>
      </c>
      <c r="M499" s="5"/>
      <c r="N499" s="5"/>
      <c r="O499" s="5"/>
    </row>
    <row r="500" spans="2:15" x14ac:dyDescent="0.2">
      <c r="B500" s="63"/>
      <c r="C500" s="16">
        <v>3</v>
      </c>
      <c r="D500" s="16">
        <f t="shared" si="73"/>
        <v>100</v>
      </c>
      <c r="E500" s="16">
        <v>0</v>
      </c>
      <c r="F500" s="16">
        <v>0</v>
      </c>
      <c r="G500" s="16">
        <v>0</v>
      </c>
      <c r="H500" s="16">
        <v>0</v>
      </c>
      <c r="I500" s="16">
        <v>0</v>
      </c>
      <c r="J500" s="16">
        <f t="shared" si="74"/>
        <v>0</v>
      </c>
      <c r="K500" s="16">
        <f t="shared" si="75"/>
        <v>0</v>
      </c>
      <c r="L500" s="16">
        <f t="shared" si="76"/>
        <v>0</v>
      </c>
      <c r="M500" s="5"/>
      <c r="N500" s="5"/>
      <c r="O500" s="5"/>
    </row>
    <row r="501" spans="2:15" x14ac:dyDescent="0.2">
      <c r="B501" s="63"/>
      <c r="C501" s="16">
        <v>4</v>
      </c>
      <c r="D501" s="16">
        <f t="shared" si="73"/>
        <v>100</v>
      </c>
      <c r="E501" s="16">
        <v>0</v>
      </c>
      <c r="F501" s="16">
        <v>0</v>
      </c>
      <c r="G501" s="16">
        <v>0</v>
      </c>
      <c r="H501" s="16">
        <v>0</v>
      </c>
      <c r="I501" s="16">
        <v>0</v>
      </c>
      <c r="J501" s="16">
        <f t="shared" si="74"/>
        <v>0</v>
      </c>
      <c r="K501" s="16">
        <f t="shared" si="75"/>
        <v>0</v>
      </c>
      <c r="L501" s="16">
        <f t="shared" si="76"/>
        <v>0</v>
      </c>
      <c r="M501" s="5"/>
      <c r="N501" s="5"/>
      <c r="O501" s="5"/>
    </row>
    <row r="502" spans="2:15" x14ac:dyDescent="0.2">
      <c r="B502" s="63"/>
      <c r="C502" s="16">
        <v>5</v>
      </c>
      <c r="D502" s="16">
        <f t="shared" si="73"/>
        <v>100</v>
      </c>
      <c r="E502" s="16">
        <v>0</v>
      </c>
      <c r="F502" s="16">
        <v>0</v>
      </c>
      <c r="G502" s="16">
        <v>0</v>
      </c>
      <c r="H502" s="16">
        <v>0</v>
      </c>
      <c r="I502" s="16">
        <v>0</v>
      </c>
      <c r="J502" s="16">
        <f t="shared" si="74"/>
        <v>0</v>
      </c>
      <c r="K502" s="16">
        <f t="shared" si="75"/>
        <v>0</v>
      </c>
      <c r="L502" s="16">
        <f t="shared" si="76"/>
        <v>0</v>
      </c>
      <c r="M502" s="5"/>
      <c r="N502" s="5"/>
      <c r="O502" s="5"/>
    </row>
    <row r="503" spans="2:15" x14ac:dyDescent="0.2">
      <c r="B503" s="63" t="s">
        <v>599</v>
      </c>
      <c r="C503" s="16">
        <v>1</v>
      </c>
      <c r="D503" s="16">
        <f t="shared" si="73"/>
        <v>100</v>
      </c>
      <c r="E503" s="16">
        <v>0</v>
      </c>
      <c r="F503" s="16">
        <v>0</v>
      </c>
      <c r="G503" s="16">
        <v>0</v>
      </c>
      <c r="H503" s="16">
        <v>0</v>
      </c>
      <c r="I503" s="16">
        <v>0</v>
      </c>
      <c r="J503" s="16">
        <f t="shared" si="74"/>
        <v>0</v>
      </c>
      <c r="K503" s="16">
        <f t="shared" si="75"/>
        <v>0</v>
      </c>
      <c r="L503" s="16">
        <f t="shared" si="76"/>
        <v>0</v>
      </c>
      <c r="M503" s="5">
        <f t="shared" ref="M503" si="107">AVERAGE((SUM(E503:I503)), (SUM(E504:I504)), (SUM(E505:I505)), (SUM(E506:I506)), (SUM(E507:I507)))</f>
        <v>0</v>
      </c>
      <c r="N503" s="5">
        <f t="shared" ref="N503" si="108">AVERAGE((SUM(D503*0+E503*1+F503*2+G503*3+H503*4+I503*5)/(5*100)*100), (SUM(D504*0+E504*1+F504*2+G504*3+H504*4+I504*5)/(5*100)*100), (SUM(D505*0+E505*1+F505*2+G505*3+H505*4+I505*5)/(5*100)*100), (SUM(D506*0+E506*1+F506*2+G506*3+H506*4+I506*5)/(5*100)*100), (SUM(D507*0+E507*1+F507*2+G507*3+H507*4+I507*5)/(5*100)*100))</f>
        <v>0</v>
      </c>
      <c r="O503" s="5">
        <f t="shared" ref="O503" si="109">AVERAGE(I503:I507)</f>
        <v>0</v>
      </c>
    </row>
    <row r="504" spans="2:15" x14ac:dyDescent="0.2">
      <c r="B504" s="63"/>
      <c r="C504" s="16">
        <v>2</v>
      </c>
      <c r="D504" s="16">
        <f t="shared" si="73"/>
        <v>100</v>
      </c>
      <c r="E504" s="16">
        <v>0</v>
      </c>
      <c r="F504" s="16">
        <v>0</v>
      </c>
      <c r="G504" s="16">
        <v>0</v>
      </c>
      <c r="H504" s="16">
        <v>0</v>
      </c>
      <c r="I504" s="16">
        <v>0</v>
      </c>
      <c r="J504" s="16">
        <f t="shared" si="74"/>
        <v>0</v>
      </c>
      <c r="K504" s="16">
        <f t="shared" si="75"/>
        <v>0</v>
      </c>
      <c r="L504" s="16">
        <f t="shared" si="76"/>
        <v>0</v>
      </c>
      <c r="M504" s="5"/>
      <c r="N504" s="5"/>
      <c r="O504" s="5"/>
    </row>
    <row r="505" spans="2:15" x14ac:dyDescent="0.2">
      <c r="B505" s="63"/>
      <c r="C505" s="16">
        <v>3</v>
      </c>
      <c r="D505" s="16">
        <f t="shared" si="73"/>
        <v>100</v>
      </c>
      <c r="E505" s="16">
        <v>0</v>
      </c>
      <c r="F505" s="16">
        <v>0</v>
      </c>
      <c r="G505" s="16">
        <v>0</v>
      </c>
      <c r="H505" s="16">
        <v>0</v>
      </c>
      <c r="I505" s="16">
        <v>0</v>
      </c>
      <c r="J505" s="16">
        <f t="shared" si="74"/>
        <v>0</v>
      </c>
      <c r="K505" s="16">
        <f t="shared" si="75"/>
        <v>0</v>
      </c>
      <c r="L505" s="16">
        <f t="shared" si="76"/>
        <v>0</v>
      </c>
      <c r="M505" s="5"/>
      <c r="N505" s="5"/>
      <c r="O505" s="5"/>
    </row>
    <row r="506" spans="2:15" x14ac:dyDescent="0.2">
      <c r="B506" s="63"/>
      <c r="C506" s="16">
        <v>4</v>
      </c>
      <c r="D506" s="16">
        <f t="shared" si="73"/>
        <v>100</v>
      </c>
      <c r="E506" s="16">
        <v>0</v>
      </c>
      <c r="F506" s="16">
        <v>0</v>
      </c>
      <c r="G506" s="16">
        <v>0</v>
      </c>
      <c r="H506" s="16">
        <v>0</v>
      </c>
      <c r="I506" s="16">
        <v>0</v>
      </c>
      <c r="J506" s="16">
        <f t="shared" si="74"/>
        <v>0</v>
      </c>
      <c r="K506" s="16">
        <f t="shared" si="75"/>
        <v>0</v>
      </c>
      <c r="L506" s="16">
        <f t="shared" si="76"/>
        <v>0</v>
      </c>
      <c r="M506" s="5"/>
      <c r="N506" s="5"/>
      <c r="O506" s="5"/>
    </row>
    <row r="507" spans="2:15" x14ac:dyDescent="0.2">
      <c r="B507" s="63"/>
      <c r="C507" s="16">
        <v>5</v>
      </c>
      <c r="D507" s="16">
        <f t="shared" si="73"/>
        <v>100</v>
      </c>
      <c r="E507" s="16">
        <v>0</v>
      </c>
      <c r="F507" s="16">
        <v>0</v>
      </c>
      <c r="G507" s="16">
        <v>0</v>
      </c>
      <c r="H507" s="16">
        <v>0</v>
      </c>
      <c r="I507" s="16">
        <v>0</v>
      </c>
      <c r="J507" s="16">
        <f t="shared" si="74"/>
        <v>0</v>
      </c>
      <c r="K507" s="16">
        <f t="shared" si="75"/>
        <v>0</v>
      </c>
      <c r="L507" s="16">
        <f t="shared" si="76"/>
        <v>0</v>
      </c>
      <c r="M507" s="5"/>
      <c r="N507" s="5"/>
      <c r="O507" s="5"/>
    </row>
    <row r="508" spans="2:15" x14ac:dyDescent="0.2">
      <c r="B508" s="63" t="s">
        <v>600</v>
      </c>
      <c r="C508" s="16">
        <v>1</v>
      </c>
      <c r="D508" s="16">
        <f t="shared" si="73"/>
        <v>90</v>
      </c>
      <c r="E508" s="16">
        <v>0</v>
      </c>
      <c r="F508" s="16">
        <v>0</v>
      </c>
      <c r="G508" s="16">
        <v>0</v>
      </c>
      <c r="H508" s="16">
        <v>0</v>
      </c>
      <c r="I508" s="16">
        <v>10</v>
      </c>
      <c r="J508" s="16">
        <f t="shared" si="74"/>
        <v>10</v>
      </c>
      <c r="K508" s="16">
        <f t="shared" si="75"/>
        <v>10</v>
      </c>
      <c r="L508" s="16">
        <f t="shared" si="76"/>
        <v>10</v>
      </c>
      <c r="M508" s="5">
        <f t="shared" ref="M508" si="110">AVERAGE((SUM(E508:I508)), (SUM(E509:I509)), (SUM(E510:I510)), (SUM(E511:I511)), (SUM(E512:I512)))</f>
        <v>2</v>
      </c>
      <c r="N508" s="5">
        <f t="shared" ref="N508" si="111">AVERAGE((SUM(D508*0+E508*1+F508*2+G508*3+H508*4+I508*5)/(5*100)*100), (SUM(D509*0+E509*1+F509*2+G509*3+H509*4+I509*5)/(5*100)*100), (SUM(D510*0+E510*1+F510*2+G510*3+H510*4+I510*5)/(5*100)*100), (SUM(D511*0+E511*1+F511*2+G511*3+H511*4+I511*5)/(5*100)*100), (SUM(D512*0+E512*1+F512*2+G512*3+H512*4+I512*5)/(5*100)*100))</f>
        <v>2</v>
      </c>
      <c r="O508" s="5">
        <f t="shared" ref="O508" si="112">AVERAGE(I508:I512)</f>
        <v>2</v>
      </c>
    </row>
    <row r="509" spans="2:15" x14ac:dyDescent="0.2">
      <c r="B509" s="63"/>
      <c r="C509" s="16">
        <v>2</v>
      </c>
      <c r="D509" s="16">
        <f t="shared" si="73"/>
        <v>100</v>
      </c>
      <c r="E509" s="16">
        <v>0</v>
      </c>
      <c r="F509" s="16">
        <v>0</v>
      </c>
      <c r="G509" s="16">
        <v>0</v>
      </c>
      <c r="H509" s="16">
        <v>0</v>
      </c>
      <c r="I509" s="16">
        <v>0</v>
      </c>
      <c r="J509" s="16">
        <f t="shared" si="74"/>
        <v>0</v>
      </c>
      <c r="K509" s="16">
        <f t="shared" si="75"/>
        <v>0</v>
      </c>
      <c r="L509" s="16">
        <f t="shared" si="76"/>
        <v>0</v>
      </c>
      <c r="M509" s="5"/>
      <c r="N509" s="5"/>
      <c r="O509" s="5"/>
    </row>
    <row r="510" spans="2:15" x14ac:dyDescent="0.2">
      <c r="B510" s="63"/>
      <c r="C510" s="16">
        <v>3</v>
      </c>
      <c r="D510" s="16">
        <f t="shared" si="73"/>
        <v>100</v>
      </c>
      <c r="E510" s="16">
        <v>0</v>
      </c>
      <c r="F510" s="16">
        <v>0</v>
      </c>
      <c r="G510" s="16">
        <v>0</v>
      </c>
      <c r="H510" s="16">
        <v>0</v>
      </c>
      <c r="I510" s="16">
        <v>0</v>
      </c>
      <c r="J510" s="16">
        <f t="shared" si="74"/>
        <v>0</v>
      </c>
      <c r="K510" s="16">
        <f t="shared" si="75"/>
        <v>0</v>
      </c>
      <c r="L510" s="16">
        <f t="shared" si="76"/>
        <v>0</v>
      </c>
      <c r="M510" s="5"/>
      <c r="N510" s="5"/>
      <c r="O510" s="5"/>
    </row>
    <row r="511" spans="2:15" x14ac:dyDescent="0.2">
      <c r="B511" s="63"/>
      <c r="C511" s="16">
        <v>4</v>
      </c>
      <c r="D511" s="16">
        <f t="shared" si="73"/>
        <v>100</v>
      </c>
      <c r="E511" s="16">
        <v>0</v>
      </c>
      <c r="F511" s="16">
        <v>0</v>
      </c>
      <c r="G511" s="16">
        <v>0</v>
      </c>
      <c r="H511" s="16">
        <v>0</v>
      </c>
      <c r="I511" s="16">
        <v>0</v>
      </c>
      <c r="J511" s="16">
        <f t="shared" si="74"/>
        <v>0</v>
      </c>
      <c r="K511" s="16">
        <f t="shared" si="75"/>
        <v>0</v>
      </c>
      <c r="L511" s="16">
        <f t="shared" si="76"/>
        <v>0</v>
      </c>
      <c r="M511" s="5"/>
      <c r="N511" s="5"/>
      <c r="O511" s="5"/>
    </row>
    <row r="512" spans="2:15" x14ac:dyDescent="0.2">
      <c r="B512" s="63"/>
      <c r="C512" s="16">
        <v>5</v>
      </c>
      <c r="D512" s="16">
        <f t="shared" si="73"/>
        <v>100</v>
      </c>
      <c r="E512" s="16">
        <v>0</v>
      </c>
      <c r="F512" s="16">
        <v>0</v>
      </c>
      <c r="G512" s="16">
        <v>0</v>
      </c>
      <c r="H512" s="16">
        <v>0</v>
      </c>
      <c r="I512" s="16">
        <v>0</v>
      </c>
      <c r="J512" s="16">
        <f t="shared" si="74"/>
        <v>0</v>
      </c>
      <c r="K512" s="16">
        <f t="shared" si="75"/>
        <v>0</v>
      </c>
      <c r="L512" s="16">
        <f t="shared" si="76"/>
        <v>0</v>
      </c>
      <c r="M512" s="5"/>
      <c r="N512" s="5"/>
      <c r="O512" s="5"/>
    </row>
    <row r="513" spans="2:15" x14ac:dyDescent="0.2">
      <c r="B513" s="63" t="s">
        <v>601</v>
      </c>
      <c r="C513" s="16">
        <v>1</v>
      </c>
      <c r="D513" s="16">
        <f t="shared" si="73"/>
        <v>99</v>
      </c>
      <c r="E513" s="16">
        <v>1</v>
      </c>
      <c r="F513" s="16">
        <v>0</v>
      </c>
      <c r="G513" s="16">
        <v>0</v>
      </c>
      <c r="H513" s="16">
        <v>0</v>
      </c>
      <c r="I513" s="16">
        <v>0</v>
      </c>
      <c r="J513" s="16">
        <f t="shared" si="74"/>
        <v>1</v>
      </c>
      <c r="K513" s="16">
        <f t="shared" si="75"/>
        <v>0.2</v>
      </c>
      <c r="L513" s="16">
        <f t="shared" si="76"/>
        <v>0</v>
      </c>
      <c r="M513" s="5">
        <f t="shared" ref="M513" si="113">AVERAGE((SUM(E513:I513)), (SUM(E514:I514)), (SUM(E515:I515)), (SUM(E516:I516)), (SUM(E517:I517)))</f>
        <v>0.6</v>
      </c>
      <c r="N513" s="5">
        <f t="shared" ref="N513" si="114">AVERAGE((SUM(D513*0+E513*1+F513*2+G513*3+H513*4+I513*5)/(5*100)*100), (SUM(D514*0+E514*1+F514*2+G514*3+H514*4+I514*5)/(5*100)*100), (SUM(D515*0+E515*1+F515*2+G515*3+H515*4+I515*5)/(5*100)*100), (SUM(D516*0+E516*1+F516*2+G516*3+H516*4+I516*5)/(5*100)*100), (SUM(D517*0+E517*1+F517*2+G517*3+H517*4+I517*5)/(5*100)*100))</f>
        <v>0.12000000000000002</v>
      </c>
      <c r="O513" s="5">
        <f t="shared" ref="O513" si="115">AVERAGE(I513:I517)</f>
        <v>0</v>
      </c>
    </row>
    <row r="514" spans="2:15" x14ac:dyDescent="0.2">
      <c r="B514" s="63"/>
      <c r="C514" s="16">
        <v>2</v>
      </c>
      <c r="D514" s="16">
        <f t="shared" si="73"/>
        <v>100</v>
      </c>
      <c r="E514" s="16">
        <v>0</v>
      </c>
      <c r="F514" s="16">
        <v>0</v>
      </c>
      <c r="G514" s="16">
        <v>0</v>
      </c>
      <c r="H514" s="16">
        <v>0</v>
      </c>
      <c r="I514" s="16">
        <v>0</v>
      </c>
      <c r="J514" s="16">
        <f t="shared" si="74"/>
        <v>0</v>
      </c>
      <c r="K514" s="16">
        <f t="shared" si="75"/>
        <v>0</v>
      </c>
      <c r="L514" s="16">
        <f t="shared" si="76"/>
        <v>0</v>
      </c>
      <c r="M514" s="5"/>
      <c r="N514" s="5"/>
      <c r="O514" s="5"/>
    </row>
    <row r="515" spans="2:15" x14ac:dyDescent="0.2">
      <c r="B515" s="63"/>
      <c r="C515" s="16">
        <v>3</v>
      </c>
      <c r="D515" s="16">
        <f t="shared" ref="D515:D578" si="116">100-(SUM(E515:I515))</f>
        <v>100</v>
      </c>
      <c r="E515" s="16">
        <v>0</v>
      </c>
      <c r="F515" s="16">
        <v>0</v>
      </c>
      <c r="G515" s="16">
        <v>0</v>
      </c>
      <c r="H515" s="16">
        <v>0</v>
      </c>
      <c r="I515" s="16">
        <v>0</v>
      </c>
      <c r="J515" s="16">
        <f t="shared" si="74"/>
        <v>0</v>
      </c>
      <c r="K515" s="16">
        <f t="shared" si="75"/>
        <v>0</v>
      </c>
      <c r="L515" s="16">
        <f t="shared" si="76"/>
        <v>0</v>
      </c>
      <c r="M515" s="5"/>
      <c r="N515" s="5"/>
      <c r="O515" s="5"/>
    </row>
    <row r="516" spans="2:15" x14ac:dyDescent="0.2">
      <c r="B516" s="63"/>
      <c r="C516" s="16">
        <v>4</v>
      </c>
      <c r="D516" s="16">
        <f t="shared" si="116"/>
        <v>99</v>
      </c>
      <c r="E516" s="16">
        <v>1</v>
      </c>
      <c r="F516" s="16">
        <v>0</v>
      </c>
      <c r="G516" s="16">
        <v>0</v>
      </c>
      <c r="H516" s="16">
        <v>0</v>
      </c>
      <c r="I516" s="16">
        <v>0</v>
      </c>
      <c r="J516" s="16">
        <f t="shared" ref="J516:J579" si="117">SUM(E516:I516)</f>
        <v>1</v>
      </c>
      <c r="K516" s="16">
        <f t="shared" ref="K516:K579" si="118">AVERAGE(SUM(E516*1,F516*2,G516*3,H516*4,I516*5))/(5*100)*100</f>
        <v>0.2</v>
      </c>
      <c r="L516" s="16">
        <f t="shared" ref="L516:L579" si="119">I516</f>
        <v>0</v>
      </c>
      <c r="M516" s="5"/>
      <c r="N516" s="5"/>
      <c r="O516" s="5"/>
    </row>
    <row r="517" spans="2:15" x14ac:dyDescent="0.2">
      <c r="B517" s="63"/>
      <c r="C517" s="16">
        <v>5</v>
      </c>
      <c r="D517" s="16">
        <f t="shared" si="116"/>
        <v>99</v>
      </c>
      <c r="E517" s="16">
        <v>1</v>
      </c>
      <c r="F517" s="16">
        <v>0</v>
      </c>
      <c r="G517" s="16">
        <v>0</v>
      </c>
      <c r="H517" s="16">
        <v>0</v>
      </c>
      <c r="I517" s="16">
        <v>0</v>
      </c>
      <c r="J517" s="16">
        <f t="shared" si="117"/>
        <v>1</v>
      </c>
      <c r="K517" s="16">
        <f t="shared" si="118"/>
        <v>0.2</v>
      </c>
      <c r="L517" s="16">
        <f t="shared" si="119"/>
        <v>0</v>
      </c>
      <c r="M517" s="5"/>
      <c r="N517" s="5"/>
      <c r="O517" s="5"/>
    </row>
    <row r="518" spans="2:15" x14ac:dyDescent="0.2">
      <c r="B518" s="63" t="s">
        <v>602</v>
      </c>
      <c r="C518" s="16">
        <v>1</v>
      </c>
      <c r="D518" s="16">
        <f t="shared" si="116"/>
        <v>100</v>
      </c>
      <c r="E518" s="16">
        <v>0</v>
      </c>
      <c r="F518" s="16">
        <v>0</v>
      </c>
      <c r="G518" s="16">
        <v>0</v>
      </c>
      <c r="H518" s="16">
        <v>0</v>
      </c>
      <c r="I518" s="16">
        <v>0</v>
      </c>
      <c r="J518" s="16">
        <f t="shared" si="117"/>
        <v>0</v>
      </c>
      <c r="K518" s="16">
        <f t="shared" si="118"/>
        <v>0</v>
      </c>
      <c r="L518" s="16">
        <f t="shared" si="119"/>
        <v>0</v>
      </c>
      <c r="M518" s="5">
        <f t="shared" ref="M518" si="120">AVERAGE((SUM(E518:I518)), (SUM(E519:I519)), (SUM(E520:I520)), (SUM(E521:I521)), (SUM(E522:I522)))</f>
        <v>3</v>
      </c>
      <c r="N518" s="5">
        <f t="shared" ref="N518" si="121">AVERAGE((SUM(D518*0+E518*1+F518*2+G518*3+H518*4+I518*5)/(5*100)*100), (SUM(D519*0+E519*1+F519*2+G519*3+H519*4+I519*5)/(5*100)*100), (SUM(D520*0+E520*1+F520*2+G520*3+H520*4+I520*5)/(5*100)*100), (SUM(D521*0+E521*1+F521*2+G521*3+H521*4+I521*5)/(5*100)*100), (SUM(D522*0+E522*1+F522*2+G522*3+H522*4+I522*5)/(5*100)*100))</f>
        <v>2.04</v>
      </c>
      <c r="O518" s="5">
        <f t="shared" ref="O518" si="122">AVERAGE(I518:I522)</f>
        <v>1.8</v>
      </c>
    </row>
    <row r="519" spans="2:15" x14ac:dyDescent="0.2">
      <c r="B519" s="63"/>
      <c r="C519" s="16">
        <v>2</v>
      </c>
      <c r="D519" s="16">
        <f t="shared" si="116"/>
        <v>97</v>
      </c>
      <c r="E519" s="16">
        <v>1</v>
      </c>
      <c r="F519" s="16">
        <v>0</v>
      </c>
      <c r="G519" s="16">
        <v>0</v>
      </c>
      <c r="H519" s="16">
        <v>0</v>
      </c>
      <c r="I519" s="16">
        <v>2</v>
      </c>
      <c r="J519" s="16">
        <f t="shared" si="117"/>
        <v>3</v>
      </c>
      <c r="K519" s="16">
        <f t="shared" si="118"/>
        <v>2.1999999999999997</v>
      </c>
      <c r="L519" s="16">
        <f t="shared" si="119"/>
        <v>2</v>
      </c>
      <c r="M519" s="5"/>
      <c r="N519" s="5"/>
      <c r="O519" s="5"/>
    </row>
    <row r="520" spans="2:15" x14ac:dyDescent="0.2">
      <c r="B520" s="63"/>
      <c r="C520" s="16">
        <v>3</v>
      </c>
      <c r="D520" s="16">
        <f t="shared" si="116"/>
        <v>95</v>
      </c>
      <c r="E520" s="16">
        <v>2</v>
      </c>
      <c r="F520" s="16">
        <v>0</v>
      </c>
      <c r="G520" s="16">
        <v>0</v>
      </c>
      <c r="H520" s="16">
        <v>0</v>
      </c>
      <c r="I520" s="16">
        <v>3</v>
      </c>
      <c r="J520" s="16">
        <f t="shared" si="117"/>
        <v>5</v>
      </c>
      <c r="K520" s="16">
        <f t="shared" si="118"/>
        <v>3.4000000000000004</v>
      </c>
      <c r="L520" s="16">
        <f t="shared" si="119"/>
        <v>3</v>
      </c>
      <c r="M520" s="5"/>
      <c r="N520" s="5"/>
      <c r="O520" s="5"/>
    </row>
    <row r="521" spans="2:15" x14ac:dyDescent="0.2">
      <c r="B521" s="63"/>
      <c r="C521" s="16">
        <v>4</v>
      </c>
      <c r="D521" s="16">
        <f t="shared" si="116"/>
        <v>99</v>
      </c>
      <c r="E521" s="16">
        <v>1</v>
      </c>
      <c r="F521" s="16">
        <v>0</v>
      </c>
      <c r="G521" s="16">
        <v>0</v>
      </c>
      <c r="H521" s="16">
        <v>0</v>
      </c>
      <c r="I521" s="16">
        <v>0</v>
      </c>
      <c r="J521" s="16">
        <f t="shared" si="117"/>
        <v>1</v>
      </c>
      <c r="K521" s="16">
        <f t="shared" si="118"/>
        <v>0.2</v>
      </c>
      <c r="L521" s="16">
        <f t="shared" si="119"/>
        <v>0</v>
      </c>
      <c r="M521" s="5"/>
      <c r="N521" s="5"/>
      <c r="O521" s="5"/>
    </row>
    <row r="522" spans="2:15" x14ac:dyDescent="0.2">
      <c r="B522" s="63"/>
      <c r="C522" s="16">
        <v>5</v>
      </c>
      <c r="D522" s="16">
        <f t="shared" si="116"/>
        <v>94</v>
      </c>
      <c r="E522" s="16">
        <v>2</v>
      </c>
      <c r="F522" s="16">
        <v>0</v>
      </c>
      <c r="G522" s="16">
        <v>0</v>
      </c>
      <c r="H522" s="16">
        <v>0</v>
      </c>
      <c r="I522" s="16">
        <v>4</v>
      </c>
      <c r="J522" s="16">
        <f t="shared" si="117"/>
        <v>6</v>
      </c>
      <c r="K522" s="16">
        <f t="shared" si="118"/>
        <v>4.3999999999999995</v>
      </c>
      <c r="L522" s="16">
        <f t="shared" si="119"/>
        <v>4</v>
      </c>
      <c r="M522" s="5"/>
      <c r="N522" s="5"/>
      <c r="O522" s="5"/>
    </row>
    <row r="523" spans="2:15" x14ac:dyDescent="0.2">
      <c r="B523" s="64" t="s">
        <v>603</v>
      </c>
      <c r="C523" s="16">
        <v>1</v>
      </c>
      <c r="D523" s="16">
        <f t="shared" si="116"/>
        <v>92</v>
      </c>
      <c r="E523" s="16">
        <v>8</v>
      </c>
      <c r="F523" s="16">
        <v>0</v>
      </c>
      <c r="G523" s="16">
        <v>0</v>
      </c>
      <c r="H523" s="16">
        <v>0</v>
      </c>
      <c r="I523" s="16">
        <v>0</v>
      </c>
      <c r="J523" s="16">
        <f t="shared" si="117"/>
        <v>8</v>
      </c>
      <c r="K523" s="16">
        <f t="shared" si="118"/>
        <v>1.6</v>
      </c>
      <c r="L523" s="16">
        <f t="shared" si="119"/>
        <v>0</v>
      </c>
      <c r="M523" s="5">
        <f t="shared" ref="M523" si="123">AVERAGE((SUM(E523:I523)), (SUM(E524:I524)), (SUM(E525:I525)), (SUM(E526:I526)), (SUM(E527:I527)))</f>
        <v>10.199999999999999</v>
      </c>
      <c r="N523" s="5">
        <f t="shared" ref="N523" si="124">AVERAGE((SUM(D523*0+E523*1+F523*2+G523*3+H523*4+I523*5)/(5*100)*100), (SUM(D524*0+E524*1+F524*2+G524*3+H524*4+I524*5)/(5*100)*100), (SUM(D525*0+E525*1+F525*2+G525*3+H525*4+I525*5)/(5*100)*100), (SUM(D526*0+E526*1+F526*2+G526*3+H526*4+I526*5)/(5*100)*100), (SUM(D527*0+E527*1+F527*2+G527*3+H527*4+I527*5)/(5*100)*100))</f>
        <v>4.12</v>
      </c>
      <c r="O523" s="5">
        <f t="shared" ref="O523" si="125">AVERAGE(I523:I527)</f>
        <v>2.6</v>
      </c>
    </row>
    <row r="524" spans="2:15" x14ac:dyDescent="0.2">
      <c r="B524" s="64"/>
      <c r="C524" s="16">
        <v>2</v>
      </c>
      <c r="D524" s="16">
        <f t="shared" si="116"/>
        <v>91</v>
      </c>
      <c r="E524" s="16">
        <v>9</v>
      </c>
      <c r="F524" s="16">
        <v>0</v>
      </c>
      <c r="G524" s="16">
        <v>0</v>
      </c>
      <c r="H524" s="16">
        <v>0</v>
      </c>
      <c r="I524" s="16">
        <v>0</v>
      </c>
      <c r="J524" s="16">
        <f t="shared" si="117"/>
        <v>9</v>
      </c>
      <c r="K524" s="16">
        <f t="shared" si="118"/>
        <v>1.7999999999999998</v>
      </c>
      <c r="L524" s="16">
        <f t="shared" si="119"/>
        <v>0</v>
      </c>
      <c r="M524" s="5"/>
      <c r="N524" s="5"/>
      <c r="O524" s="5"/>
    </row>
    <row r="525" spans="2:15" x14ac:dyDescent="0.2">
      <c r="B525" s="64"/>
      <c r="C525" s="16">
        <v>3</v>
      </c>
      <c r="D525" s="16">
        <f t="shared" si="116"/>
        <v>87</v>
      </c>
      <c r="E525" s="16">
        <v>12</v>
      </c>
      <c r="F525" s="16">
        <v>0</v>
      </c>
      <c r="G525" s="16">
        <v>0</v>
      </c>
      <c r="H525" s="16">
        <v>0</v>
      </c>
      <c r="I525" s="16">
        <v>1</v>
      </c>
      <c r="J525" s="16">
        <f t="shared" si="117"/>
        <v>13</v>
      </c>
      <c r="K525" s="16">
        <f t="shared" si="118"/>
        <v>3.4000000000000004</v>
      </c>
      <c r="L525" s="16">
        <f t="shared" si="119"/>
        <v>1</v>
      </c>
      <c r="M525" s="5"/>
      <c r="N525" s="5"/>
      <c r="O525" s="5"/>
    </row>
    <row r="526" spans="2:15" x14ac:dyDescent="0.2">
      <c r="B526" s="64"/>
      <c r="C526" s="16">
        <v>4</v>
      </c>
      <c r="D526" s="16">
        <f t="shared" si="116"/>
        <v>88</v>
      </c>
      <c r="E526" s="16">
        <v>7</v>
      </c>
      <c r="F526" s="16">
        <v>0</v>
      </c>
      <c r="G526" s="16">
        <v>0</v>
      </c>
      <c r="H526" s="16">
        <v>0</v>
      </c>
      <c r="I526" s="16">
        <v>5</v>
      </c>
      <c r="J526" s="16">
        <f t="shared" si="117"/>
        <v>12</v>
      </c>
      <c r="K526" s="16">
        <f t="shared" si="118"/>
        <v>6.4</v>
      </c>
      <c r="L526" s="16">
        <f t="shared" si="119"/>
        <v>5</v>
      </c>
      <c r="M526" s="5"/>
      <c r="N526" s="5"/>
      <c r="O526" s="5"/>
    </row>
    <row r="527" spans="2:15" x14ac:dyDescent="0.2">
      <c r="B527" s="64"/>
      <c r="C527" s="16">
        <v>5</v>
      </c>
      <c r="D527" s="16">
        <f t="shared" si="116"/>
        <v>91</v>
      </c>
      <c r="E527" s="16">
        <v>2</v>
      </c>
      <c r="F527" s="16">
        <v>0</v>
      </c>
      <c r="G527" s="16">
        <v>0</v>
      </c>
      <c r="H527" s="16">
        <v>0</v>
      </c>
      <c r="I527" s="16">
        <v>7</v>
      </c>
      <c r="J527" s="16">
        <f t="shared" si="117"/>
        <v>9</v>
      </c>
      <c r="K527" s="16">
        <f t="shared" si="118"/>
        <v>7.3999999999999995</v>
      </c>
      <c r="L527" s="16">
        <f t="shared" si="119"/>
        <v>7</v>
      </c>
      <c r="M527" s="5"/>
      <c r="N527" s="5"/>
      <c r="O527" s="5"/>
    </row>
    <row r="528" spans="2:15" x14ac:dyDescent="0.2">
      <c r="B528" s="64" t="s">
        <v>604</v>
      </c>
      <c r="C528" s="16">
        <v>1</v>
      </c>
      <c r="D528" s="16">
        <f t="shared" si="116"/>
        <v>90</v>
      </c>
      <c r="E528" s="16">
        <v>8</v>
      </c>
      <c r="F528" s="16">
        <v>0</v>
      </c>
      <c r="G528" s="16">
        <v>0</v>
      </c>
      <c r="H528" s="16">
        <v>0</v>
      </c>
      <c r="I528" s="16">
        <v>2</v>
      </c>
      <c r="J528" s="16">
        <f t="shared" si="117"/>
        <v>10</v>
      </c>
      <c r="K528" s="16">
        <f t="shared" si="118"/>
        <v>3.5999999999999996</v>
      </c>
      <c r="L528" s="16">
        <f t="shared" si="119"/>
        <v>2</v>
      </c>
      <c r="M528" s="5">
        <f t="shared" ref="M528" si="126">AVERAGE((SUM(E528:I528)), (SUM(E529:I529)), (SUM(E530:I530)), (SUM(E531:I531)), (SUM(E532:I532)))</f>
        <v>8.6</v>
      </c>
      <c r="N528" s="5">
        <f t="shared" ref="N528" si="127">AVERAGE((SUM(D528*0+E528*1+F528*2+G528*3+H528*4+I528*5)/(5*100)*100), (SUM(D529*0+E529*1+F529*2+G529*3+H529*4+I529*5)/(5*100)*100), (SUM(D530*0+E530*1+F530*2+G530*3+H530*4+I530*5)/(5*100)*100), (SUM(D531*0+E531*1+F531*2+G531*3+H531*4+I531*5)/(5*100)*100), (SUM(D532*0+E532*1+F532*2+G532*3+H532*4+I532*5)/(5*100)*100))</f>
        <v>3.2399999999999998</v>
      </c>
      <c r="O528" s="5">
        <f t="shared" ref="O528" si="128">AVERAGE(I528:I532)</f>
        <v>1.6</v>
      </c>
    </row>
    <row r="529" spans="2:15" x14ac:dyDescent="0.2">
      <c r="B529" s="64"/>
      <c r="C529" s="16">
        <v>2</v>
      </c>
      <c r="D529" s="16">
        <f t="shared" si="116"/>
        <v>98</v>
      </c>
      <c r="E529" s="16">
        <v>0</v>
      </c>
      <c r="F529" s="16">
        <v>0</v>
      </c>
      <c r="G529" s="16">
        <v>0</v>
      </c>
      <c r="H529" s="16">
        <v>0</v>
      </c>
      <c r="I529" s="16">
        <v>2</v>
      </c>
      <c r="J529" s="16">
        <f t="shared" si="117"/>
        <v>2</v>
      </c>
      <c r="K529" s="16">
        <f t="shared" si="118"/>
        <v>2</v>
      </c>
      <c r="L529" s="16">
        <f t="shared" si="119"/>
        <v>2</v>
      </c>
      <c r="M529" s="5"/>
      <c r="N529" s="5"/>
      <c r="O529" s="5"/>
    </row>
    <row r="530" spans="2:15" x14ac:dyDescent="0.2">
      <c r="B530" s="64"/>
      <c r="C530" s="16">
        <v>3</v>
      </c>
      <c r="D530" s="16">
        <f t="shared" si="116"/>
        <v>88</v>
      </c>
      <c r="E530" s="16">
        <v>8</v>
      </c>
      <c r="F530" s="16">
        <v>3</v>
      </c>
      <c r="G530" s="16">
        <v>0</v>
      </c>
      <c r="H530" s="16">
        <v>0</v>
      </c>
      <c r="I530" s="16">
        <v>1</v>
      </c>
      <c r="J530" s="16">
        <f t="shared" si="117"/>
        <v>12</v>
      </c>
      <c r="K530" s="16">
        <f t="shared" si="118"/>
        <v>3.8</v>
      </c>
      <c r="L530" s="16">
        <f t="shared" si="119"/>
        <v>1</v>
      </c>
      <c r="M530" s="5"/>
      <c r="N530" s="5"/>
      <c r="O530" s="5"/>
    </row>
    <row r="531" spans="2:15" x14ac:dyDescent="0.2">
      <c r="B531" s="64"/>
      <c r="C531" s="16">
        <v>4</v>
      </c>
      <c r="D531" s="16">
        <f t="shared" si="116"/>
        <v>90</v>
      </c>
      <c r="E531" s="16">
        <v>6</v>
      </c>
      <c r="F531" s="16">
        <v>2</v>
      </c>
      <c r="G531" s="16">
        <v>0</v>
      </c>
      <c r="H531" s="16">
        <v>0</v>
      </c>
      <c r="I531" s="16">
        <v>2</v>
      </c>
      <c r="J531" s="16">
        <f t="shared" si="117"/>
        <v>10</v>
      </c>
      <c r="K531" s="16">
        <f t="shared" si="118"/>
        <v>4</v>
      </c>
      <c r="L531" s="16">
        <f t="shared" si="119"/>
        <v>2</v>
      </c>
      <c r="M531" s="5"/>
      <c r="N531" s="5"/>
      <c r="O531" s="5"/>
    </row>
    <row r="532" spans="2:15" x14ac:dyDescent="0.2">
      <c r="B532" s="64"/>
      <c r="C532" s="16">
        <v>5</v>
      </c>
      <c r="D532" s="16">
        <f t="shared" si="116"/>
        <v>91</v>
      </c>
      <c r="E532" s="16">
        <v>7</v>
      </c>
      <c r="F532" s="16">
        <v>1</v>
      </c>
      <c r="G532" s="16">
        <v>0</v>
      </c>
      <c r="H532" s="16">
        <v>0</v>
      </c>
      <c r="I532" s="16">
        <v>1</v>
      </c>
      <c r="J532" s="16">
        <f t="shared" si="117"/>
        <v>9</v>
      </c>
      <c r="K532" s="16">
        <f t="shared" si="118"/>
        <v>2.8000000000000003</v>
      </c>
      <c r="L532" s="16">
        <f t="shared" si="119"/>
        <v>1</v>
      </c>
      <c r="M532" s="5"/>
      <c r="N532" s="5"/>
      <c r="O532" s="5"/>
    </row>
    <row r="533" spans="2:15" x14ac:dyDescent="0.2">
      <c r="B533" s="64" t="s">
        <v>605</v>
      </c>
      <c r="C533" s="16">
        <v>1</v>
      </c>
      <c r="D533" s="16">
        <f t="shared" si="116"/>
        <v>94</v>
      </c>
      <c r="E533" s="16">
        <v>4</v>
      </c>
      <c r="F533" s="16">
        <v>0</v>
      </c>
      <c r="G533" s="16">
        <v>0</v>
      </c>
      <c r="H533" s="16">
        <v>0</v>
      </c>
      <c r="I533" s="16">
        <v>2</v>
      </c>
      <c r="J533" s="16">
        <f t="shared" si="117"/>
        <v>6</v>
      </c>
      <c r="K533" s="16">
        <f t="shared" si="118"/>
        <v>2.8000000000000003</v>
      </c>
      <c r="L533" s="16">
        <f t="shared" si="119"/>
        <v>2</v>
      </c>
      <c r="M533" s="5">
        <f t="shared" ref="M533" si="129">AVERAGE((SUM(E533:I533)), (SUM(E534:I534)), (SUM(E535:I535)), (SUM(E536:I536)), (SUM(E537:I537)))</f>
        <v>11.8</v>
      </c>
      <c r="N533" s="5">
        <f t="shared" ref="N533" si="130">AVERAGE((SUM(D533*0+E533*1+F533*2+G533*3+H533*4+I533*5)/(5*100)*100), (SUM(D534*0+E534*1+F534*2+G534*3+H534*4+I534*5)/(5*100)*100), (SUM(D535*0+E535*1+F535*2+G535*3+H535*4+I535*5)/(5*100)*100), (SUM(D536*0+E536*1+F536*2+G536*3+H536*4+I536*5)/(5*100)*100), (SUM(D537*0+E537*1+F537*2+G537*3+H537*4+I537*5)/(5*100)*100))</f>
        <v>10.040000000000001</v>
      </c>
      <c r="O533" s="5">
        <f t="shared" ref="O533" si="131">AVERAGE(I533:I537)</f>
        <v>9.6</v>
      </c>
    </row>
    <row r="534" spans="2:15" x14ac:dyDescent="0.2">
      <c r="B534" s="64"/>
      <c r="C534" s="16">
        <v>2</v>
      </c>
      <c r="D534" s="16">
        <f t="shared" si="116"/>
        <v>94</v>
      </c>
      <c r="E534" s="16">
        <v>2</v>
      </c>
      <c r="F534" s="16">
        <v>0</v>
      </c>
      <c r="G534" s="16">
        <v>0</v>
      </c>
      <c r="H534" s="16">
        <v>0</v>
      </c>
      <c r="I534" s="16">
        <v>4</v>
      </c>
      <c r="J534" s="16">
        <f t="shared" si="117"/>
        <v>6</v>
      </c>
      <c r="K534" s="16">
        <f t="shared" si="118"/>
        <v>4.3999999999999995</v>
      </c>
      <c r="L534" s="16">
        <f t="shared" si="119"/>
        <v>4</v>
      </c>
      <c r="M534" s="5"/>
      <c r="N534" s="5"/>
      <c r="O534" s="5"/>
    </row>
    <row r="535" spans="2:15" x14ac:dyDescent="0.2">
      <c r="B535" s="64"/>
      <c r="C535" s="16">
        <v>3</v>
      </c>
      <c r="D535" s="16">
        <f t="shared" si="116"/>
        <v>94</v>
      </c>
      <c r="E535" s="16">
        <v>2</v>
      </c>
      <c r="F535" s="16">
        <v>0</v>
      </c>
      <c r="G535" s="16">
        <v>0</v>
      </c>
      <c r="H535" s="16">
        <v>0</v>
      </c>
      <c r="I535" s="16">
        <v>4</v>
      </c>
      <c r="J535" s="16">
        <f t="shared" si="117"/>
        <v>6</v>
      </c>
      <c r="K535" s="16">
        <f t="shared" si="118"/>
        <v>4.3999999999999995</v>
      </c>
      <c r="L535" s="16">
        <f t="shared" si="119"/>
        <v>4</v>
      </c>
      <c r="M535" s="5"/>
      <c r="N535" s="5"/>
      <c r="O535" s="5"/>
    </row>
    <row r="536" spans="2:15" x14ac:dyDescent="0.2">
      <c r="B536" s="64"/>
      <c r="C536" s="16">
        <v>4</v>
      </c>
      <c r="D536" s="16">
        <f t="shared" si="116"/>
        <v>82</v>
      </c>
      <c r="E536" s="16">
        <v>2</v>
      </c>
      <c r="F536" s="16">
        <v>0</v>
      </c>
      <c r="G536" s="16">
        <v>0</v>
      </c>
      <c r="H536" s="16">
        <v>0</v>
      </c>
      <c r="I536" s="16">
        <v>16</v>
      </c>
      <c r="J536" s="16">
        <f t="shared" si="117"/>
        <v>18</v>
      </c>
      <c r="K536" s="16">
        <f t="shared" si="118"/>
        <v>16.400000000000002</v>
      </c>
      <c r="L536" s="16">
        <f t="shared" si="119"/>
        <v>16</v>
      </c>
      <c r="M536" s="5"/>
      <c r="N536" s="5"/>
      <c r="O536" s="5"/>
    </row>
    <row r="537" spans="2:15" x14ac:dyDescent="0.2">
      <c r="B537" s="64"/>
      <c r="C537" s="16">
        <v>5</v>
      </c>
      <c r="D537" s="16">
        <f t="shared" si="116"/>
        <v>77</v>
      </c>
      <c r="E537" s="16">
        <v>1</v>
      </c>
      <c r="F537" s="16">
        <v>0</v>
      </c>
      <c r="G537" s="16">
        <v>0</v>
      </c>
      <c r="H537" s="16">
        <v>0</v>
      </c>
      <c r="I537" s="16">
        <v>22</v>
      </c>
      <c r="J537" s="16">
        <f t="shared" si="117"/>
        <v>23</v>
      </c>
      <c r="K537" s="16">
        <f t="shared" si="118"/>
        <v>22.2</v>
      </c>
      <c r="L537" s="16">
        <f t="shared" si="119"/>
        <v>22</v>
      </c>
      <c r="M537" s="5"/>
      <c r="N537" s="5"/>
      <c r="O537" s="5"/>
    </row>
    <row r="538" spans="2:15" x14ac:dyDescent="0.2">
      <c r="B538" s="64" t="s">
        <v>606</v>
      </c>
      <c r="C538" s="16">
        <v>1</v>
      </c>
      <c r="D538" s="16">
        <f t="shared" si="116"/>
        <v>95</v>
      </c>
      <c r="E538" s="16">
        <v>2</v>
      </c>
      <c r="F538" s="16">
        <v>0</v>
      </c>
      <c r="G538" s="16">
        <v>0</v>
      </c>
      <c r="H538" s="16">
        <v>1</v>
      </c>
      <c r="I538" s="16">
        <v>2</v>
      </c>
      <c r="J538" s="16">
        <f t="shared" si="117"/>
        <v>5</v>
      </c>
      <c r="K538" s="16">
        <f t="shared" si="118"/>
        <v>3.2</v>
      </c>
      <c r="L538" s="16">
        <f t="shared" si="119"/>
        <v>2</v>
      </c>
      <c r="M538" s="5">
        <f t="shared" ref="M538" si="132">AVERAGE((SUM(E538:I538)), (SUM(E539:I539)), (SUM(E540:I540)), (SUM(E541:I541)), (SUM(E542:I542)))</f>
        <v>5.8</v>
      </c>
      <c r="N538" s="5">
        <f t="shared" ref="N538" si="133">AVERAGE((SUM(D538*0+E538*1+F538*2+G538*3+H538*4+I538*5)/(5*100)*100), (SUM(D539*0+E539*1+F539*2+G539*3+H539*4+I539*5)/(5*100)*100), (SUM(D540*0+E540*1+F540*2+G540*3+H540*4+I540*5)/(5*100)*100), (SUM(D541*0+E541*1+F541*2+G541*3+H541*4+I541*5)/(5*100)*100), (SUM(D542*0+E542*1+F542*2+G542*3+H542*4+I542*5)/(5*100)*100))</f>
        <v>3.7600000000000002</v>
      </c>
      <c r="O538" s="5">
        <f t="shared" ref="O538" si="134">AVERAGE(I538:I542)</f>
        <v>2.8</v>
      </c>
    </row>
    <row r="539" spans="2:15" x14ac:dyDescent="0.2">
      <c r="B539" s="64"/>
      <c r="C539" s="16">
        <v>2</v>
      </c>
      <c r="D539" s="16">
        <f t="shared" si="116"/>
        <v>97</v>
      </c>
      <c r="E539" s="16">
        <v>2</v>
      </c>
      <c r="F539" s="16">
        <v>0</v>
      </c>
      <c r="G539" s="16">
        <v>0</v>
      </c>
      <c r="H539" s="16">
        <v>0</v>
      </c>
      <c r="I539" s="16">
        <v>1</v>
      </c>
      <c r="J539" s="16">
        <f t="shared" si="117"/>
        <v>3</v>
      </c>
      <c r="K539" s="16">
        <f t="shared" si="118"/>
        <v>1.4000000000000001</v>
      </c>
      <c r="L539" s="16">
        <f t="shared" si="119"/>
        <v>1</v>
      </c>
      <c r="M539" s="5"/>
      <c r="N539" s="5"/>
      <c r="O539" s="5"/>
    </row>
    <row r="540" spans="2:15" x14ac:dyDescent="0.2">
      <c r="B540" s="64"/>
      <c r="C540" s="16">
        <v>3</v>
      </c>
      <c r="D540" s="16">
        <f t="shared" si="116"/>
        <v>94</v>
      </c>
      <c r="E540" s="16">
        <v>1</v>
      </c>
      <c r="F540" s="16">
        <v>0</v>
      </c>
      <c r="G540" s="16">
        <v>0</v>
      </c>
      <c r="H540" s="16">
        <v>0</v>
      </c>
      <c r="I540" s="16">
        <v>5</v>
      </c>
      <c r="J540" s="16">
        <f t="shared" si="117"/>
        <v>6</v>
      </c>
      <c r="K540" s="16">
        <f t="shared" si="118"/>
        <v>5.2</v>
      </c>
      <c r="L540" s="16">
        <f t="shared" si="119"/>
        <v>5</v>
      </c>
      <c r="M540" s="5"/>
      <c r="N540" s="5"/>
      <c r="O540" s="5"/>
    </row>
    <row r="541" spans="2:15" x14ac:dyDescent="0.2">
      <c r="B541" s="64"/>
      <c r="C541" s="16">
        <v>4</v>
      </c>
      <c r="D541" s="16">
        <f t="shared" si="116"/>
        <v>94</v>
      </c>
      <c r="E541" s="16">
        <v>3</v>
      </c>
      <c r="F541" s="16">
        <v>0</v>
      </c>
      <c r="G541" s="16">
        <v>0</v>
      </c>
      <c r="H541" s="16">
        <v>0</v>
      </c>
      <c r="I541" s="16">
        <v>3</v>
      </c>
      <c r="J541" s="16">
        <f t="shared" si="117"/>
        <v>6</v>
      </c>
      <c r="K541" s="16">
        <f t="shared" si="118"/>
        <v>3.5999999999999996</v>
      </c>
      <c r="L541" s="16">
        <f t="shared" si="119"/>
        <v>3</v>
      </c>
      <c r="M541" s="5"/>
      <c r="N541" s="5"/>
      <c r="O541" s="5"/>
    </row>
    <row r="542" spans="2:15" x14ac:dyDescent="0.2">
      <c r="B542" s="64"/>
      <c r="C542" s="16">
        <v>5</v>
      </c>
      <c r="D542" s="16">
        <f t="shared" si="116"/>
        <v>91</v>
      </c>
      <c r="E542" s="16">
        <v>3</v>
      </c>
      <c r="F542" s="16">
        <v>0</v>
      </c>
      <c r="G542" s="16">
        <v>3</v>
      </c>
      <c r="H542" s="16">
        <v>0</v>
      </c>
      <c r="I542" s="16">
        <v>3</v>
      </c>
      <c r="J542" s="16">
        <f t="shared" si="117"/>
        <v>9</v>
      </c>
      <c r="K542" s="16">
        <f t="shared" si="118"/>
        <v>5.4</v>
      </c>
      <c r="L542" s="16">
        <f t="shared" si="119"/>
        <v>3</v>
      </c>
      <c r="M542" s="5"/>
      <c r="N542" s="5"/>
      <c r="O542" s="5"/>
    </row>
    <row r="543" spans="2:15" x14ac:dyDescent="0.2">
      <c r="B543" s="64" t="s">
        <v>607</v>
      </c>
      <c r="C543" s="16">
        <v>1</v>
      </c>
      <c r="D543" s="16">
        <f t="shared" si="116"/>
        <v>93</v>
      </c>
      <c r="E543" s="16">
        <v>0</v>
      </c>
      <c r="F543" s="16">
        <v>0</v>
      </c>
      <c r="G543" s="16">
        <v>0</v>
      </c>
      <c r="H543" s="16">
        <v>0</v>
      </c>
      <c r="I543" s="16">
        <v>7</v>
      </c>
      <c r="J543" s="16">
        <f t="shared" si="117"/>
        <v>7</v>
      </c>
      <c r="K543" s="16">
        <f t="shared" si="118"/>
        <v>7.0000000000000009</v>
      </c>
      <c r="L543" s="16">
        <f t="shared" si="119"/>
        <v>7</v>
      </c>
      <c r="M543" s="5">
        <f t="shared" ref="M543" si="135">AVERAGE((SUM(E543:I543)), (SUM(E544:I544)), (SUM(E545:I545)), (SUM(E546:I546)), (SUM(E547:I547)))</f>
        <v>8</v>
      </c>
      <c r="N543" s="5">
        <f t="shared" ref="N543" si="136">AVERAGE((SUM(D543*0+E543*1+F543*2+G543*3+H543*4+I543*5)/(5*100)*100), (SUM(D544*0+E544*1+F544*2+G544*3+H544*4+I544*5)/(5*100)*100), (SUM(D545*0+E545*1+F545*2+G545*3+H545*4+I545*5)/(5*100)*100), (SUM(D546*0+E546*1+F546*2+G546*3+H546*4+I546*5)/(5*100)*100), (SUM(D547*0+E547*1+F547*2+G547*3+H547*4+I547*5)/(5*100)*100))</f>
        <v>8</v>
      </c>
      <c r="O543" s="5">
        <f t="shared" ref="O543" si="137">AVERAGE(I543:I547)</f>
        <v>8</v>
      </c>
    </row>
    <row r="544" spans="2:15" x14ac:dyDescent="0.2">
      <c r="B544" s="64"/>
      <c r="C544" s="16">
        <v>2</v>
      </c>
      <c r="D544" s="16">
        <f t="shared" si="116"/>
        <v>95</v>
      </c>
      <c r="E544" s="16">
        <v>0</v>
      </c>
      <c r="F544" s="16">
        <v>0</v>
      </c>
      <c r="G544" s="16">
        <v>0</v>
      </c>
      <c r="H544" s="16">
        <v>0</v>
      </c>
      <c r="I544" s="16">
        <v>5</v>
      </c>
      <c r="J544" s="16">
        <f t="shared" si="117"/>
        <v>5</v>
      </c>
      <c r="K544" s="16">
        <f t="shared" si="118"/>
        <v>5</v>
      </c>
      <c r="L544" s="16">
        <f t="shared" si="119"/>
        <v>5</v>
      </c>
      <c r="M544" s="5"/>
      <c r="N544" s="5"/>
      <c r="O544" s="5"/>
    </row>
    <row r="545" spans="2:15" x14ac:dyDescent="0.2">
      <c r="B545" s="64"/>
      <c r="C545" s="16">
        <v>3</v>
      </c>
      <c r="D545" s="16">
        <f t="shared" si="116"/>
        <v>88</v>
      </c>
      <c r="E545" s="16">
        <v>0</v>
      </c>
      <c r="F545" s="16">
        <v>0</v>
      </c>
      <c r="G545" s="16">
        <v>0</v>
      </c>
      <c r="H545" s="16">
        <v>0</v>
      </c>
      <c r="I545" s="16">
        <v>12</v>
      </c>
      <c r="J545" s="16">
        <f t="shared" si="117"/>
        <v>12</v>
      </c>
      <c r="K545" s="16">
        <f t="shared" si="118"/>
        <v>12</v>
      </c>
      <c r="L545" s="16">
        <f t="shared" si="119"/>
        <v>12</v>
      </c>
      <c r="M545" s="5"/>
      <c r="N545" s="5"/>
      <c r="O545" s="5"/>
    </row>
    <row r="546" spans="2:15" x14ac:dyDescent="0.2">
      <c r="B546" s="64"/>
      <c r="C546" s="16">
        <v>4</v>
      </c>
      <c r="D546" s="16">
        <f t="shared" si="116"/>
        <v>93</v>
      </c>
      <c r="E546" s="16">
        <v>0</v>
      </c>
      <c r="F546" s="16">
        <v>0</v>
      </c>
      <c r="G546" s="16">
        <v>0</v>
      </c>
      <c r="H546" s="16">
        <v>0</v>
      </c>
      <c r="I546" s="16">
        <v>7</v>
      </c>
      <c r="J546" s="16">
        <f t="shared" si="117"/>
        <v>7</v>
      </c>
      <c r="K546" s="16">
        <f t="shared" si="118"/>
        <v>7.0000000000000009</v>
      </c>
      <c r="L546" s="16">
        <f t="shared" si="119"/>
        <v>7</v>
      </c>
      <c r="M546" s="5"/>
      <c r="N546" s="5"/>
      <c r="O546" s="5"/>
    </row>
    <row r="547" spans="2:15" x14ac:dyDescent="0.2">
      <c r="B547" s="64"/>
      <c r="C547" s="16">
        <v>5</v>
      </c>
      <c r="D547" s="16">
        <f t="shared" si="116"/>
        <v>91</v>
      </c>
      <c r="E547" s="16">
        <v>0</v>
      </c>
      <c r="F547" s="16">
        <v>0</v>
      </c>
      <c r="G547" s="16">
        <v>0</v>
      </c>
      <c r="H547" s="16">
        <v>0</v>
      </c>
      <c r="I547" s="16">
        <v>9</v>
      </c>
      <c r="J547" s="16">
        <f t="shared" si="117"/>
        <v>9</v>
      </c>
      <c r="K547" s="16">
        <f t="shared" si="118"/>
        <v>9</v>
      </c>
      <c r="L547" s="16">
        <f t="shared" si="119"/>
        <v>9</v>
      </c>
      <c r="M547" s="5"/>
      <c r="N547" s="5"/>
      <c r="O547" s="5"/>
    </row>
    <row r="548" spans="2:15" x14ac:dyDescent="0.2">
      <c r="B548" s="64" t="s">
        <v>608</v>
      </c>
      <c r="C548" s="16">
        <v>1</v>
      </c>
      <c r="D548" s="16">
        <f t="shared" si="116"/>
        <v>60</v>
      </c>
      <c r="E548" s="16">
        <v>3</v>
      </c>
      <c r="F548" s="16">
        <v>4</v>
      </c>
      <c r="G548" s="16">
        <v>4</v>
      </c>
      <c r="H548" s="16">
        <v>4</v>
      </c>
      <c r="I548" s="16">
        <v>25</v>
      </c>
      <c r="J548" s="16">
        <f t="shared" si="117"/>
        <v>40</v>
      </c>
      <c r="K548" s="16">
        <f t="shared" si="118"/>
        <v>32.800000000000004</v>
      </c>
      <c r="L548" s="16">
        <f t="shared" si="119"/>
        <v>25</v>
      </c>
      <c r="M548" s="5">
        <f t="shared" ref="M548" si="138">AVERAGE((SUM(E548:I548)), (SUM(E549:I549)), (SUM(E550:I550)), (SUM(E551:I551)), (SUM(E552:I552)))</f>
        <v>39.200000000000003</v>
      </c>
      <c r="N548" s="5">
        <f t="shared" ref="N548" si="139">AVERAGE((SUM(D548*0+E548*1+F548*2+G548*3+H548*4+I548*5)/(5*100)*100), (SUM(D549*0+E549*1+F549*2+G549*3+H549*4+I549*5)/(5*100)*100), (SUM(D550*0+E550*1+F550*2+G550*3+H550*4+I550*5)/(5*100)*100), (SUM(D551*0+E551*1+F551*2+G551*3+H551*4+I551*5)/(5*100)*100), (SUM(D552*0+E552*1+F552*2+G552*3+H552*4+I552*5)/(5*100)*100))</f>
        <v>29.720000000000006</v>
      </c>
      <c r="O548" s="5">
        <f t="shared" ref="O548" si="140">AVERAGE(I548:I552)</f>
        <v>22</v>
      </c>
    </row>
    <row r="549" spans="2:15" x14ac:dyDescent="0.2">
      <c r="B549" s="64"/>
      <c r="C549" s="16">
        <v>2</v>
      </c>
      <c r="D549" s="16">
        <f t="shared" si="116"/>
        <v>63</v>
      </c>
      <c r="E549" s="16">
        <v>10</v>
      </c>
      <c r="F549" s="16">
        <v>2</v>
      </c>
      <c r="G549" s="16">
        <v>5</v>
      </c>
      <c r="H549" s="16">
        <v>0</v>
      </c>
      <c r="I549" s="16">
        <v>20</v>
      </c>
      <c r="J549" s="16">
        <f t="shared" si="117"/>
        <v>37</v>
      </c>
      <c r="K549" s="16">
        <f t="shared" si="118"/>
        <v>25.8</v>
      </c>
      <c r="L549" s="16">
        <f t="shared" si="119"/>
        <v>20</v>
      </c>
      <c r="M549" s="5"/>
      <c r="N549" s="5"/>
      <c r="O549" s="5"/>
    </row>
    <row r="550" spans="2:15" x14ac:dyDescent="0.2">
      <c r="B550" s="64"/>
      <c r="C550" s="16">
        <v>3</v>
      </c>
      <c r="D550" s="16">
        <f t="shared" si="116"/>
        <v>55</v>
      </c>
      <c r="E550" s="16">
        <v>5</v>
      </c>
      <c r="F550" s="16">
        <v>5</v>
      </c>
      <c r="G550" s="16">
        <v>6</v>
      </c>
      <c r="H550" s="16">
        <v>7</v>
      </c>
      <c r="I550" s="16">
        <v>22</v>
      </c>
      <c r="J550" s="16">
        <f t="shared" si="117"/>
        <v>45</v>
      </c>
      <c r="K550" s="16">
        <f t="shared" si="118"/>
        <v>34.200000000000003</v>
      </c>
      <c r="L550" s="16">
        <f t="shared" si="119"/>
        <v>22</v>
      </c>
      <c r="M550" s="5"/>
      <c r="N550" s="5"/>
      <c r="O550" s="5"/>
    </row>
    <row r="551" spans="2:15" x14ac:dyDescent="0.2">
      <c r="B551" s="64"/>
      <c r="C551" s="16">
        <v>4</v>
      </c>
      <c r="D551" s="16">
        <f t="shared" si="116"/>
        <v>66</v>
      </c>
      <c r="E551" s="16">
        <v>10</v>
      </c>
      <c r="F551" s="16">
        <v>3</v>
      </c>
      <c r="G551" s="16">
        <v>3</v>
      </c>
      <c r="H551" s="16">
        <v>0</v>
      </c>
      <c r="I551" s="16">
        <v>18</v>
      </c>
      <c r="J551" s="16">
        <f t="shared" si="117"/>
        <v>34</v>
      </c>
      <c r="K551" s="16">
        <f t="shared" si="118"/>
        <v>23</v>
      </c>
      <c r="L551" s="16">
        <f t="shared" si="119"/>
        <v>18</v>
      </c>
      <c r="M551" s="5"/>
      <c r="N551" s="5"/>
      <c r="O551" s="5"/>
    </row>
    <row r="552" spans="2:15" x14ac:dyDescent="0.2">
      <c r="B552" s="64"/>
      <c r="C552" s="16">
        <v>5</v>
      </c>
      <c r="D552" s="16">
        <f t="shared" si="116"/>
        <v>60</v>
      </c>
      <c r="E552" s="16">
        <v>3</v>
      </c>
      <c r="F552" s="16">
        <v>4</v>
      </c>
      <c r="G552" s="16">
        <v>4</v>
      </c>
      <c r="H552" s="16">
        <v>4</v>
      </c>
      <c r="I552" s="16">
        <v>25</v>
      </c>
      <c r="J552" s="16">
        <f t="shared" si="117"/>
        <v>40</v>
      </c>
      <c r="K552" s="16">
        <f t="shared" si="118"/>
        <v>32.800000000000004</v>
      </c>
      <c r="L552" s="16">
        <f t="shared" si="119"/>
        <v>25</v>
      </c>
      <c r="M552" s="5"/>
      <c r="N552" s="5"/>
      <c r="O552" s="5"/>
    </row>
    <row r="553" spans="2:15" x14ac:dyDescent="0.2">
      <c r="B553" s="64" t="s">
        <v>609</v>
      </c>
      <c r="C553" s="16">
        <v>1</v>
      </c>
      <c r="D553" s="16">
        <f t="shared" si="116"/>
        <v>97</v>
      </c>
      <c r="E553" s="16">
        <v>1</v>
      </c>
      <c r="F553" s="16">
        <v>0</v>
      </c>
      <c r="G553" s="16">
        <v>1</v>
      </c>
      <c r="H553" s="16">
        <v>1</v>
      </c>
      <c r="I553" s="16">
        <v>0</v>
      </c>
      <c r="J553" s="16">
        <f t="shared" si="117"/>
        <v>3</v>
      </c>
      <c r="K553" s="16">
        <f t="shared" si="118"/>
        <v>1.6</v>
      </c>
      <c r="L553" s="16">
        <f t="shared" si="119"/>
        <v>0</v>
      </c>
      <c r="M553" s="5">
        <f t="shared" ref="M553" si="141">AVERAGE((SUM(E553:I553)), (SUM(E554:I554)), (SUM(E555:I555)), (SUM(E556:I556)), (SUM(E557:I557)))</f>
        <v>7</v>
      </c>
      <c r="N553" s="5">
        <f t="shared" ref="N553" si="142">AVERAGE((SUM(D553*0+E553*1+F553*2+G553*3+H553*4+I553*5)/(5*100)*100), (SUM(D554*0+E554*1+F554*2+G554*3+H554*4+I554*5)/(5*100)*100), (SUM(D555*0+E555*1+F555*2+G555*3+H555*4+I555*5)/(5*100)*100), (SUM(D556*0+E556*1+F556*2+G556*3+H556*4+I556*5)/(5*100)*100), (SUM(D557*0+E557*1+F557*2+G557*3+H557*4+I557*5)/(5*100)*100))</f>
        <v>4.16</v>
      </c>
      <c r="O553" s="5">
        <f t="shared" ref="O553" si="143">AVERAGE(I553:I557)</f>
        <v>3</v>
      </c>
    </row>
    <row r="554" spans="2:15" x14ac:dyDescent="0.2">
      <c r="B554" s="64"/>
      <c r="C554" s="16">
        <v>2</v>
      </c>
      <c r="D554" s="16">
        <f t="shared" si="116"/>
        <v>94</v>
      </c>
      <c r="E554" s="16">
        <v>2</v>
      </c>
      <c r="F554" s="16">
        <v>1</v>
      </c>
      <c r="G554" s="16">
        <v>0</v>
      </c>
      <c r="H554" s="16">
        <v>0</v>
      </c>
      <c r="I554" s="16">
        <v>3</v>
      </c>
      <c r="J554" s="16">
        <f t="shared" si="117"/>
        <v>6</v>
      </c>
      <c r="K554" s="16">
        <f t="shared" si="118"/>
        <v>3.8</v>
      </c>
      <c r="L554" s="16">
        <f t="shared" si="119"/>
        <v>3</v>
      </c>
      <c r="M554" s="5"/>
      <c r="N554" s="5"/>
      <c r="O554" s="5"/>
    </row>
    <row r="555" spans="2:15" x14ac:dyDescent="0.2">
      <c r="B555" s="64"/>
      <c r="C555" s="16">
        <v>3</v>
      </c>
      <c r="D555" s="16">
        <f t="shared" si="116"/>
        <v>89</v>
      </c>
      <c r="E555" s="16">
        <v>7</v>
      </c>
      <c r="F555" s="16">
        <v>0</v>
      </c>
      <c r="G555" s="16">
        <v>0</v>
      </c>
      <c r="H555" s="16">
        <v>0</v>
      </c>
      <c r="I555" s="16">
        <v>4</v>
      </c>
      <c r="J555" s="16">
        <f t="shared" si="117"/>
        <v>11</v>
      </c>
      <c r="K555" s="16">
        <f t="shared" si="118"/>
        <v>5.4</v>
      </c>
      <c r="L555" s="16">
        <f t="shared" si="119"/>
        <v>4</v>
      </c>
      <c r="M555" s="5"/>
      <c r="N555" s="5"/>
      <c r="O555" s="5"/>
    </row>
    <row r="556" spans="2:15" x14ac:dyDescent="0.2">
      <c r="B556" s="64"/>
      <c r="C556" s="16">
        <v>4</v>
      </c>
      <c r="D556" s="16">
        <f t="shared" si="116"/>
        <v>95</v>
      </c>
      <c r="E556" s="16">
        <v>0</v>
      </c>
      <c r="F556" s="16">
        <v>3</v>
      </c>
      <c r="G556" s="16">
        <v>0</v>
      </c>
      <c r="H556" s="16">
        <v>0</v>
      </c>
      <c r="I556" s="16">
        <v>2</v>
      </c>
      <c r="J556" s="16">
        <f t="shared" si="117"/>
        <v>5</v>
      </c>
      <c r="K556" s="16">
        <f t="shared" si="118"/>
        <v>3.2</v>
      </c>
      <c r="L556" s="16">
        <f t="shared" si="119"/>
        <v>2</v>
      </c>
      <c r="M556" s="5"/>
      <c r="N556" s="5"/>
      <c r="O556" s="5"/>
    </row>
    <row r="557" spans="2:15" x14ac:dyDescent="0.2">
      <c r="B557" s="64"/>
      <c r="C557" s="16">
        <v>5</v>
      </c>
      <c r="D557" s="16">
        <f t="shared" si="116"/>
        <v>90</v>
      </c>
      <c r="E557" s="16">
        <v>4</v>
      </c>
      <c r="F557" s="16">
        <v>0</v>
      </c>
      <c r="G557" s="16">
        <v>0</v>
      </c>
      <c r="H557" s="16">
        <v>0</v>
      </c>
      <c r="I557" s="16">
        <v>6</v>
      </c>
      <c r="J557" s="16">
        <f t="shared" si="117"/>
        <v>10</v>
      </c>
      <c r="K557" s="16">
        <f t="shared" si="118"/>
        <v>6.8000000000000007</v>
      </c>
      <c r="L557" s="16">
        <f t="shared" si="119"/>
        <v>6</v>
      </c>
      <c r="M557" s="5"/>
      <c r="N557" s="5"/>
      <c r="O557" s="5"/>
    </row>
    <row r="558" spans="2:15" x14ac:dyDescent="0.2">
      <c r="B558" s="64" t="s">
        <v>610</v>
      </c>
      <c r="C558" s="16">
        <v>1</v>
      </c>
      <c r="D558" s="16">
        <f t="shared" si="116"/>
        <v>72</v>
      </c>
      <c r="E558" s="16">
        <v>8</v>
      </c>
      <c r="F558" s="16">
        <v>7</v>
      </c>
      <c r="G558" s="16">
        <v>2</v>
      </c>
      <c r="H558" s="16">
        <v>6</v>
      </c>
      <c r="I558" s="16">
        <v>5</v>
      </c>
      <c r="J558" s="16">
        <f t="shared" si="117"/>
        <v>28</v>
      </c>
      <c r="K558" s="16">
        <f t="shared" si="118"/>
        <v>15.4</v>
      </c>
      <c r="L558" s="16">
        <f t="shared" si="119"/>
        <v>5</v>
      </c>
      <c r="M558" s="5">
        <f t="shared" ref="M558" si="144">AVERAGE((SUM(E558:I558)), (SUM(E559:I559)), (SUM(E560:I560)), (SUM(E561:I561)), (SUM(E562:I562)))</f>
        <v>30.8</v>
      </c>
      <c r="N558" s="5">
        <f t="shared" ref="N558" si="145">AVERAGE((SUM(D558*0+E558*1+F558*2+G558*3+H558*4+I558*5)/(5*100)*100), (SUM(D559*0+E559*1+F559*2+G559*3+H559*4+I559*5)/(5*100)*100), (SUM(D560*0+E560*1+F560*2+G560*3+H560*4+I560*5)/(5*100)*100), (SUM(D561*0+E561*1+F561*2+G561*3+H561*4+I561*5)/(5*100)*100), (SUM(D562*0+E562*1+F562*2+G562*3+H562*4+I562*5)/(5*100)*100))</f>
        <v>17.559999999999999</v>
      </c>
      <c r="O558" s="5">
        <f t="shared" ref="O558" si="146">AVERAGE(I558:I562)</f>
        <v>8.8000000000000007</v>
      </c>
    </row>
    <row r="559" spans="2:15" x14ac:dyDescent="0.2">
      <c r="B559" s="64"/>
      <c r="C559" s="16">
        <v>2</v>
      </c>
      <c r="D559" s="16">
        <f t="shared" si="116"/>
        <v>68</v>
      </c>
      <c r="E559" s="16">
        <v>12</v>
      </c>
      <c r="F559" s="16">
        <v>11</v>
      </c>
      <c r="G559" s="16">
        <v>2</v>
      </c>
      <c r="H559" s="16">
        <v>0</v>
      </c>
      <c r="I559" s="16">
        <v>7</v>
      </c>
      <c r="J559" s="16">
        <f t="shared" si="117"/>
        <v>32</v>
      </c>
      <c r="K559" s="16">
        <f t="shared" si="118"/>
        <v>15</v>
      </c>
      <c r="L559" s="16">
        <f t="shared" si="119"/>
        <v>7</v>
      </c>
      <c r="M559" s="5"/>
      <c r="N559" s="5"/>
      <c r="O559" s="5"/>
    </row>
    <row r="560" spans="2:15" x14ac:dyDescent="0.2">
      <c r="B560" s="64"/>
      <c r="C560" s="16">
        <v>3</v>
      </c>
      <c r="D560" s="16">
        <f t="shared" si="116"/>
        <v>71</v>
      </c>
      <c r="E560" s="16">
        <v>3</v>
      </c>
      <c r="F560" s="16">
        <v>8</v>
      </c>
      <c r="G560" s="16">
        <v>10</v>
      </c>
      <c r="H560" s="16">
        <v>4</v>
      </c>
      <c r="I560" s="16">
        <v>4</v>
      </c>
      <c r="J560" s="16">
        <f t="shared" si="117"/>
        <v>29</v>
      </c>
      <c r="K560" s="16">
        <f t="shared" si="118"/>
        <v>17</v>
      </c>
      <c r="L560" s="16">
        <f t="shared" si="119"/>
        <v>4</v>
      </c>
      <c r="M560" s="5"/>
      <c r="N560" s="5"/>
      <c r="O560" s="5"/>
    </row>
    <row r="561" spans="2:15" x14ac:dyDescent="0.2">
      <c r="B561" s="64"/>
      <c r="C561" s="16">
        <v>4</v>
      </c>
      <c r="D561" s="16">
        <f t="shared" si="116"/>
        <v>78</v>
      </c>
      <c r="E561" s="16">
        <v>6</v>
      </c>
      <c r="F561" s="16">
        <v>2</v>
      </c>
      <c r="G561" s="16">
        <v>2</v>
      </c>
      <c r="H561" s="16">
        <v>1</v>
      </c>
      <c r="I561" s="16">
        <v>11</v>
      </c>
      <c r="J561" s="16">
        <f t="shared" si="117"/>
        <v>22</v>
      </c>
      <c r="K561" s="16">
        <f t="shared" si="118"/>
        <v>15</v>
      </c>
      <c r="L561" s="16">
        <f t="shared" si="119"/>
        <v>11</v>
      </c>
      <c r="M561" s="5"/>
      <c r="N561" s="5"/>
      <c r="O561" s="5"/>
    </row>
    <row r="562" spans="2:15" x14ac:dyDescent="0.2">
      <c r="B562" s="64"/>
      <c r="C562" s="16">
        <v>5</v>
      </c>
      <c r="D562" s="16">
        <f t="shared" si="116"/>
        <v>57</v>
      </c>
      <c r="E562" s="16">
        <v>18</v>
      </c>
      <c r="F562" s="16">
        <v>3</v>
      </c>
      <c r="G562" s="16">
        <v>2</v>
      </c>
      <c r="H562" s="16">
        <v>3</v>
      </c>
      <c r="I562" s="16">
        <v>17</v>
      </c>
      <c r="J562" s="16">
        <f t="shared" si="117"/>
        <v>43</v>
      </c>
      <c r="K562" s="16">
        <f t="shared" si="118"/>
        <v>25.4</v>
      </c>
      <c r="L562" s="16">
        <f t="shared" si="119"/>
        <v>17</v>
      </c>
      <c r="M562" s="5"/>
      <c r="N562" s="5"/>
      <c r="O562" s="5"/>
    </row>
    <row r="563" spans="2:15" x14ac:dyDescent="0.2">
      <c r="B563" s="64" t="s">
        <v>611</v>
      </c>
      <c r="C563" s="16">
        <v>1</v>
      </c>
      <c r="D563" s="16">
        <f t="shared" si="116"/>
        <v>98</v>
      </c>
      <c r="E563" s="16">
        <v>0</v>
      </c>
      <c r="F563" s="16">
        <v>0</v>
      </c>
      <c r="G563" s="16">
        <v>0</v>
      </c>
      <c r="H563" s="16">
        <v>0</v>
      </c>
      <c r="I563" s="16">
        <v>2</v>
      </c>
      <c r="J563" s="16">
        <f t="shared" si="117"/>
        <v>2</v>
      </c>
      <c r="K563" s="16">
        <f t="shared" si="118"/>
        <v>2</v>
      </c>
      <c r="L563" s="16">
        <f t="shared" si="119"/>
        <v>2</v>
      </c>
      <c r="M563" s="5">
        <f t="shared" ref="M563" si="147">AVERAGE((SUM(E563:I563)), (SUM(E564:I564)), (SUM(E565:I565)), (SUM(E566:I566)), (SUM(E567:I567)))</f>
        <v>3</v>
      </c>
      <c r="N563" s="5">
        <f t="shared" ref="N563" si="148">AVERAGE((SUM(D563*0+E563*1+F563*2+G563*3+H563*4+I563*5)/(5*100)*100), (SUM(D564*0+E564*1+F564*2+G564*3+H564*4+I564*5)/(5*100)*100), (SUM(D565*0+E565*1+F565*2+G565*3+H565*4+I565*5)/(5*100)*100), (SUM(D566*0+E566*1+F566*2+G566*3+H566*4+I566*5)/(5*100)*100), (SUM(D567*0+E567*1+F567*2+G567*3+H567*4+I567*5)/(5*100)*100))</f>
        <v>3</v>
      </c>
      <c r="O563" s="5">
        <f t="shared" ref="O563" si="149">AVERAGE(I563:I567)</f>
        <v>3</v>
      </c>
    </row>
    <row r="564" spans="2:15" x14ac:dyDescent="0.2">
      <c r="B564" s="64"/>
      <c r="C564" s="16">
        <v>2</v>
      </c>
      <c r="D564" s="16">
        <f t="shared" si="116"/>
        <v>98</v>
      </c>
      <c r="E564" s="16">
        <v>0</v>
      </c>
      <c r="F564" s="16">
        <v>0</v>
      </c>
      <c r="G564" s="16">
        <v>0</v>
      </c>
      <c r="H564" s="16">
        <v>0</v>
      </c>
      <c r="I564" s="16">
        <v>2</v>
      </c>
      <c r="J564" s="16">
        <f t="shared" si="117"/>
        <v>2</v>
      </c>
      <c r="K564" s="16">
        <f t="shared" si="118"/>
        <v>2</v>
      </c>
      <c r="L564" s="16">
        <f t="shared" si="119"/>
        <v>2</v>
      </c>
      <c r="M564" s="5"/>
      <c r="N564" s="5"/>
      <c r="O564" s="5"/>
    </row>
    <row r="565" spans="2:15" x14ac:dyDescent="0.2">
      <c r="B565" s="64"/>
      <c r="C565" s="16">
        <v>3</v>
      </c>
      <c r="D565" s="16">
        <f t="shared" si="116"/>
        <v>99</v>
      </c>
      <c r="E565" s="16">
        <v>0</v>
      </c>
      <c r="F565" s="16">
        <v>0</v>
      </c>
      <c r="G565" s="16">
        <v>0</v>
      </c>
      <c r="H565" s="16">
        <v>0</v>
      </c>
      <c r="I565" s="16">
        <v>1</v>
      </c>
      <c r="J565" s="16">
        <f t="shared" si="117"/>
        <v>1</v>
      </c>
      <c r="K565" s="16">
        <f t="shared" si="118"/>
        <v>1</v>
      </c>
      <c r="L565" s="16">
        <f t="shared" si="119"/>
        <v>1</v>
      </c>
      <c r="M565" s="5"/>
      <c r="N565" s="5"/>
      <c r="O565" s="5"/>
    </row>
    <row r="566" spans="2:15" x14ac:dyDescent="0.2">
      <c r="B566" s="64"/>
      <c r="C566" s="16">
        <v>4</v>
      </c>
      <c r="D566" s="16">
        <f t="shared" si="116"/>
        <v>97</v>
      </c>
      <c r="E566" s="16">
        <v>0</v>
      </c>
      <c r="F566" s="16">
        <v>0</v>
      </c>
      <c r="G566" s="16">
        <v>0</v>
      </c>
      <c r="H566" s="16">
        <v>0</v>
      </c>
      <c r="I566" s="16">
        <v>3</v>
      </c>
      <c r="J566" s="16">
        <f t="shared" si="117"/>
        <v>3</v>
      </c>
      <c r="K566" s="16">
        <f t="shared" si="118"/>
        <v>3</v>
      </c>
      <c r="L566" s="16">
        <f t="shared" si="119"/>
        <v>3</v>
      </c>
      <c r="M566" s="5"/>
      <c r="N566" s="5"/>
      <c r="O566" s="5"/>
    </row>
    <row r="567" spans="2:15" x14ac:dyDescent="0.2">
      <c r="B567" s="64"/>
      <c r="C567" s="16">
        <v>5</v>
      </c>
      <c r="D567" s="16">
        <f t="shared" si="116"/>
        <v>93</v>
      </c>
      <c r="E567" s="16">
        <v>0</v>
      </c>
      <c r="F567" s="16">
        <v>0</v>
      </c>
      <c r="G567" s="16">
        <v>0</v>
      </c>
      <c r="H567" s="16">
        <v>0</v>
      </c>
      <c r="I567" s="16">
        <v>7</v>
      </c>
      <c r="J567" s="16">
        <f t="shared" si="117"/>
        <v>7</v>
      </c>
      <c r="K567" s="16">
        <f t="shared" si="118"/>
        <v>7.0000000000000009</v>
      </c>
      <c r="L567" s="16">
        <f t="shared" si="119"/>
        <v>7</v>
      </c>
      <c r="M567" s="5"/>
      <c r="N567" s="5"/>
      <c r="O567" s="5"/>
    </row>
    <row r="568" spans="2:15" x14ac:dyDescent="0.2">
      <c r="B568" s="64" t="s">
        <v>612</v>
      </c>
      <c r="C568" s="16">
        <v>1</v>
      </c>
      <c r="D568" s="16">
        <f t="shared" si="116"/>
        <v>94</v>
      </c>
      <c r="E568" s="16">
        <v>0</v>
      </c>
      <c r="F568" s="16">
        <v>3</v>
      </c>
      <c r="G568" s="16">
        <v>0</v>
      </c>
      <c r="H568" s="16">
        <v>0</v>
      </c>
      <c r="I568" s="16">
        <v>3</v>
      </c>
      <c r="J568" s="16">
        <f t="shared" si="117"/>
        <v>6</v>
      </c>
      <c r="K568" s="16">
        <f t="shared" si="118"/>
        <v>4.2</v>
      </c>
      <c r="L568" s="16">
        <f t="shared" si="119"/>
        <v>3</v>
      </c>
      <c r="M568" s="5">
        <f t="shared" ref="M568" si="150">AVERAGE((SUM(E568:I568)), (SUM(E569:I569)), (SUM(E570:I570)), (SUM(E571:I571)), (SUM(E572:I572)))</f>
        <v>4.4000000000000004</v>
      </c>
      <c r="N568" s="5">
        <f t="shared" ref="N568" si="151">AVERAGE((SUM(D568*0+E568*1+F568*2+G568*3+H568*4+I568*5)/(5*100)*100), (SUM(D569*0+E569*1+F569*2+G569*3+H569*4+I569*5)/(5*100)*100), (SUM(D570*0+E570*1+F570*2+G570*3+H570*4+I570*5)/(5*100)*100), (SUM(D571*0+E571*1+F571*2+G571*3+H571*4+I571*5)/(5*100)*100), (SUM(D572*0+E572*1+F572*2+G572*3+H572*4+I572*5)/(5*100)*100))</f>
        <v>3.8</v>
      </c>
      <c r="O568" s="5">
        <f t="shared" ref="O568" si="152">AVERAGE(I568:I572)</f>
        <v>3.4</v>
      </c>
    </row>
    <row r="569" spans="2:15" x14ac:dyDescent="0.2">
      <c r="B569" s="64"/>
      <c r="C569" s="16">
        <v>2</v>
      </c>
      <c r="D569" s="16">
        <f t="shared" si="116"/>
        <v>94</v>
      </c>
      <c r="E569" s="16">
        <v>0</v>
      </c>
      <c r="F569" s="16">
        <v>1</v>
      </c>
      <c r="G569" s="16">
        <v>0</v>
      </c>
      <c r="H569" s="16">
        <v>0</v>
      </c>
      <c r="I569" s="16">
        <v>5</v>
      </c>
      <c r="J569" s="16">
        <f t="shared" si="117"/>
        <v>6</v>
      </c>
      <c r="K569" s="16">
        <f t="shared" si="118"/>
        <v>5.4</v>
      </c>
      <c r="L569" s="16">
        <f t="shared" si="119"/>
        <v>5</v>
      </c>
      <c r="M569" s="5"/>
      <c r="N569" s="5"/>
      <c r="O569" s="5"/>
    </row>
    <row r="570" spans="2:15" x14ac:dyDescent="0.2">
      <c r="B570" s="64"/>
      <c r="C570" s="16">
        <v>3</v>
      </c>
      <c r="D570" s="16">
        <f t="shared" si="116"/>
        <v>98</v>
      </c>
      <c r="E570" s="16">
        <v>0</v>
      </c>
      <c r="F570" s="16">
        <v>0</v>
      </c>
      <c r="G570" s="16">
        <v>0</v>
      </c>
      <c r="H570" s="16">
        <v>0</v>
      </c>
      <c r="I570" s="16">
        <v>2</v>
      </c>
      <c r="J570" s="16">
        <f t="shared" si="117"/>
        <v>2</v>
      </c>
      <c r="K570" s="16">
        <f t="shared" si="118"/>
        <v>2</v>
      </c>
      <c r="L570" s="16">
        <f t="shared" si="119"/>
        <v>2</v>
      </c>
      <c r="M570" s="5"/>
      <c r="N570" s="5"/>
      <c r="O570" s="5"/>
    </row>
    <row r="571" spans="2:15" x14ac:dyDescent="0.2">
      <c r="B571" s="64"/>
      <c r="C571" s="16">
        <v>4</v>
      </c>
      <c r="D571" s="16">
        <f t="shared" si="116"/>
        <v>96</v>
      </c>
      <c r="E571" s="16">
        <v>0</v>
      </c>
      <c r="F571" s="16">
        <v>0</v>
      </c>
      <c r="G571" s="16">
        <v>0</v>
      </c>
      <c r="H571" s="16">
        <v>0</v>
      </c>
      <c r="I571" s="16">
        <v>4</v>
      </c>
      <c r="J571" s="16">
        <f t="shared" si="117"/>
        <v>4</v>
      </c>
      <c r="K571" s="16">
        <f t="shared" si="118"/>
        <v>4</v>
      </c>
      <c r="L571" s="16">
        <f t="shared" si="119"/>
        <v>4</v>
      </c>
      <c r="M571" s="5"/>
      <c r="N571" s="5"/>
      <c r="O571" s="5"/>
    </row>
    <row r="572" spans="2:15" x14ac:dyDescent="0.2">
      <c r="B572" s="64"/>
      <c r="C572" s="16">
        <v>5</v>
      </c>
      <c r="D572" s="16">
        <f t="shared" si="116"/>
        <v>96</v>
      </c>
      <c r="E572" s="16">
        <v>0</v>
      </c>
      <c r="F572" s="16">
        <v>1</v>
      </c>
      <c r="G572" s="16">
        <v>0</v>
      </c>
      <c r="H572" s="16">
        <v>0</v>
      </c>
      <c r="I572" s="16">
        <v>3</v>
      </c>
      <c r="J572" s="16">
        <f t="shared" si="117"/>
        <v>4</v>
      </c>
      <c r="K572" s="16">
        <f t="shared" si="118"/>
        <v>3.4000000000000004</v>
      </c>
      <c r="L572" s="16">
        <f t="shared" si="119"/>
        <v>3</v>
      </c>
      <c r="M572" s="5"/>
      <c r="N572" s="5"/>
      <c r="O572" s="5"/>
    </row>
    <row r="573" spans="2:15" x14ac:dyDescent="0.2">
      <c r="B573" s="64" t="s">
        <v>613</v>
      </c>
      <c r="C573" s="16">
        <v>1</v>
      </c>
      <c r="D573" s="16">
        <f t="shared" si="116"/>
        <v>65</v>
      </c>
      <c r="E573" s="16">
        <v>0</v>
      </c>
      <c r="F573" s="16">
        <v>0</v>
      </c>
      <c r="G573" s="16">
        <v>0</v>
      </c>
      <c r="H573" s="16">
        <v>0</v>
      </c>
      <c r="I573" s="16">
        <v>35</v>
      </c>
      <c r="J573" s="16">
        <f t="shared" si="117"/>
        <v>35</v>
      </c>
      <c r="K573" s="16">
        <f t="shared" si="118"/>
        <v>35</v>
      </c>
      <c r="L573" s="16">
        <f t="shared" si="119"/>
        <v>35</v>
      </c>
      <c r="M573" s="5">
        <f t="shared" ref="M573" si="153">AVERAGE((SUM(E573:I573)), (SUM(E574:I574)), (SUM(E575:I575)), (SUM(E576:I576)), (SUM(E577:I577)))</f>
        <v>50.4</v>
      </c>
      <c r="N573" s="5">
        <f t="shared" ref="N573" si="154">AVERAGE((SUM(D573*0+E573*1+F573*2+G573*3+H573*4+I573*5)/(5*100)*100), (SUM(D574*0+E574*1+F574*2+G574*3+H574*4+I574*5)/(5*100)*100), (SUM(D575*0+E575*1+F575*2+G575*3+H575*4+I575*5)/(5*100)*100), (SUM(D576*0+E576*1+F576*2+G576*3+H576*4+I576*5)/(5*100)*100), (SUM(D577*0+E577*1+F577*2+G577*3+H577*4+I577*5)/(5*100)*100))</f>
        <v>50.4</v>
      </c>
      <c r="O573" s="5">
        <f t="shared" ref="O573" si="155">AVERAGE(I573:I577)</f>
        <v>50.4</v>
      </c>
    </row>
    <row r="574" spans="2:15" x14ac:dyDescent="0.2">
      <c r="B574" s="64"/>
      <c r="C574" s="16">
        <v>2</v>
      </c>
      <c r="D574" s="16">
        <f t="shared" si="116"/>
        <v>78</v>
      </c>
      <c r="E574" s="16">
        <v>0</v>
      </c>
      <c r="F574" s="16">
        <v>0</v>
      </c>
      <c r="G574" s="16">
        <v>0</v>
      </c>
      <c r="H574" s="16">
        <v>0</v>
      </c>
      <c r="I574" s="16">
        <v>22</v>
      </c>
      <c r="J574" s="16">
        <f t="shared" si="117"/>
        <v>22</v>
      </c>
      <c r="K574" s="16">
        <f t="shared" si="118"/>
        <v>22</v>
      </c>
      <c r="L574" s="16">
        <f t="shared" si="119"/>
        <v>22</v>
      </c>
      <c r="M574" s="5"/>
      <c r="N574" s="5"/>
      <c r="O574" s="5"/>
    </row>
    <row r="575" spans="2:15" x14ac:dyDescent="0.2">
      <c r="B575" s="64"/>
      <c r="C575" s="16">
        <v>3</v>
      </c>
      <c r="D575" s="16">
        <f t="shared" si="116"/>
        <v>63</v>
      </c>
      <c r="E575" s="16">
        <v>0</v>
      </c>
      <c r="F575" s="16">
        <v>0</v>
      </c>
      <c r="G575" s="16">
        <v>0</v>
      </c>
      <c r="H575" s="16">
        <v>0</v>
      </c>
      <c r="I575" s="16">
        <v>37</v>
      </c>
      <c r="J575" s="16">
        <f t="shared" si="117"/>
        <v>37</v>
      </c>
      <c r="K575" s="16">
        <f t="shared" si="118"/>
        <v>37</v>
      </c>
      <c r="L575" s="16">
        <f t="shared" si="119"/>
        <v>37</v>
      </c>
      <c r="M575" s="5"/>
      <c r="N575" s="5"/>
      <c r="O575" s="5"/>
    </row>
    <row r="576" spans="2:15" x14ac:dyDescent="0.2">
      <c r="B576" s="64"/>
      <c r="C576" s="16">
        <v>4</v>
      </c>
      <c r="D576" s="16">
        <f t="shared" si="116"/>
        <v>27</v>
      </c>
      <c r="E576" s="16">
        <v>0</v>
      </c>
      <c r="F576" s="16">
        <v>0</v>
      </c>
      <c r="G576" s="16">
        <v>0</v>
      </c>
      <c r="H576" s="16">
        <v>0</v>
      </c>
      <c r="I576" s="16">
        <v>73</v>
      </c>
      <c r="J576" s="16">
        <f t="shared" si="117"/>
        <v>73</v>
      </c>
      <c r="K576" s="16">
        <f t="shared" si="118"/>
        <v>73</v>
      </c>
      <c r="L576" s="16">
        <f t="shared" si="119"/>
        <v>73</v>
      </c>
      <c r="M576" s="5"/>
      <c r="N576" s="5"/>
      <c r="O576" s="5"/>
    </row>
    <row r="577" spans="2:15" x14ac:dyDescent="0.2">
      <c r="B577" s="64"/>
      <c r="C577" s="16">
        <v>5</v>
      </c>
      <c r="D577" s="16">
        <f t="shared" si="116"/>
        <v>15</v>
      </c>
      <c r="E577" s="16">
        <v>0</v>
      </c>
      <c r="F577" s="16">
        <v>0</v>
      </c>
      <c r="G577" s="16">
        <v>0</v>
      </c>
      <c r="H577" s="16">
        <v>0</v>
      </c>
      <c r="I577" s="16">
        <v>85</v>
      </c>
      <c r="J577" s="16">
        <f t="shared" si="117"/>
        <v>85</v>
      </c>
      <c r="K577" s="16">
        <f t="shared" si="118"/>
        <v>85</v>
      </c>
      <c r="L577" s="16">
        <f t="shared" si="119"/>
        <v>85</v>
      </c>
      <c r="M577" s="5"/>
      <c r="N577" s="5"/>
      <c r="O577" s="5"/>
    </row>
    <row r="578" spans="2:15" x14ac:dyDescent="0.2">
      <c r="B578" s="64" t="s">
        <v>614</v>
      </c>
      <c r="C578" s="16">
        <v>1</v>
      </c>
      <c r="D578" s="16">
        <f t="shared" si="116"/>
        <v>93</v>
      </c>
      <c r="E578" s="16">
        <v>2</v>
      </c>
      <c r="F578" s="16">
        <v>2</v>
      </c>
      <c r="G578" s="16">
        <v>0</v>
      </c>
      <c r="H578" s="16">
        <v>0</v>
      </c>
      <c r="I578" s="16">
        <v>3</v>
      </c>
      <c r="J578" s="16">
        <f t="shared" si="117"/>
        <v>7</v>
      </c>
      <c r="K578" s="16">
        <f t="shared" si="118"/>
        <v>4.2</v>
      </c>
      <c r="L578" s="16">
        <f t="shared" si="119"/>
        <v>3</v>
      </c>
      <c r="M578" s="5">
        <f t="shared" ref="M578" si="156">AVERAGE((SUM(E578:I578)), (SUM(E579:I579)), (SUM(E580:I580)), (SUM(E581:I581)), (SUM(E582:I582)))</f>
        <v>7</v>
      </c>
      <c r="N578" s="5">
        <f t="shared" ref="N578" si="157">AVERAGE((SUM(D578*0+E578*1+F578*2+G578*3+H578*4+I578*5)/(5*100)*100), (SUM(D579*0+E579*1+F579*2+G579*3+H579*4+I579*5)/(5*100)*100), (SUM(D580*0+E580*1+F580*2+G580*3+H580*4+I580*5)/(5*100)*100), (SUM(D581*0+E581*1+F581*2+G581*3+H581*4+I581*5)/(5*100)*100), (SUM(D582*0+E582*1+F582*2+G582*3+H582*4+I582*5)/(5*100)*100))</f>
        <v>4.04</v>
      </c>
      <c r="O578" s="5">
        <f t="shared" ref="O578" si="158">AVERAGE(I578:I582)</f>
        <v>2.8</v>
      </c>
    </row>
    <row r="579" spans="2:15" x14ac:dyDescent="0.2">
      <c r="B579" s="64"/>
      <c r="C579" s="16">
        <v>2</v>
      </c>
      <c r="D579" s="16">
        <f t="shared" ref="D579:D642" si="159">100-(SUM(E579:I579))</f>
        <v>96</v>
      </c>
      <c r="E579" s="16">
        <v>4</v>
      </c>
      <c r="F579" s="16">
        <v>0</v>
      </c>
      <c r="G579" s="16">
        <v>0</v>
      </c>
      <c r="H579" s="16">
        <v>0</v>
      </c>
      <c r="I579" s="16">
        <v>0</v>
      </c>
      <c r="J579" s="16">
        <f t="shared" si="117"/>
        <v>4</v>
      </c>
      <c r="K579" s="16">
        <f t="shared" si="118"/>
        <v>0.8</v>
      </c>
      <c r="L579" s="16">
        <f t="shared" si="119"/>
        <v>0</v>
      </c>
      <c r="M579" s="5"/>
      <c r="N579" s="5"/>
      <c r="O579" s="5"/>
    </row>
    <row r="580" spans="2:15" x14ac:dyDescent="0.2">
      <c r="B580" s="64"/>
      <c r="C580" s="16">
        <v>3</v>
      </c>
      <c r="D580" s="16">
        <f t="shared" si="159"/>
        <v>93</v>
      </c>
      <c r="E580" s="16">
        <v>3</v>
      </c>
      <c r="F580" s="16">
        <v>0</v>
      </c>
      <c r="G580" s="16">
        <v>0</v>
      </c>
      <c r="H580" s="16">
        <v>1</v>
      </c>
      <c r="I580" s="16">
        <v>3</v>
      </c>
      <c r="J580" s="16">
        <f t="shared" ref="J580:J643" si="160">SUM(E580:I580)</f>
        <v>7</v>
      </c>
      <c r="K580" s="16">
        <f t="shared" ref="K580:K643" si="161">AVERAGE(SUM(E580*1,F580*2,G580*3,H580*4,I580*5))/(5*100)*100</f>
        <v>4.3999999999999995</v>
      </c>
      <c r="L580" s="16">
        <f t="shared" ref="L580:L643" si="162">I580</f>
        <v>3</v>
      </c>
      <c r="M580" s="5"/>
      <c r="N580" s="5"/>
      <c r="O580" s="5"/>
    </row>
    <row r="581" spans="2:15" x14ac:dyDescent="0.2">
      <c r="B581" s="64"/>
      <c r="C581" s="16">
        <v>4</v>
      </c>
      <c r="D581" s="16">
        <f t="shared" si="159"/>
        <v>90</v>
      </c>
      <c r="E581" s="16">
        <v>3</v>
      </c>
      <c r="F581" s="16">
        <v>0</v>
      </c>
      <c r="G581" s="16">
        <v>1</v>
      </c>
      <c r="H581" s="16">
        <v>1</v>
      </c>
      <c r="I581" s="16">
        <v>5</v>
      </c>
      <c r="J581" s="16">
        <f t="shared" si="160"/>
        <v>10</v>
      </c>
      <c r="K581" s="16">
        <f t="shared" si="161"/>
        <v>7.0000000000000009</v>
      </c>
      <c r="L581" s="16">
        <f t="shared" si="162"/>
        <v>5</v>
      </c>
      <c r="M581" s="5"/>
      <c r="N581" s="5"/>
      <c r="O581" s="5"/>
    </row>
    <row r="582" spans="2:15" x14ac:dyDescent="0.2">
      <c r="B582" s="64"/>
      <c r="C582" s="16">
        <v>5</v>
      </c>
      <c r="D582" s="16">
        <f t="shared" si="159"/>
        <v>93</v>
      </c>
      <c r="E582" s="16">
        <v>4</v>
      </c>
      <c r="F582" s="16">
        <v>0</v>
      </c>
      <c r="G582" s="16">
        <v>0</v>
      </c>
      <c r="H582" s="16">
        <v>0</v>
      </c>
      <c r="I582" s="16">
        <v>3</v>
      </c>
      <c r="J582" s="16">
        <f t="shared" si="160"/>
        <v>7</v>
      </c>
      <c r="K582" s="16">
        <f t="shared" si="161"/>
        <v>3.8</v>
      </c>
      <c r="L582" s="16">
        <f t="shared" si="162"/>
        <v>3</v>
      </c>
      <c r="M582" s="5"/>
      <c r="N582" s="5"/>
      <c r="O582" s="5"/>
    </row>
    <row r="583" spans="2:15" x14ac:dyDescent="0.2">
      <c r="B583" s="64" t="s">
        <v>615</v>
      </c>
      <c r="C583" s="16">
        <v>1</v>
      </c>
      <c r="D583" s="16">
        <f t="shared" si="159"/>
        <v>37</v>
      </c>
      <c r="E583" s="16">
        <v>0</v>
      </c>
      <c r="F583" s="16">
        <v>0</v>
      </c>
      <c r="G583" s="16">
        <v>0</v>
      </c>
      <c r="H583" s="16">
        <v>0</v>
      </c>
      <c r="I583" s="16">
        <v>63</v>
      </c>
      <c r="J583" s="16">
        <f t="shared" si="160"/>
        <v>63</v>
      </c>
      <c r="K583" s="16">
        <f t="shared" si="161"/>
        <v>63</v>
      </c>
      <c r="L583" s="16">
        <f t="shared" si="162"/>
        <v>63</v>
      </c>
      <c r="M583" s="5">
        <f t="shared" ref="M583" si="163">AVERAGE((SUM(E583:I583)), (SUM(E584:I584)), (SUM(E585:I585)), (SUM(E586:I586)), (SUM(E587:I587)))</f>
        <v>28.4</v>
      </c>
      <c r="N583" s="5">
        <f t="shared" ref="N583" si="164">AVERAGE((SUM(D583*0+E583*1+F583*2+G583*3+H583*4+I583*5)/(5*100)*100), (SUM(D584*0+E584*1+F584*2+G584*3+H584*4+I584*5)/(5*100)*100), (SUM(D585*0+E585*1+F585*2+G585*3+H585*4+I585*5)/(5*100)*100), (SUM(D586*0+E586*1+F586*2+G586*3+H586*4+I586*5)/(5*100)*100), (SUM(D587*0+E587*1+F587*2+G587*3+H587*4+I587*5)/(5*100)*100))</f>
        <v>28.119999999999997</v>
      </c>
      <c r="O583" s="5">
        <f t="shared" ref="O583" si="165">AVERAGE(I583:I587)</f>
        <v>28</v>
      </c>
    </row>
    <row r="584" spans="2:15" x14ac:dyDescent="0.2">
      <c r="B584" s="64"/>
      <c r="C584" s="16">
        <v>2</v>
      </c>
      <c r="D584" s="16">
        <f t="shared" si="159"/>
        <v>28</v>
      </c>
      <c r="E584" s="16">
        <v>0</v>
      </c>
      <c r="F584" s="16">
        <v>0</v>
      </c>
      <c r="G584" s="16">
        <v>0</v>
      </c>
      <c r="H584" s="16">
        <v>0</v>
      </c>
      <c r="I584" s="16">
        <v>72</v>
      </c>
      <c r="J584" s="16">
        <f t="shared" si="160"/>
        <v>72</v>
      </c>
      <c r="K584" s="16">
        <f t="shared" si="161"/>
        <v>72</v>
      </c>
      <c r="L584" s="16">
        <f t="shared" si="162"/>
        <v>72</v>
      </c>
      <c r="M584" s="5"/>
      <c r="N584" s="5"/>
      <c r="O584" s="5"/>
    </row>
    <row r="585" spans="2:15" x14ac:dyDescent="0.2">
      <c r="B585" s="64"/>
      <c r="C585" s="16">
        <v>3</v>
      </c>
      <c r="D585" s="16">
        <f t="shared" si="159"/>
        <v>94</v>
      </c>
      <c r="E585" s="16">
        <v>0</v>
      </c>
      <c r="F585" s="16">
        <v>1</v>
      </c>
      <c r="G585" s="16">
        <v>0</v>
      </c>
      <c r="H585" s="16">
        <v>0</v>
      </c>
      <c r="I585" s="16">
        <v>5</v>
      </c>
      <c r="J585" s="16">
        <f t="shared" si="160"/>
        <v>6</v>
      </c>
      <c r="K585" s="16">
        <f t="shared" si="161"/>
        <v>5.4</v>
      </c>
      <c r="L585" s="16">
        <f t="shared" si="162"/>
        <v>5</v>
      </c>
      <c r="M585" s="5"/>
      <c r="N585" s="5"/>
      <c r="O585" s="5"/>
    </row>
    <row r="586" spans="2:15" x14ac:dyDescent="0.2">
      <c r="B586" s="64"/>
      <c r="C586" s="16">
        <v>4</v>
      </c>
      <c r="D586" s="16">
        <f t="shared" si="159"/>
        <v>99</v>
      </c>
      <c r="E586" s="16">
        <v>1</v>
      </c>
      <c r="F586" s="16">
        <v>0</v>
      </c>
      <c r="G586" s="16">
        <v>0</v>
      </c>
      <c r="H586" s="16">
        <v>0</v>
      </c>
      <c r="I586" s="16">
        <v>0</v>
      </c>
      <c r="J586" s="16">
        <f t="shared" si="160"/>
        <v>1</v>
      </c>
      <c r="K586" s="16">
        <f t="shared" si="161"/>
        <v>0.2</v>
      </c>
      <c r="L586" s="16">
        <f t="shared" si="162"/>
        <v>0</v>
      </c>
      <c r="M586" s="5"/>
      <c r="N586" s="5"/>
      <c r="O586" s="5"/>
    </row>
    <row r="587" spans="2:15" x14ac:dyDescent="0.2">
      <c r="B587" s="64"/>
      <c r="C587" s="16">
        <v>5</v>
      </c>
      <c r="D587" s="16">
        <f t="shared" si="159"/>
        <v>100</v>
      </c>
      <c r="E587" s="16">
        <v>0</v>
      </c>
      <c r="F587" s="16">
        <v>0</v>
      </c>
      <c r="G587" s="16">
        <v>0</v>
      </c>
      <c r="H587" s="16">
        <v>0</v>
      </c>
      <c r="I587" s="16">
        <v>0</v>
      </c>
      <c r="J587" s="16">
        <f t="shared" si="160"/>
        <v>0</v>
      </c>
      <c r="K587" s="16">
        <f t="shared" si="161"/>
        <v>0</v>
      </c>
      <c r="L587" s="16">
        <f t="shared" si="162"/>
        <v>0</v>
      </c>
      <c r="M587" s="5"/>
      <c r="N587" s="5"/>
      <c r="O587" s="5"/>
    </row>
    <row r="588" spans="2:15" x14ac:dyDescent="0.2">
      <c r="B588" s="64" t="s">
        <v>616</v>
      </c>
      <c r="C588" s="16">
        <v>1</v>
      </c>
      <c r="D588" s="16">
        <f t="shared" si="159"/>
        <v>99</v>
      </c>
      <c r="E588" s="16">
        <v>1</v>
      </c>
      <c r="F588" s="16">
        <v>0</v>
      </c>
      <c r="G588" s="16">
        <v>0</v>
      </c>
      <c r="H588" s="16">
        <v>0</v>
      </c>
      <c r="I588" s="16">
        <v>0</v>
      </c>
      <c r="J588" s="16">
        <f t="shared" si="160"/>
        <v>1</v>
      </c>
      <c r="K588" s="16">
        <f t="shared" si="161"/>
        <v>0.2</v>
      </c>
      <c r="L588" s="16">
        <f t="shared" si="162"/>
        <v>0</v>
      </c>
      <c r="M588" s="5">
        <f t="shared" ref="M588" si="166">AVERAGE((SUM(E588:I588)), (SUM(E589:I589)), (SUM(E590:I590)), (SUM(E591:I591)), (SUM(E592:I592)))</f>
        <v>10.4</v>
      </c>
      <c r="N588" s="5">
        <f t="shared" ref="N588" si="167">AVERAGE((SUM(D588*0+E588*1+F588*2+G588*3+H588*4+I588*5)/(5*100)*100), (SUM(D589*0+E589*1+F589*2+G589*3+H589*4+I589*5)/(5*100)*100), (SUM(D590*0+E590*1+F590*2+G590*3+H590*4+I590*5)/(5*100)*100), (SUM(D591*0+E591*1+F591*2+G591*3+H591*4+I591*5)/(5*100)*100), (SUM(D592*0+E592*1+F592*2+G592*3+H592*4+I592*5)/(5*100)*100))</f>
        <v>9.2799999999999994</v>
      </c>
      <c r="O588" s="5">
        <f t="shared" ref="O588" si="168">AVERAGE(I588:I592)</f>
        <v>9</v>
      </c>
    </row>
    <row r="589" spans="2:15" x14ac:dyDescent="0.2">
      <c r="B589" s="64"/>
      <c r="C589" s="16">
        <v>2</v>
      </c>
      <c r="D589" s="16">
        <f t="shared" si="159"/>
        <v>93</v>
      </c>
      <c r="E589" s="16">
        <v>2</v>
      </c>
      <c r="F589" s="16">
        <v>0</v>
      </c>
      <c r="G589" s="16">
        <v>0</v>
      </c>
      <c r="H589" s="16">
        <v>0</v>
      </c>
      <c r="I589" s="16">
        <v>5</v>
      </c>
      <c r="J589" s="16">
        <f t="shared" si="160"/>
        <v>7</v>
      </c>
      <c r="K589" s="16">
        <f t="shared" si="161"/>
        <v>5.4</v>
      </c>
      <c r="L589" s="16">
        <f t="shared" si="162"/>
        <v>5</v>
      </c>
      <c r="M589" s="5"/>
      <c r="N589" s="5"/>
      <c r="O589" s="5"/>
    </row>
    <row r="590" spans="2:15" x14ac:dyDescent="0.2">
      <c r="B590" s="64"/>
      <c r="C590" s="16">
        <v>3</v>
      </c>
      <c r="D590" s="16">
        <f t="shared" si="159"/>
        <v>83</v>
      </c>
      <c r="E590" s="16">
        <v>3</v>
      </c>
      <c r="F590" s="16">
        <v>0</v>
      </c>
      <c r="G590" s="16">
        <v>0</v>
      </c>
      <c r="H590" s="16">
        <v>0</v>
      </c>
      <c r="I590" s="16">
        <v>14</v>
      </c>
      <c r="J590" s="16">
        <f t="shared" si="160"/>
        <v>17</v>
      </c>
      <c r="K590" s="16">
        <f t="shared" si="161"/>
        <v>14.6</v>
      </c>
      <c r="L590" s="16">
        <f t="shared" si="162"/>
        <v>14</v>
      </c>
      <c r="M590" s="5"/>
      <c r="N590" s="5"/>
      <c r="O590" s="5"/>
    </row>
    <row r="591" spans="2:15" x14ac:dyDescent="0.2">
      <c r="B591" s="64"/>
      <c r="C591" s="16">
        <v>4</v>
      </c>
      <c r="D591" s="16">
        <f t="shared" si="159"/>
        <v>84</v>
      </c>
      <c r="E591" s="16">
        <v>1</v>
      </c>
      <c r="F591" s="16">
        <v>0</v>
      </c>
      <c r="G591" s="16">
        <v>0</v>
      </c>
      <c r="H591" s="16">
        <v>0</v>
      </c>
      <c r="I591" s="16">
        <v>15</v>
      </c>
      <c r="J591" s="16">
        <f t="shared" si="160"/>
        <v>16</v>
      </c>
      <c r="K591" s="16">
        <f t="shared" si="161"/>
        <v>15.2</v>
      </c>
      <c r="L591" s="16">
        <f t="shared" si="162"/>
        <v>15</v>
      </c>
      <c r="M591" s="5"/>
      <c r="N591" s="5"/>
      <c r="O591" s="5"/>
    </row>
    <row r="592" spans="2:15" x14ac:dyDescent="0.2">
      <c r="B592" s="64"/>
      <c r="C592" s="16">
        <v>5</v>
      </c>
      <c r="D592" s="16">
        <f t="shared" si="159"/>
        <v>89</v>
      </c>
      <c r="E592" s="16">
        <v>0</v>
      </c>
      <c r="F592" s="16">
        <v>0</v>
      </c>
      <c r="G592" s="16">
        <v>0</v>
      </c>
      <c r="H592" s="16">
        <v>0</v>
      </c>
      <c r="I592" s="16">
        <v>11</v>
      </c>
      <c r="J592" s="16">
        <f t="shared" si="160"/>
        <v>11</v>
      </c>
      <c r="K592" s="16">
        <f t="shared" si="161"/>
        <v>11</v>
      </c>
      <c r="L592" s="16">
        <f t="shared" si="162"/>
        <v>11</v>
      </c>
      <c r="M592" s="5"/>
      <c r="N592" s="5"/>
      <c r="O592" s="5"/>
    </row>
    <row r="593" spans="2:15" x14ac:dyDescent="0.2">
      <c r="B593" s="64" t="s">
        <v>617</v>
      </c>
      <c r="C593" s="16">
        <v>1</v>
      </c>
      <c r="D593" s="16">
        <f t="shared" si="159"/>
        <v>59</v>
      </c>
      <c r="E593" s="16">
        <v>0</v>
      </c>
      <c r="F593" s="16">
        <v>0</v>
      </c>
      <c r="G593" s="16">
        <v>0</v>
      </c>
      <c r="H593" s="16">
        <v>0</v>
      </c>
      <c r="I593" s="16">
        <v>41</v>
      </c>
      <c r="J593" s="16">
        <f t="shared" si="160"/>
        <v>41</v>
      </c>
      <c r="K593" s="16">
        <f t="shared" si="161"/>
        <v>41</v>
      </c>
      <c r="L593" s="16">
        <f t="shared" si="162"/>
        <v>41</v>
      </c>
      <c r="M593" s="5">
        <f t="shared" ref="M593" si="169">AVERAGE((SUM(E593:I593)), (SUM(E594:I594)), (SUM(E595:I595)), (SUM(E596:I596)), (SUM(E597:I597)))</f>
        <v>49.6</v>
      </c>
      <c r="N593" s="5">
        <f t="shared" ref="N593" si="170">AVERAGE((SUM(D593*0+E593*1+F593*2+G593*3+H593*4+I593*5)/(5*100)*100), (SUM(D594*0+E594*1+F594*2+G594*3+H594*4+I594*5)/(5*100)*100), (SUM(D595*0+E595*1+F595*2+G595*3+H595*4+I595*5)/(5*100)*100), (SUM(D596*0+E596*1+F596*2+G596*3+H596*4+I596*5)/(5*100)*100), (SUM(D597*0+E597*1+F597*2+G597*3+H597*4+I597*5)/(5*100)*100))</f>
        <v>49.6</v>
      </c>
      <c r="O593" s="5">
        <f t="shared" ref="O593" si="171">AVERAGE(I593:I597)</f>
        <v>49.6</v>
      </c>
    </row>
    <row r="594" spans="2:15" x14ac:dyDescent="0.2">
      <c r="B594" s="64"/>
      <c r="C594" s="16">
        <v>2</v>
      </c>
      <c r="D594" s="16">
        <f t="shared" si="159"/>
        <v>32</v>
      </c>
      <c r="E594" s="16">
        <v>0</v>
      </c>
      <c r="F594" s="16">
        <v>0</v>
      </c>
      <c r="G594" s="16">
        <v>0</v>
      </c>
      <c r="H594" s="16">
        <v>0</v>
      </c>
      <c r="I594" s="16">
        <v>68</v>
      </c>
      <c r="J594" s="16">
        <f t="shared" si="160"/>
        <v>68</v>
      </c>
      <c r="K594" s="16">
        <f t="shared" si="161"/>
        <v>68</v>
      </c>
      <c r="L594" s="16">
        <f t="shared" si="162"/>
        <v>68</v>
      </c>
      <c r="M594" s="5"/>
      <c r="N594" s="5"/>
      <c r="O594" s="5"/>
    </row>
    <row r="595" spans="2:15" x14ac:dyDescent="0.2">
      <c r="B595" s="64"/>
      <c r="C595" s="16">
        <v>3</v>
      </c>
      <c r="D595" s="16">
        <f t="shared" si="159"/>
        <v>47</v>
      </c>
      <c r="E595" s="16">
        <v>0</v>
      </c>
      <c r="F595" s="16">
        <v>0</v>
      </c>
      <c r="G595" s="16">
        <v>0</v>
      </c>
      <c r="H595" s="16">
        <v>0</v>
      </c>
      <c r="I595" s="16">
        <v>53</v>
      </c>
      <c r="J595" s="16">
        <f t="shared" si="160"/>
        <v>53</v>
      </c>
      <c r="K595" s="16">
        <f t="shared" si="161"/>
        <v>53</v>
      </c>
      <c r="L595" s="16">
        <f t="shared" si="162"/>
        <v>53</v>
      </c>
      <c r="M595" s="5"/>
      <c r="N595" s="5"/>
      <c r="O595" s="5"/>
    </row>
    <row r="596" spans="2:15" x14ac:dyDescent="0.2">
      <c r="B596" s="64"/>
      <c r="C596" s="16">
        <v>4</v>
      </c>
      <c r="D596" s="16">
        <f t="shared" si="159"/>
        <v>51</v>
      </c>
      <c r="E596" s="16">
        <v>0</v>
      </c>
      <c r="F596" s="16">
        <v>0</v>
      </c>
      <c r="G596" s="16">
        <v>0</v>
      </c>
      <c r="H596" s="16">
        <v>0</v>
      </c>
      <c r="I596" s="16">
        <v>49</v>
      </c>
      <c r="J596" s="16">
        <f t="shared" si="160"/>
        <v>49</v>
      </c>
      <c r="K596" s="16">
        <f t="shared" si="161"/>
        <v>49</v>
      </c>
      <c r="L596" s="16">
        <f t="shared" si="162"/>
        <v>49</v>
      </c>
      <c r="M596" s="5"/>
      <c r="N596" s="5"/>
      <c r="O596" s="5"/>
    </row>
    <row r="597" spans="2:15" x14ac:dyDescent="0.2">
      <c r="B597" s="64"/>
      <c r="C597" s="16">
        <v>5</v>
      </c>
      <c r="D597" s="16">
        <f t="shared" si="159"/>
        <v>63</v>
      </c>
      <c r="E597" s="16">
        <v>0</v>
      </c>
      <c r="F597" s="16">
        <v>0</v>
      </c>
      <c r="G597" s="16">
        <v>0</v>
      </c>
      <c r="H597" s="16">
        <v>0</v>
      </c>
      <c r="I597" s="16">
        <v>37</v>
      </c>
      <c r="J597" s="16">
        <f t="shared" si="160"/>
        <v>37</v>
      </c>
      <c r="K597" s="16">
        <f t="shared" si="161"/>
        <v>37</v>
      </c>
      <c r="L597" s="16">
        <f t="shared" si="162"/>
        <v>37</v>
      </c>
      <c r="M597" s="5"/>
      <c r="N597" s="5"/>
      <c r="O597" s="5"/>
    </row>
    <row r="598" spans="2:15" x14ac:dyDescent="0.2">
      <c r="B598" s="64" t="s">
        <v>618</v>
      </c>
      <c r="C598" s="16">
        <v>1</v>
      </c>
      <c r="D598" s="16">
        <f t="shared" si="159"/>
        <v>70</v>
      </c>
      <c r="E598" s="16">
        <v>1</v>
      </c>
      <c r="F598" s="16">
        <v>0</v>
      </c>
      <c r="G598" s="16">
        <v>0</v>
      </c>
      <c r="H598" s="16">
        <v>0</v>
      </c>
      <c r="I598" s="16">
        <v>29</v>
      </c>
      <c r="J598" s="16">
        <f t="shared" si="160"/>
        <v>30</v>
      </c>
      <c r="K598" s="16">
        <f t="shared" si="161"/>
        <v>29.2</v>
      </c>
      <c r="L598" s="16">
        <f t="shared" si="162"/>
        <v>29</v>
      </c>
      <c r="M598" s="5">
        <f t="shared" ref="M598" si="172">AVERAGE((SUM(E598:I598)), (SUM(E599:I599)), (SUM(E600:I600)), (SUM(E601:I601)), (SUM(E602:I602)))</f>
        <v>31.6</v>
      </c>
      <c r="N598" s="5">
        <f t="shared" ref="N598" si="173">AVERAGE((SUM(D598*0+E598*1+F598*2+G598*3+H598*4+I598*5)/(5*100)*100), (SUM(D599*0+E599*1+F599*2+G599*3+H599*4+I599*5)/(5*100)*100), (SUM(D600*0+E600*1+F600*2+G600*3+H600*4+I600*5)/(5*100)*100), (SUM(D601*0+E601*1+F601*2+G601*3+H601*4+I601*5)/(5*100)*100), (SUM(D602*0+E602*1+F602*2+G602*3+H602*4+I602*5)/(5*100)*100))</f>
        <v>31.439999999999998</v>
      </c>
      <c r="O598" s="5">
        <f t="shared" ref="O598" si="174">AVERAGE(I598:I602)</f>
        <v>31.4</v>
      </c>
    </row>
    <row r="599" spans="2:15" x14ac:dyDescent="0.2">
      <c r="B599" s="64"/>
      <c r="C599" s="16">
        <v>2</v>
      </c>
      <c r="D599" s="16">
        <f t="shared" si="159"/>
        <v>54</v>
      </c>
      <c r="E599" s="16">
        <v>0</v>
      </c>
      <c r="F599" s="16">
        <v>0</v>
      </c>
      <c r="G599" s="16">
        <v>0</v>
      </c>
      <c r="H599" s="16">
        <v>0</v>
      </c>
      <c r="I599" s="16">
        <v>46</v>
      </c>
      <c r="J599" s="16">
        <f t="shared" si="160"/>
        <v>46</v>
      </c>
      <c r="K599" s="16">
        <f t="shared" si="161"/>
        <v>46</v>
      </c>
      <c r="L599" s="16">
        <f t="shared" si="162"/>
        <v>46</v>
      </c>
      <c r="M599" s="5"/>
      <c r="N599" s="5"/>
      <c r="O599" s="5"/>
    </row>
    <row r="600" spans="2:15" x14ac:dyDescent="0.2">
      <c r="B600" s="64"/>
      <c r="C600" s="16">
        <v>3</v>
      </c>
      <c r="D600" s="16">
        <f t="shared" si="159"/>
        <v>78</v>
      </c>
      <c r="E600" s="16">
        <v>0</v>
      </c>
      <c r="F600" s="16">
        <v>0</v>
      </c>
      <c r="G600" s="16">
        <v>0</v>
      </c>
      <c r="H600" s="16">
        <v>0</v>
      </c>
      <c r="I600" s="16">
        <v>22</v>
      </c>
      <c r="J600" s="16">
        <f t="shared" si="160"/>
        <v>22</v>
      </c>
      <c r="K600" s="16">
        <f t="shared" si="161"/>
        <v>22</v>
      </c>
      <c r="L600" s="16">
        <f t="shared" si="162"/>
        <v>22</v>
      </c>
      <c r="M600" s="5"/>
      <c r="N600" s="5"/>
      <c r="O600" s="5"/>
    </row>
    <row r="601" spans="2:15" x14ac:dyDescent="0.2">
      <c r="B601" s="64"/>
      <c r="C601" s="16">
        <v>4</v>
      </c>
      <c r="D601" s="16">
        <f t="shared" si="159"/>
        <v>63</v>
      </c>
      <c r="E601" s="16">
        <v>0</v>
      </c>
      <c r="F601" s="16">
        <v>0</v>
      </c>
      <c r="G601" s="16">
        <v>0</v>
      </c>
      <c r="H601" s="16">
        <v>0</v>
      </c>
      <c r="I601" s="16">
        <v>37</v>
      </c>
      <c r="J601" s="16">
        <f t="shared" si="160"/>
        <v>37</v>
      </c>
      <c r="K601" s="16">
        <f t="shared" si="161"/>
        <v>37</v>
      </c>
      <c r="L601" s="16">
        <f t="shared" si="162"/>
        <v>37</v>
      </c>
      <c r="M601" s="5"/>
      <c r="N601" s="5"/>
      <c r="O601" s="5"/>
    </row>
    <row r="602" spans="2:15" x14ac:dyDescent="0.2">
      <c r="B602" s="64"/>
      <c r="C602" s="16">
        <v>5</v>
      </c>
      <c r="D602" s="16">
        <f t="shared" si="159"/>
        <v>77</v>
      </c>
      <c r="E602" s="16">
        <v>0</v>
      </c>
      <c r="F602" s="16">
        <v>0</v>
      </c>
      <c r="G602" s="16">
        <v>0</v>
      </c>
      <c r="H602" s="16">
        <v>0</v>
      </c>
      <c r="I602" s="16">
        <v>23</v>
      </c>
      <c r="J602" s="16">
        <f t="shared" si="160"/>
        <v>23</v>
      </c>
      <c r="K602" s="16">
        <f t="shared" si="161"/>
        <v>23</v>
      </c>
      <c r="L602" s="16">
        <f t="shared" si="162"/>
        <v>23</v>
      </c>
      <c r="M602" s="5"/>
      <c r="N602" s="5"/>
      <c r="O602" s="5"/>
    </row>
    <row r="603" spans="2:15" x14ac:dyDescent="0.2">
      <c r="B603" s="64" t="s">
        <v>619</v>
      </c>
      <c r="C603" s="16">
        <v>1</v>
      </c>
      <c r="D603" s="16">
        <f t="shared" si="159"/>
        <v>76</v>
      </c>
      <c r="E603" s="16">
        <v>0</v>
      </c>
      <c r="F603" s="16">
        <v>0</v>
      </c>
      <c r="G603" s="16">
        <v>0</v>
      </c>
      <c r="H603" s="16">
        <v>0</v>
      </c>
      <c r="I603" s="16">
        <v>24</v>
      </c>
      <c r="J603" s="16">
        <f t="shared" si="160"/>
        <v>24</v>
      </c>
      <c r="K603" s="16">
        <f t="shared" si="161"/>
        <v>24</v>
      </c>
      <c r="L603" s="16">
        <f t="shared" si="162"/>
        <v>24</v>
      </c>
      <c r="M603" s="5">
        <f t="shared" ref="M603" si="175">AVERAGE((SUM(E603:I603)), (SUM(E604:I604)), (SUM(E605:I605)), (SUM(E606:I606)), (SUM(E607:I607)))</f>
        <v>19.399999999999999</v>
      </c>
      <c r="N603" s="5">
        <f t="shared" ref="N603" si="176">AVERAGE((SUM(D603*0+E603*1+F603*2+G603*3+H603*4+I603*5)/(5*100)*100), (SUM(D604*0+E604*1+F604*2+G604*3+H604*4+I604*5)/(5*100)*100), (SUM(D605*0+E605*1+F605*2+G605*3+H605*4+I605*5)/(5*100)*100), (SUM(D606*0+E606*1+F606*2+G606*3+H606*4+I606*5)/(5*100)*100), (SUM(D607*0+E607*1+F607*2+G607*3+H607*4+I607*5)/(5*100)*100))</f>
        <v>19.399999999999999</v>
      </c>
      <c r="O603" s="5">
        <f t="shared" ref="O603" si="177">AVERAGE(I603:I607)</f>
        <v>19.399999999999999</v>
      </c>
    </row>
    <row r="604" spans="2:15" x14ac:dyDescent="0.2">
      <c r="B604" s="64"/>
      <c r="C604" s="16">
        <v>2</v>
      </c>
      <c r="D604" s="16">
        <f t="shared" si="159"/>
        <v>82</v>
      </c>
      <c r="E604" s="16">
        <v>0</v>
      </c>
      <c r="F604" s="16">
        <v>0</v>
      </c>
      <c r="G604" s="16">
        <v>0</v>
      </c>
      <c r="H604" s="16">
        <v>0</v>
      </c>
      <c r="I604" s="16">
        <v>18</v>
      </c>
      <c r="J604" s="16">
        <f t="shared" si="160"/>
        <v>18</v>
      </c>
      <c r="K604" s="16">
        <f t="shared" si="161"/>
        <v>18</v>
      </c>
      <c r="L604" s="16">
        <f t="shared" si="162"/>
        <v>18</v>
      </c>
      <c r="M604" s="5"/>
      <c r="N604" s="5"/>
      <c r="O604" s="5"/>
    </row>
    <row r="605" spans="2:15" x14ac:dyDescent="0.2">
      <c r="B605" s="64"/>
      <c r="C605" s="16">
        <v>3</v>
      </c>
      <c r="D605" s="16">
        <f t="shared" si="159"/>
        <v>79</v>
      </c>
      <c r="E605" s="16">
        <v>0</v>
      </c>
      <c r="F605" s="16">
        <v>0</v>
      </c>
      <c r="G605" s="16">
        <v>0</v>
      </c>
      <c r="H605" s="16">
        <v>0</v>
      </c>
      <c r="I605" s="16">
        <v>21</v>
      </c>
      <c r="J605" s="16">
        <f t="shared" si="160"/>
        <v>21</v>
      </c>
      <c r="K605" s="16">
        <f t="shared" si="161"/>
        <v>21</v>
      </c>
      <c r="L605" s="16">
        <f t="shared" si="162"/>
        <v>21</v>
      </c>
      <c r="M605" s="5"/>
      <c r="N605" s="5"/>
      <c r="O605" s="5"/>
    </row>
    <row r="606" spans="2:15" x14ac:dyDescent="0.2">
      <c r="B606" s="64"/>
      <c r="C606" s="16">
        <v>4</v>
      </c>
      <c r="D606" s="16">
        <f t="shared" si="159"/>
        <v>82</v>
      </c>
      <c r="E606" s="16">
        <v>0</v>
      </c>
      <c r="F606" s="16">
        <v>0</v>
      </c>
      <c r="G606" s="16">
        <v>0</v>
      </c>
      <c r="H606" s="16">
        <v>0</v>
      </c>
      <c r="I606" s="16">
        <v>18</v>
      </c>
      <c r="J606" s="16">
        <f t="shared" si="160"/>
        <v>18</v>
      </c>
      <c r="K606" s="16">
        <f t="shared" si="161"/>
        <v>18</v>
      </c>
      <c r="L606" s="16">
        <f t="shared" si="162"/>
        <v>18</v>
      </c>
      <c r="M606" s="5"/>
      <c r="N606" s="5"/>
      <c r="O606" s="5"/>
    </row>
    <row r="607" spans="2:15" x14ac:dyDescent="0.2">
      <c r="B607" s="64"/>
      <c r="C607" s="16">
        <v>5</v>
      </c>
      <c r="D607" s="16">
        <f t="shared" si="159"/>
        <v>84</v>
      </c>
      <c r="E607" s="16">
        <v>0</v>
      </c>
      <c r="F607" s="16">
        <v>0</v>
      </c>
      <c r="G607" s="16">
        <v>0</v>
      </c>
      <c r="H607" s="16">
        <v>0</v>
      </c>
      <c r="I607" s="16">
        <v>16</v>
      </c>
      <c r="J607" s="16">
        <f t="shared" si="160"/>
        <v>16</v>
      </c>
      <c r="K607" s="16">
        <f t="shared" si="161"/>
        <v>16</v>
      </c>
      <c r="L607" s="16">
        <f t="shared" si="162"/>
        <v>16</v>
      </c>
      <c r="M607" s="5"/>
      <c r="N607" s="5"/>
      <c r="O607" s="5"/>
    </row>
    <row r="608" spans="2:15" x14ac:dyDescent="0.2">
      <c r="B608" s="64" t="s">
        <v>620</v>
      </c>
      <c r="C608" s="16">
        <v>1</v>
      </c>
      <c r="D608" s="16">
        <f t="shared" si="159"/>
        <v>99</v>
      </c>
      <c r="E608" s="16">
        <v>0</v>
      </c>
      <c r="F608" s="16">
        <v>0</v>
      </c>
      <c r="G608" s="16">
        <v>0</v>
      </c>
      <c r="H608" s="16">
        <v>0</v>
      </c>
      <c r="I608" s="16">
        <v>1</v>
      </c>
      <c r="J608" s="16">
        <f t="shared" si="160"/>
        <v>1</v>
      </c>
      <c r="K608" s="16">
        <f t="shared" si="161"/>
        <v>1</v>
      </c>
      <c r="L608" s="16">
        <f t="shared" si="162"/>
        <v>1</v>
      </c>
      <c r="M608" s="5">
        <f t="shared" ref="M608" si="178">AVERAGE((SUM(E608:I608)), (SUM(E609:I609)), (SUM(E610:I610)), (SUM(E611:I611)), (SUM(E612:I612)))</f>
        <v>8</v>
      </c>
      <c r="N608" s="5">
        <f t="shared" ref="N608" si="179">AVERAGE((SUM(D608*0+E608*1+F608*2+G608*3+H608*4+I608*5)/(5*100)*100), (SUM(D609*0+E609*1+F609*2+G609*3+H609*4+I609*5)/(5*100)*100), (SUM(D610*0+E610*1+F610*2+G610*3+H610*4+I610*5)/(5*100)*100), (SUM(D611*0+E611*1+F611*2+G611*3+H611*4+I611*5)/(5*100)*100), (SUM(D612*0+E612*1+F612*2+G612*3+H612*4+I612*5)/(5*100)*100))</f>
        <v>7.76</v>
      </c>
      <c r="O608" s="5">
        <f t="shared" ref="O608" si="180">AVERAGE(I608:I612)</f>
        <v>7.6</v>
      </c>
    </row>
    <row r="609" spans="2:15" x14ac:dyDescent="0.2">
      <c r="B609" s="64"/>
      <c r="C609" s="16">
        <v>2</v>
      </c>
      <c r="D609" s="16">
        <f t="shared" si="159"/>
        <v>96</v>
      </c>
      <c r="E609" s="16">
        <v>0</v>
      </c>
      <c r="F609" s="16">
        <v>0</v>
      </c>
      <c r="G609" s="16">
        <v>0</v>
      </c>
      <c r="H609" s="16">
        <v>0</v>
      </c>
      <c r="I609" s="16">
        <v>4</v>
      </c>
      <c r="J609" s="16">
        <f t="shared" si="160"/>
        <v>4</v>
      </c>
      <c r="K609" s="16">
        <f t="shared" si="161"/>
        <v>4</v>
      </c>
      <c r="L609" s="16">
        <f t="shared" si="162"/>
        <v>4</v>
      </c>
      <c r="M609" s="5"/>
      <c r="N609" s="5"/>
      <c r="O609" s="5"/>
    </row>
    <row r="610" spans="2:15" x14ac:dyDescent="0.2">
      <c r="B610" s="64"/>
      <c r="C610" s="16">
        <v>3</v>
      </c>
      <c r="D610" s="16">
        <f t="shared" si="159"/>
        <v>93</v>
      </c>
      <c r="E610" s="16">
        <v>0</v>
      </c>
      <c r="F610" s="16">
        <v>0</v>
      </c>
      <c r="G610" s="16">
        <v>0</v>
      </c>
      <c r="H610" s="16">
        <v>0</v>
      </c>
      <c r="I610" s="16">
        <v>7</v>
      </c>
      <c r="J610" s="16">
        <f t="shared" si="160"/>
        <v>7</v>
      </c>
      <c r="K610" s="16">
        <f t="shared" si="161"/>
        <v>7.0000000000000009</v>
      </c>
      <c r="L610" s="16">
        <f t="shared" si="162"/>
        <v>7</v>
      </c>
      <c r="M610" s="5"/>
      <c r="N610" s="5"/>
      <c r="O610" s="5"/>
    </row>
    <row r="611" spans="2:15" x14ac:dyDescent="0.2">
      <c r="B611" s="64"/>
      <c r="C611" s="16">
        <v>4</v>
      </c>
      <c r="D611" s="16">
        <f t="shared" si="159"/>
        <v>95</v>
      </c>
      <c r="E611" s="16">
        <v>0</v>
      </c>
      <c r="F611" s="16">
        <v>0</v>
      </c>
      <c r="G611" s="16">
        <v>0</v>
      </c>
      <c r="H611" s="16">
        <v>0</v>
      </c>
      <c r="I611" s="16">
        <v>5</v>
      </c>
      <c r="J611" s="16">
        <f t="shared" si="160"/>
        <v>5</v>
      </c>
      <c r="K611" s="16">
        <f t="shared" si="161"/>
        <v>5</v>
      </c>
      <c r="L611" s="16">
        <f t="shared" si="162"/>
        <v>5</v>
      </c>
      <c r="M611" s="5"/>
      <c r="N611" s="5"/>
      <c r="O611" s="5"/>
    </row>
    <row r="612" spans="2:15" x14ac:dyDescent="0.2">
      <c r="B612" s="64"/>
      <c r="C612" s="16">
        <v>5</v>
      </c>
      <c r="D612" s="16">
        <f t="shared" si="159"/>
        <v>77</v>
      </c>
      <c r="E612" s="16">
        <v>0</v>
      </c>
      <c r="F612" s="16">
        <v>2</v>
      </c>
      <c r="G612" s="16">
        <v>0</v>
      </c>
      <c r="H612" s="16">
        <v>0</v>
      </c>
      <c r="I612" s="16">
        <v>21</v>
      </c>
      <c r="J612" s="16">
        <f t="shared" si="160"/>
        <v>23</v>
      </c>
      <c r="K612" s="16">
        <f t="shared" si="161"/>
        <v>21.8</v>
      </c>
      <c r="L612" s="16">
        <f t="shared" si="162"/>
        <v>21</v>
      </c>
      <c r="M612" s="5"/>
      <c r="N612" s="5"/>
      <c r="O612" s="5"/>
    </row>
    <row r="613" spans="2:15" x14ac:dyDescent="0.2">
      <c r="B613" s="64" t="s">
        <v>621</v>
      </c>
      <c r="C613" s="16">
        <v>1</v>
      </c>
      <c r="D613" s="16">
        <f t="shared" si="159"/>
        <v>39</v>
      </c>
      <c r="E613" s="16">
        <v>0</v>
      </c>
      <c r="F613" s="16">
        <v>0</v>
      </c>
      <c r="G613" s="16">
        <v>0</v>
      </c>
      <c r="H613" s="16">
        <v>0</v>
      </c>
      <c r="I613" s="16">
        <v>61</v>
      </c>
      <c r="J613" s="16">
        <f t="shared" si="160"/>
        <v>61</v>
      </c>
      <c r="K613" s="16">
        <f t="shared" si="161"/>
        <v>61</v>
      </c>
      <c r="L613" s="16">
        <f t="shared" si="162"/>
        <v>61</v>
      </c>
      <c r="M613" s="5">
        <f t="shared" ref="M613" si="181">AVERAGE((SUM(E613:I613)), (SUM(E614:I614)), (SUM(E615:I615)), (SUM(E616:I616)), (SUM(E617:I617)))</f>
        <v>12.2</v>
      </c>
      <c r="N613" s="5">
        <f t="shared" ref="N613" si="182">AVERAGE((SUM(D613*0+E613*1+F613*2+G613*3+H613*4+I613*5)/(5*100)*100), (SUM(D614*0+E614*1+F614*2+G614*3+H614*4+I614*5)/(5*100)*100), (SUM(D615*0+E615*1+F615*2+G615*3+H615*4+I615*5)/(5*100)*100), (SUM(D616*0+E616*1+F616*2+G616*3+H616*4+I616*5)/(5*100)*100), (SUM(D617*0+E617*1+F617*2+G617*3+H617*4+I617*5)/(5*100)*100))</f>
        <v>12.2</v>
      </c>
      <c r="O613" s="5">
        <f t="shared" ref="O613" si="183">AVERAGE(I613:I617)</f>
        <v>12.2</v>
      </c>
    </row>
    <row r="614" spans="2:15" x14ac:dyDescent="0.2">
      <c r="B614" s="64"/>
      <c r="C614" s="16">
        <v>2</v>
      </c>
      <c r="D614" s="16">
        <f t="shared" si="159"/>
        <v>100</v>
      </c>
      <c r="E614" s="16">
        <v>0</v>
      </c>
      <c r="F614" s="16">
        <v>0</v>
      </c>
      <c r="G614" s="16">
        <v>0</v>
      </c>
      <c r="H614" s="16">
        <v>0</v>
      </c>
      <c r="I614" s="16">
        <v>0</v>
      </c>
      <c r="J614" s="16">
        <f t="shared" si="160"/>
        <v>0</v>
      </c>
      <c r="K614" s="16">
        <f t="shared" si="161"/>
        <v>0</v>
      </c>
      <c r="L614" s="16">
        <f t="shared" si="162"/>
        <v>0</v>
      </c>
      <c r="M614" s="5"/>
      <c r="N614" s="5"/>
      <c r="O614" s="5"/>
    </row>
    <row r="615" spans="2:15" x14ac:dyDescent="0.2">
      <c r="B615" s="64"/>
      <c r="C615" s="16">
        <v>3</v>
      </c>
      <c r="D615" s="16">
        <f t="shared" si="159"/>
        <v>100</v>
      </c>
      <c r="E615" s="16">
        <v>0</v>
      </c>
      <c r="F615" s="16">
        <v>0</v>
      </c>
      <c r="G615" s="16">
        <v>0</v>
      </c>
      <c r="H615" s="16">
        <v>0</v>
      </c>
      <c r="I615" s="16">
        <v>0</v>
      </c>
      <c r="J615" s="16">
        <f t="shared" si="160"/>
        <v>0</v>
      </c>
      <c r="K615" s="16">
        <f t="shared" si="161"/>
        <v>0</v>
      </c>
      <c r="L615" s="16">
        <f t="shared" si="162"/>
        <v>0</v>
      </c>
      <c r="M615" s="5"/>
      <c r="N615" s="5"/>
      <c r="O615" s="5"/>
    </row>
    <row r="616" spans="2:15" x14ac:dyDescent="0.2">
      <c r="B616" s="64"/>
      <c r="C616" s="16">
        <v>4</v>
      </c>
      <c r="D616" s="16">
        <f t="shared" si="159"/>
        <v>100</v>
      </c>
      <c r="E616" s="16">
        <v>0</v>
      </c>
      <c r="F616" s="16">
        <v>0</v>
      </c>
      <c r="G616" s="16">
        <v>0</v>
      </c>
      <c r="H616" s="16">
        <v>0</v>
      </c>
      <c r="I616" s="16">
        <v>0</v>
      </c>
      <c r="J616" s="16">
        <f t="shared" si="160"/>
        <v>0</v>
      </c>
      <c r="K616" s="16">
        <f t="shared" si="161"/>
        <v>0</v>
      </c>
      <c r="L616" s="16">
        <f t="shared" si="162"/>
        <v>0</v>
      </c>
      <c r="M616" s="5"/>
      <c r="N616" s="5"/>
      <c r="O616" s="5"/>
    </row>
    <row r="617" spans="2:15" x14ac:dyDescent="0.2">
      <c r="B617" s="64"/>
      <c r="C617" s="16">
        <v>5</v>
      </c>
      <c r="D617" s="16">
        <f t="shared" si="159"/>
        <v>100</v>
      </c>
      <c r="E617" s="16">
        <v>0</v>
      </c>
      <c r="F617" s="16">
        <v>0</v>
      </c>
      <c r="G617" s="16">
        <v>0</v>
      </c>
      <c r="H617" s="16">
        <v>0</v>
      </c>
      <c r="I617" s="16">
        <v>0</v>
      </c>
      <c r="J617" s="16">
        <f t="shared" si="160"/>
        <v>0</v>
      </c>
      <c r="K617" s="16">
        <f t="shared" si="161"/>
        <v>0</v>
      </c>
      <c r="L617" s="16">
        <f t="shared" si="162"/>
        <v>0</v>
      </c>
      <c r="M617" s="5"/>
      <c r="N617" s="5"/>
      <c r="O617" s="5"/>
    </row>
    <row r="618" spans="2:15" x14ac:dyDescent="0.2">
      <c r="B618" s="64" t="s">
        <v>622</v>
      </c>
      <c r="C618" s="16">
        <v>1</v>
      </c>
      <c r="D618" s="16">
        <f t="shared" si="159"/>
        <v>92</v>
      </c>
      <c r="E618" s="16">
        <v>1</v>
      </c>
      <c r="F618" s="16">
        <v>1</v>
      </c>
      <c r="G618" s="16">
        <v>1</v>
      </c>
      <c r="H618" s="16">
        <v>3</v>
      </c>
      <c r="I618" s="16">
        <v>2</v>
      </c>
      <c r="J618" s="16">
        <f t="shared" si="160"/>
        <v>8</v>
      </c>
      <c r="K618" s="16">
        <f t="shared" si="161"/>
        <v>5.6000000000000005</v>
      </c>
      <c r="L618" s="16">
        <f t="shared" si="162"/>
        <v>2</v>
      </c>
      <c r="M618" s="5">
        <f t="shared" ref="M618" si="184">AVERAGE((SUM(E618:I618)), (SUM(E619:I619)), (SUM(E620:I620)), (SUM(E621:I621)), (SUM(E622:I622)))</f>
        <v>6.8</v>
      </c>
      <c r="N618" s="5">
        <f t="shared" ref="N618" si="185">AVERAGE((SUM(D618*0+E618*1+F618*2+G618*3+H618*4+I618*5)/(5*100)*100), (SUM(D619*0+E619*1+F619*2+G619*3+H619*4+I619*5)/(5*100)*100), (SUM(D620*0+E620*1+F620*2+G620*3+H620*4+I620*5)/(5*100)*100), (SUM(D621*0+E621*1+F621*2+G621*3+H621*4+I621*5)/(5*100)*100), (SUM(D622*0+E622*1+F622*2+G622*3+H622*4+I622*5)/(5*100)*100))</f>
        <v>4.16</v>
      </c>
      <c r="O618" s="5">
        <f t="shared" ref="O618" si="186">AVERAGE(I618:I622)</f>
        <v>1.2</v>
      </c>
    </row>
    <row r="619" spans="2:15" x14ac:dyDescent="0.2">
      <c r="B619" s="64"/>
      <c r="C619" s="16">
        <v>2</v>
      </c>
      <c r="D619" s="16">
        <f t="shared" si="159"/>
        <v>95</v>
      </c>
      <c r="E619" s="16">
        <v>2</v>
      </c>
      <c r="F619" s="16">
        <v>1</v>
      </c>
      <c r="G619" s="16">
        <v>2</v>
      </c>
      <c r="H619" s="16">
        <v>0</v>
      </c>
      <c r="I619" s="16">
        <v>0</v>
      </c>
      <c r="J619" s="16">
        <f t="shared" si="160"/>
        <v>5</v>
      </c>
      <c r="K619" s="16">
        <f t="shared" si="161"/>
        <v>2</v>
      </c>
      <c r="L619" s="16">
        <f t="shared" si="162"/>
        <v>0</v>
      </c>
      <c r="M619" s="5"/>
      <c r="N619" s="5"/>
      <c r="O619" s="5"/>
    </row>
    <row r="620" spans="2:15" x14ac:dyDescent="0.2">
      <c r="B620" s="64"/>
      <c r="C620" s="16">
        <v>3</v>
      </c>
      <c r="D620" s="16">
        <f t="shared" si="159"/>
        <v>92</v>
      </c>
      <c r="E620" s="16">
        <v>1</v>
      </c>
      <c r="F620" s="16">
        <v>1</v>
      </c>
      <c r="G620" s="16">
        <v>1</v>
      </c>
      <c r="H620" s="16">
        <v>3</v>
      </c>
      <c r="I620" s="16">
        <v>2</v>
      </c>
      <c r="J620" s="16">
        <f t="shared" si="160"/>
        <v>8</v>
      </c>
      <c r="K620" s="16">
        <f t="shared" si="161"/>
        <v>5.6000000000000005</v>
      </c>
      <c r="L620" s="16">
        <f t="shared" si="162"/>
        <v>2</v>
      </c>
      <c r="M620" s="5"/>
      <c r="N620" s="5"/>
      <c r="O620" s="5"/>
    </row>
    <row r="621" spans="2:15" x14ac:dyDescent="0.2">
      <c r="B621" s="64"/>
      <c r="C621" s="16">
        <v>4</v>
      </c>
      <c r="D621" s="16">
        <f t="shared" si="159"/>
        <v>95</v>
      </c>
      <c r="E621" s="16">
        <v>2</v>
      </c>
      <c r="F621" s="16">
        <v>1</v>
      </c>
      <c r="G621" s="16">
        <v>2</v>
      </c>
      <c r="H621" s="16">
        <v>0</v>
      </c>
      <c r="I621" s="16">
        <v>0</v>
      </c>
      <c r="J621" s="16">
        <f t="shared" si="160"/>
        <v>5</v>
      </c>
      <c r="K621" s="16">
        <f t="shared" si="161"/>
        <v>2</v>
      </c>
      <c r="L621" s="16">
        <f t="shared" si="162"/>
        <v>0</v>
      </c>
      <c r="M621" s="5"/>
      <c r="N621" s="5"/>
      <c r="O621" s="5"/>
    </row>
    <row r="622" spans="2:15" x14ac:dyDescent="0.2">
      <c r="B622" s="64"/>
      <c r="C622" s="16">
        <v>5</v>
      </c>
      <c r="D622" s="16">
        <f t="shared" si="159"/>
        <v>92</v>
      </c>
      <c r="E622" s="16">
        <v>1</v>
      </c>
      <c r="F622" s="16">
        <v>1</v>
      </c>
      <c r="G622" s="16">
        <v>1</v>
      </c>
      <c r="H622" s="16">
        <v>3</v>
      </c>
      <c r="I622" s="16">
        <v>2</v>
      </c>
      <c r="J622" s="16">
        <f t="shared" si="160"/>
        <v>8</v>
      </c>
      <c r="K622" s="16">
        <f t="shared" si="161"/>
        <v>5.6000000000000005</v>
      </c>
      <c r="L622" s="16">
        <f t="shared" si="162"/>
        <v>2</v>
      </c>
      <c r="M622" s="5"/>
      <c r="N622" s="5"/>
      <c r="O622" s="5"/>
    </row>
    <row r="623" spans="2:15" x14ac:dyDescent="0.2">
      <c r="B623" s="64" t="s">
        <v>623</v>
      </c>
      <c r="C623" s="16">
        <v>1</v>
      </c>
      <c r="D623" s="16">
        <f t="shared" si="159"/>
        <v>8</v>
      </c>
      <c r="E623" s="16">
        <v>0</v>
      </c>
      <c r="F623" s="16">
        <v>0</v>
      </c>
      <c r="G623" s="16">
        <v>0</v>
      </c>
      <c r="H623" s="16">
        <v>0</v>
      </c>
      <c r="I623" s="16">
        <v>92</v>
      </c>
      <c r="J623" s="16">
        <f t="shared" si="160"/>
        <v>92</v>
      </c>
      <c r="K623" s="16">
        <f t="shared" si="161"/>
        <v>92</v>
      </c>
      <c r="L623" s="16">
        <f t="shared" si="162"/>
        <v>92</v>
      </c>
      <c r="M623" s="5">
        <f t="shared" ref="M623" si="187">AVERAGE((SUM(E623:I623)), (SUM(E624:I624)), (SUM(E625:I625)), (SUM(E626:I626)), (SUM(E627:I627)))</f>
        <v>18.399999999999999</v>
      </c>
      <c r="N623" s="5">
        <f t="shared" ref="N623" si="188">AVERAGE((SUM(D623*0+E623*1+F623*2+G623*3+H623*4+I623*5)/(5*100)*100), (SUM(D624*0+E624*1+F624*2+G624*3+H624*4+I624*5)/(5*100)*100), (SUM(D625*0+E625*1+F625*2+G625*3+H625*4+I625*5)/(5*100)*100), (SUM(D626*0+E626*1+F626*2+G626*3+H626*4+I626*5)/(5*100)*100), (SUM(D627*0+E627*1+F627*2+G627*3+H627*4+I627*5)/(5*100)*100))</f>
        <v>18.399999999999999</v>
      </c>
      <c r="O623" s="5">
        <f t="shared" ref="O623" si="189">AVERAGE(I623:I627)</f>
        <v>18.399999999999999</v>
      </c>
    </row>
    <row r="624" spans="2:15" x14ac:dyDescent="0.2">
      <c r="B624" s="64"/>
      <c r="C624" s="16">
        <v>2</v>
      </c>
      <c r="D624" s="16">
        <f t="shared" si="159"/>
        <v>100</v>
      </c>
      <c r="E624" s="16">
        <v>0</v>
      </c>
      <c r="F624" s="16">
        <v>0</v>
      </c>
      <c r="G624" s="16">
        <v>0</v>
      </c>
      <c r="H624" s="16">
        <v>0</v>
      </c>
      <c r="I624" s="16">
        <v>0</v>
      </c>
      <c r="J624" s="16">
        <f t="shared" si="160"/>
        <v>0</v>
      </c>
      <c r="K624" s="16">
        <f t="shared" si="161"/>
        <v>0</v>
      </c>
      <c r="L624" s="16">
        <f t="shared" si="162"/>
        <v>0</v>
      </c>
      <c r="M624" s="5"/>
      <c r="N624" s="5"/>
      <c r="O624" s="5"/>
    </row>
    <row r="625" spans="2:15" x14ac:dyDescent="0.2">
      <c r="B625" s="64"/>
      <c r="C625" s="16">
        <v>3</v>
      </c>
      <c r="D625" s="16">
        <f t="shared" si="159"/>
        <v>100</v>
      </c>
      <c r="E625" s="16">
        <v>0</v>
      </c>
      <c r="F625" s="16">
        <v>0</v>
      </c>
      <c r="G625" s="16">
        <v>0</v>
      </c>
      <c r="H625" s="16">
        <v>0</v>
      </c>
      <c r="I625" s="16">
        <v>0</v>
      </c>
      <c r="J625" s="16">
        <f t="shared" si="160"/>
        <v>0</v>
      </c>
      <c r="K625" s="16">
        <f t="shared" si="161"/>
        <v>0</v>
      </c>
      <c r="L625" s="16">
        <f t="shared" si="162"/>
        <v>0</v>
      </c>
      <c r="M625" s="5"/>
      <c r="N625" s="5"/>
      <c r="O625" s="5"/>
    </row>
    <row r="626" spans="2:15" x14ac:dyDescent="0.2">
      <c r="B626" s="64"/>
      <c r="C626" s="16">
        <v>4</v>
      </c>
      <c r="D626" s="16">
        <f t="shared" si="159"/>
        <v>100</v>
      </c>
      <c r="E626" s="16">
        <v>0</v>
      </c>
      <c r="F626" s="16">
        <v>0</v>
      </c>
      <c r="G626" s="16">
        <v>0</v>
      </c>
      <c r="H626" s="16">
        <v>0</v>
      </c>
      <c r="I626" s="16">
        <v>0</v>
      </c>
      <c r="J626" s="16">
        <f t="shared" si="160"/>
        <v>0</v>
      </c>
      <c r="K626" s="16">
        <f t="shared" si="161"/>
        <v>0</v>
      </c>
      <c r="L626" s="16">
        <f t="shared" si="162"/>
        <v>0</v>
      </c>
      <c r="M626" s="5"/>
      <c r="N626" s="5"/>
      <c r="O626" s="5"/>
    </row>
    <row r="627" spans="2:15" x14ac:dyDescent="0.2">
      <c r="B627" s="64"/>
      <c r="C627" s="16">
        <v>5</v>
      </c>
      <c r="D627" s="16">
        <f t="shared" si="159"/>
        <v>100</v>
      </c>
      <c r="E627" s="16">
        <v>0</v>
      </c>
      <c r="F627" s="16">
        <v>0</v>
      </c>
      <c r="G627" s="16">
        <v>0</v>
      </c>
      <c r="H627" s="16">
        <v>0</v>
      </c>
      <c r="I627" s="16">
        <v>0</v>
      </c>
      <c r="J627" s="16">
        <f t="shared" si="160"/>
        <v>0</v>
      </c>
      <c r="K627" s="16">
        <f t="shared" si="161"/>
        <v>0</v>
      </c>
      <c r="L627" s="16">
        <f t="shared" si="162"/>
        <v>0</v>
      </c>
      <c r="M627" s="5"/>
      <c r="N627" s="5"/>
      <c r="O627" s="5"/>
    </row>
    <row r="628" spans="2:15" x14ac:dyDescent="0.2">
      <c r="B628" s="64" t="s">
        <v>624</v>
      </c>
      <c r="C628" s="16">
        <v>1</v>
      </c>
      <c r="D628" s="16">
        <f t="shared" si="159"/>
        <v>84</v>
      </c>
      <c r="E628" s="16">
        <v>1</v>
      </c>
      <c r="F628" s="16">
        <v>0</v>
      </c>
      <c r="G628" s="16">
        <v>0</v>
      </c>
      <c r="H628" s="16">
        <v>0</v>
      </c>
      <c r="I628" s="16">
        <v>15</v>
      </c>
      <c r="J628" s="16">
        <f t="shared" si="160"/>
        <v>16</v>
      </c>
      <c r="K628" s="16">
        <f t="shared" si="161"/>
        <v>15.2</v>
      </c>
      <c r="L628" s="16">
        <f t="shared" si="162"/>
        <v>15</v>
      </c>
      <c r="M628" s="5">
        <f t="shared" ref="M628" si="190">AVERAGE((SUM(E628:I628)), (SUM(E629:I629)), (SUM(E630:I630)), (SUM(E631:I631)), (SUM(E632:I632)))</f>
        <v>32.4</v>
      </c>
      <c r="N628" s="5">
        <f t="shared" ref="N628" si="191">AVERAGE((SUM(D628*0+E628*1+F628*2+G628*3+H628*4+I628*5)/(5*100)*100), (SUM(D629*0+E629*1+F629*2+G629*3+H629*4+I629*5)/(5*100)*100), (SUM(D630*0+E630*1+F630*2+G630*3+H630*4+I630*5)/(5*100)*100), (SUM(D631*0+E631*1+F631*2+G631*3+H631*4+I631*5)/(5*100)*100), (SUM(D632*0+E632*1+F632*2+G632*3+H632*4+I632*5)/(5*100)*100))</f>
        <v>31.639999999999997</v>
      </c>
      <c r="O628" s="5">
        <f t="shared" ref="O628" si="192">AVERAGE(I628:I632)</f>
        <v>31</v>
      </c>
    </row>
    <row r="629" spans="2:15" x14ac:dyDescent="0.2">
      <c r="B629" s="64"/>
      <c r="C629" s="16">
        <v>2</v>
      </c>
      <c r="D629" s="16">
        <f t="shared" si="159"/>
        <v>81</v>
      </c>
      <c r="E629" s="16">
        <v>0</v>
      </c>
      <c r="F629" s="16">
        <v>0</v>
      </c>
      <c r="G629" s="16">
        <v>0</v>
      </c>
      <c r="H629" s="16">
        <v>0</v>
      </c>
      <c r="I629" s="16">
        <v>19</v>
      </c>
      <c r="J629" s="16">
        <f t="shared" si="160"/>
        <v>19</v>
      </c>
      <c r="K629" s="16">
        <f t="shared" si="161"/>
        <v>19</v>
      </c>
      <c r="L629" s="16">
        <f t="shared" si="162"/>
        <v>19</v>
      </c>
      <c r="M629" s="5"/>
      <c r="N629" s="5"/>
      <c r="O629" s="5"/>
    </row>
    <row r="630" spans="2:15" x14ac:dyDescent="0.2">
      <c r="B630" s="64"/>
      <c r="C630" s="16">
        <v>3</v>
      </c>
      <c r="D630" s="16">
        <f t="shared" si="159"/>
        <v>75</v>
      </c>
      <c r="E630" s="16">
        <v>0</v>
      </c>
      <c r="F630" s="16">
        <v>0</v>
      </c>
      <c r="G630" s="16">
        <v>0</v>
      </c>
      <c r="H630" s="16">
        <v>0</v>
      </c>
      <c r="I630" s="16">
        <v>25</v>
      </c>
      <c r="J630" s="16">
        <f t="shared" si="160"/>
        <v>25</v>
      </c>
      <c r="K630" s="16">
        <f t="shared" si="161"/>
        <v>25</v>
      </c>
      <c r="L630" s="16">
        <f t="shared" si="162"/>
        <v>25</v>
      </c>
      <c r="M630" s="5"/>
      <c r="N630" s="5"/>
      <c r="O630" s="5"/>
    </row>
    <row r="631" spans="2:15" x14ac:dyDescent="0.2">
      <c r="B631" s="64"/>
      <c r="C631" s="16">
        <v>4</v>
      </c>
      <c r="D631" s="16">
        <f t="shared" si="159"/>
        <v>56</v>
      </c>
      <c r="E631" s="16">
        <v>1</v>
      </c>
      <c r="F631" s="16">
        <v>1</v>
      </c>
      <c r="G631" s="16">
        <v>1</v>
      </c>
      <c r="H631" s="16">
        <v>2</v>
      </c>
      <c r="I631" s="16">
        <v>39</v>
      </c>
      <c r="J631" s="16">
        <f t="shared" si="160"/>
        <v>44</v>
      </c>
      <c r="K631" s="16">
        <f t="shared" si="161"/>
        <v>41.8</v>
      </c>
      <c r="L631" s="16">
        <f t="shared" si="162"/>
        <v>39</v>
      </c>
      <c r="M631" s="5"/>
      <c r="N631" s="5"/>
      <c r="O631" s="5"/>
    </row>
    <row r="632" spans="2:15" x14ac:dyDescent="0.2">
      <c r="B632" s="64"/>
      <c r="C632" s="16">
        <v>5</v>
      </c>
      <c r="D632" s="16">
        <f t="shared" si="159"/>
        <v>42</v>
      </c>
      <c r="E632" s="16">
        <v>1</v>
      </c>
      <c r="F632" s="16">
        <v>0</v>
      </c>
      <c r="G632" s="16">
        <v>0</v>
      </c>
      <c r="H632" s="16">
        <v>0</v>
      </c>
      <c r="I632" s="16">
        <v>57</v>
      </c>
      <c r="J632" s="16">
        <f t="shared" si="160"/>
        <v>58</v>
      </c>
      <c r="K632" s="16">
        <f t="shared" si="161"/>
        <v>57.199999999999996</v>
      </c>
      <c r="L632" s="16">
        <f t="shared" si="162"/>
        <v>57</v>
      </c>
      <c r="M632" s="5"/>
      <c r="N632" s="5"/>
      <c r="O632" s="5"/>
    </row>
    <row r="633" spans="2:15" x14ac:dyDescent="0.2">
      <c r="B633" s="64">
        <v>109</v>
      </c>
      <c r="C633" s="16">
        <v>1</v>
      </c>
      <c r="D633" s="16">
        <f t="shared" si="159"/>
        <v>100</v>
      </c>
      <c r="E633" s="16">
        <v>0</v>
      </c>
      <c r="F633" s="16">
        <v>0</v>
      </c>
      <c r="G633" s="16">
        <v>0</v>
      </c>
      <c r="H633" s="16">
        <v>0</v>
      </c>
      <c r="I633" s="16">
        <v>0</v>
      </c>
      <c r="J633" s="16">
        <f t="shared" si="160"/>
        <v>0</v>
      </c>
      <c r="K633" s="16">
        <f t="shared" si="161"/>
        <v>0</v>
      </c>
      <c r="L633" s="16">
        <f t="shared" si="162"/>
        <v>0</v>
      </c>
      <c r="M633" s="5">
        <f t="shared" ref="M633" si="193">AVERAGE((SUM(E633:I633)), (SUM(E634:I634)), (SUM(E635:I635)), (SUM(E636:I636)), (SUM(E637:I637)))</f>
        <v>7.6</v>
      </c>
      <c r="N633" s="5">
        <f t="shared" ref="N633" si="194">AVERAGE((SUM(D633*0+E633*1+F633*2+G633*3+H633*4+I633*5)/(5*100)*100), (SUM(D634*0+E634*1+F634*2+G634*3+H634*4+I634*5)/(5*100)*100), (SUM(D635*0+E635*1+F635*2+G635*3+H635*4+I635*5)/(5*100)*100), (SUM(D636*0+E636*1+F636*2+G636*3+H636*4+I636*5)/(5*100)*100), (SUM(D637*0+E637*1+F637*2+G637*3+H637*4+I637*5)/(5*100)*100))</f>
        <v>7.0400000000000009</v>
      </c>
      <c r="O633" s="5">
        <f t="shared" ref="O633" si="195">AVERAGE(I633:I637)</f>
        <v>6.8</v>
      </c>
    </row>
    <row r="634" spans="2:15" x14ac:dyDescent="0.2">
      <c r="B634" s="64"/>
      <c r="C634" s="16">
        <v>2</v>
      </c>
      <c r="D634" s="16">
        <f t="shared" si="159"/>
        <v>89</v>
      </c>
      <c r="E634" s="16">
        <v>0</v>
      </c>
      <c r="F634" s="16">
        <v>0</v>
      </c>
      <c r="G634" s="16">
        <v>0</v>
      </c>
      <c r="H634" s="16">
        <v>0</v>
      </c>
      <c r="I634" s="16">
        <v>11</v>
      </c>
      <c r="J634" s="16">
        <f t="shared" si="160"/>
        <v>11</v>
      </c>
      <c r="K634" s="16">
        <f t="shared" si="161"/>
        <v>11</v>
      </c>
      <c r="L634" s="16">
        <f t="shared" si="162"/>
        <v>11</v>
      </c>
      <c r="M634" s="5"/>
      <c r="N634" s="5"/>
      <c r="O634" s="5"/>
    </row>
    <row r="635" spans="2:15" x14ac:dyDescent="0.2">
      <c r="B635" s="64"/>
      <c r="C635" s="16">
        <v>3</v>
      </c>
      <c r="D635" s="16">
        <f t="shared" si="159"/>
        <v>91</v>
      </c>
      <c r="E635" s="16">
        <v>2</v>
      </c>
      <c r="F635" s="16">
        <v>2</v>
      </c>
      <c r="G635" s="16">
        <v>0</v>
      </c>
      <c r="H635" s="16">
        <v>0</v>
      </c>
      <c r="I635" s="16">
        <v>5</v>
      </c>
      <c r="J635" s="16">
        <f t="shared" si="160"/>
        <v>9</v>
      </c>
      <c r="K635" s="16">
        <f t="shared" si="161"/>
        <v>6.2</v>
      </c>
      <c r="L635" s="16">
        <f t="shared" si="162"/>
        <v>5</v>
      </c>
      <c r="M635" s="5"/>
      <c r="N635" s="5"/>
      <c r="O635" s="5"/>
    </row>
    <row r="636" spans="2:15" x14ac:dyDescent="0.2">
      <c r="B636" s="64"/>
      <c r="C636" s="16">
        <v>4</v>
      </c>
      <c r="D636" s="16">
        <f t="shared" si="159"/>
        <v>98</v>
      </c>
      <c r="E636" s="16">
        <v>0</v>
      </c>
      <c r="F636" s="16">
        <v>0</v>
      </c>
      <c r="G636" s="16">
        <v>0</v>
      </c>
      <c r="H636" s="16">
        <v>0</v>
      </c>
      <c r="I636" s="16">
        <v>2</v>
      </c>
      <c r="J636" s="16">
        <f t="shared" si="160"/>
        <v>2</v>
      </c>
      <c r="K636" s="16">
        <f t="shared" si="161"/>
        <v>2</v>
      </c>
      <c r="L636" s="16">
        <f t="shared" si="162"/>
        <v>2</v>
      </c>
      <c r="M636" s="5"/>
      <c r="N636" s="5"/>
      <c r="O636" s="5"/>
    </row>
    <row r="637" spans="2:15" x14ac:dyDescent="0.2">
      <c r="B637" s="64"/>
      <c r="C637" s="16">
        <v>5</v>
      </c>
      <c r="D637" s="16">
        <f t="shared" si="159"/>
        <v>84</v>
      </c>
      <c r="E637" s="16">
        <v>0</v>
      </c>
      <c r="F637" s="16">
        <v>0</v>
      </c>
      <c r="G637" s="16">
        <v>0</v>
      </c>
      <c r="H637" s="16">
        <v>0</v>
      </c>
      <c r="I637" s="16">
        <v>16</v>
      </c>
      <c r="J637" s="16">
        <f t="shared" si="160"/>
        <v>16</v>
      </c>
      <c r="K637" s="16">
        <f t="shared" si="161"/>
        <v>16</v>
      </c>
      <c r="L637" s="16">
        <f t="shared" si="162"/>
        <v>16</v>
      </c>
      <c r="M637" s="5"/>
      <c r="N637" s="5"/>
      <c r="O637" s="5"/>
    </row>
    <row r="638" spans="2:15" x14ac:dyDescent="0.2">
      <c r="B638" s="64" t="s">
        <v>625</v>
      </c>
      <c r="C638" s="16">
        <v>1</v>
      </c>
      <c r="D638" s="16">
        <f t="shared" si="159"/>
        <v>60</v>
      </c>
      <c r="E638" s="16">
        <v>0</v>
      </c>
      <c r="F638" s="16">
        <v>0</v>
      </c>
      <c r="G638" s="16">
        <v>0</v>
      </c>
      <c r="H638" s="16">
        <v>0</v>
      </c>
      <c r="I638" s="16">
        <v>40</v>
      </c>
      <c r="J638" s="16">
        <f t="shared" si="160"/>
        <v>40</v>
      </c>
      <c r="K638" s="16">
        <f t="shared" si="161"/>
        <v>40</v>
      </c>
      <c r="L638" s="16">
        <f t="shared" si="162"/>
        <v>40</v>
      </c>
      <c r="M638" s="5">
        <f t="shared" ref="M638" si="196">AVERAGE((SUM(E638:I638)), (SUM(E639:I639)), (SUM(E640:I640)), (SUM(E641:I641)), (SUM(E642:I642)))</f>
        <v>29.4</v>
      </c>
      <c r="N638" s="5">
        <f t="shared" ref="N638" si="197">AVERAGE((SUM(D638*0+E638*1+F638*2+G638*3+H638*4+I638*5)/(5*100)*100), (SUM(D639*0+E639*1+F639*2+G639*3+H639*4+I639*5)/(5*100)*100), (SUM(D640*0+E640*1+F640*2+G640*3+H640*4+I640*5)/(5*100)*100), (SUM(D641*0+E641*1+F641*2+G641*3+H641*4+I641*5)/(5*100)*100), (SUM(D642*0+E642*1+F642*2+G642*3+H642*4+I642*5)/(5*100)*100))</f>
        <v>29.32</v>
      </c>
      <c r="O638" s="5">
        <f t="shared" ref="O638" si="198">AVERAGE(I638:I642)</f>
        <v>29.2</v>
      </c>
    </row>
    <row r="639" spans="2:15" x14ac:dyDescent="0.2">
      <c r="B639" s="64"/>
      <c r="C639" s="16">
        <v>2</v>
      </c>
      <c r="D639" s="16">
        <f t="shared" si="159"/>
        <v>73</v>
      </c>
      <c r="E639" s="16">
        <v>0</v>
      </c>
      <c r="F639" s="16">
        <v>0</v>
      </c>
      <c r="G639" s="16">
        <v>0</v>
      </c>
      <c r="H639" s="16">
        <v>0</v>
      </c>
      <c r="I639" s="16">
        <v>27</v>
      </c>
      <c r="J639" s="16">
        <f t="shared" si="160"/>
        <v>27</v>
      </c>
      <c r="K639" s="16">
        <f t="shared" si="161"/>
        <v>27</v>
      </c>
      <c r="L639" s="16">
        <f t="shared" si="162"/>
        <v>27</v>
      </c>
      <c r="M639" s="5"/>
      <c r="N639" s="5"/>
      <c r="O639" s="5"/>
    </row>
    <row r="640" spans="2:15" x14ac:dyDescent="0.2">
      <c r="B640" s="64"/>
      <c r="C640" s="16">
        <v>3</v>
      </c>
      <c r="D640" s="16">
        <f t="shared" si="159"/>
        <v>84</v>
      </c>
      <c r="E640" s="16">
        <v>0</v>
      </c>
      <c r="F640" s="16">
        <v>0</v>
      </c>
      <c r="G640" s="16">
        <v>0</v>
      </c>
      <c r="H640" s="16">
        <v>0</v>
      </c>
      <c r="I640" s="16">
        <v>16</v>
      </c>
      <c r="J640" s="16">
        <f t="shared" si="160"/>
        <v>16</v>
      </c>
      <c r="K640" s="16">
        <f t="shared" si="161"/>
        <v>16</v>
      </c>
      <c r="L640" s="16">
        <f t="shared" si="162"/>
        <v>16</v>
      </c>
      <c r="M640" s="5"/>
      <c r="N640" s="5"/>
      <c r="O640" s="5"/>
    </row>
    <row r="641" spans="2:15" x14ac:dyDescent="0.2">
      <c r="B641" s="64"/>
      <c r="C641" s="16">
        <v>4</v>
      </c>
      <c r="D641" s="16">
        <f t="shared" si="159"/>
        <v>81</v>
      </c>
      <c r="E641" s="16">
        <v>0</v>
      </c>
      <c r="F641" s="16">
        <v>0</v>
      </c>
      <c r="G641" s="16">
        <v>0</v>
      </c>
      <c r="H641" s="16">
        <v>0</v>
      </c>
      <c r="I641" s="16">
        <v>19</v>
      </c>
      <c r="J641" s="16">
        <f t="shared" si="160"/>
        <v>19</v>
      </c>
      <c r="K641" s="16">
        <f t="shared" si="161"/>
        <v>19</v>
      </c>
      <c r="L641" s="16">
        <f t="shared" si="162"/>
        <v>19</v>
      </c>
      <c r="M641" s="5"/>
      <c r="N641" s="5"/>
      <c r="O641" s="5"/>
    </row>
    <row r="642" spans="2:15" x14ac:dyDescent="0.2">
      <c r="B642" s="64"/>
      <c r="C642" s="16">
        <v>5</v>
      </c>
      <c r="D642" s="16">
        <f t="shared" si="159"/>
        <v>55</v>
      </c>
      <c r="E642" s="16">
        <v>0</v>
      </c>
      <c r="F642" s="16">
        <v>0</v>
      </c>
      <c r="G642" s="16">
        <v>1</v>
      </c>
      <c r="H642" s="16">
        <v>0</v>
      </c>
      <c r="I642" s="16">
        <v>44</v>
      </c>
      <c r="J642" s="16">
        <f t="shared" si="160"/>
        <v>45</v>
      </c>
      <c r="K642" s="16">
        <f t="shared" si="161"/>
        <v>44.6</v>
      </c>
      <c r="L642" s="16">
        <f t="shared" si="162"/>
        <v>44</v>
      </c>
      <c r="M642" s="5"/>
      <c r="N642" s="5"/>
      <c r="O642" s="5"/>
    </row>
    <row r="643" spans="2:15" x14ac:dyDescent="0.2">
      <c r="B643" s="63" t="s">
        <v>626</v>
      </c>
      <c r="C643" s="16">
        <v>1</v>
      </c>
      <c r="D643" s="16">
        <f t="shared" ref="D643:D706" si="199">100-(SUM(E643:I643))</f>
        <v>84</v>
      </c>
      <c r="E643" s="16">
        <v>2</v>
      </c>
      <c r="F643" s="16">
        <v>2</v>
      </c>
      <c r="G643" s="16">
        <v>1</v>
      </c>
      <c r="H643" s="16">
        <v>2</v>
      </c>
      <c r="I643" s="16">
        <v>9</v>
      </c>
      <c r="J643" s="16">
        <f t="shared" si="160"/>
        <v>16</v>
      </c>
      <c r="K643" s="16">
        <f t="shared" si="161"/>
        <v>12.4</v>
      </c>
      <c r="L643" s="16">
        <f t="shared" si="162"/>
        <v>9</v>
      </c>
      <c r="M643" s="5">
        <f>AVERAGE((SUM(E643:I643)), (SUM(E644:I644)), (SUM(E645:I645)), (SUM(E646:I646)), (SUM(E647:I647)))</f>
        <v>15.6</v>
      </c>
      <c r="N643" s="5">
        <f>AVERAGE((SUM(D643*0+E643*1+F643*2+G643*3+H643*4+I643*5)/(5*100)*100), (SUM(D644*0+E644*1+F644*2+G644*3+H644*4+I644*5)/(5*100)*100), (SUM(D645*0+E645*1+F645*2+G645*3+H645*4+I645*5)/(5*100)*100), (SUM(D646*0+E646*1+F646*2+G646*3+H646*4+I646*5)/(5*100)*100), (SUM(D647*0+E647*1+F647*2+G647*3+H647*4+I647*5)/(5*100)*100))</f>
        <v>12.240000000000002</v>
      </c>
      <c r="O643" s="5">
        <f>AVERAGE(I643:I647)</f>
        <v>8.6</v>
      </c>
    </row>
    <row r="644" spans="2:15" x14ac:dyDescent="0.2">
      <c r="B644" s="63"/>
      <c r="C644" s="16">
        <v>2</v>
      </c>
      <c r="D644" s="16">
        <f t="shared" si="199"/>
        <v>82</v>
      </c>
      <c r="E644" s="16">
        <v>2</v>
      </c>
      <c r="F644" s="16">
        <v>3</v>
      </c>
      <c r="G644" s="16">
        <v>3</v>
      </c>
      <c r="H644" s="16">
        <v>3</v>
      </c>
      <c r="I644" s="16">
        <v>7</v>
      </c>
      <c r="J644" s="16">
        <f t="shared" ref="J644:J707" si="200">SUM(E644:I644)</f>
        <v>18</v>
      </c>
      <c r="K644" s="16">
        <f t="shared" ref="K644:K707" si="201">AVERAGE(SUM(E644*1,F644*2,G644*3,H644*4,I644*5))/(5*100)*100</f>
        <v>12.8</v>
      </c>
      <c r="L644" s="16">
        <f t="shared" ref="L644:L707" si="202">I644</f>
        <v>7</v>
      </c>
      <c r="M644" s="5"/>
      <c r="N644" s="5"/>
      <c r="O644" s="5"/>
    </row>
    <row r="645" spans="2:15" x14ac:dyDescent="0.2">
      <c r="B645" s="63"/>
      <c r="C645" s="16">
        <v>3</v>
      </c>
      <c r="D645" s="16">
        <f t="shared" si="199"/>
        <v>83</v>
      </c>
      <c r="E645" s="16">
        <v>3</v>
      </c>
      <c r="F645" s="16">
        <v>1</v>
      </c>
      <c r="G645" s="16">
        <v>2</v>
      </c>
      <c r="H645" s="16">
        <v>3</v>
      </c>
      <c r="I645" s="16">
        <v>8</v>
      </c>
      <c r="J645" s="16">
        <f t="shared" si="200"/>
        <v>17</v>
      </c>
      <c r="K645" s="16">
        <f t="shared" si="201"/>
        <v>12.6</v>
      </c>
      <c r="L645" s="16">
        <f t="shared" si="202"/>
        <v>8</v>
      </c>
      <c r="M645" s="5"/>
      <c r="N645" s="5"/>
      <c r="O645" s="5"/>
    </row>
    <row r="646" spans="2:15" x14ac:dyDescent="0.2">
      <c r="B646" s="63"/>
      <c r="C646" s="16">
        <v>4</v>
      </c>
      <c r="D646" s="16">
        <f t="shared" si="199"/>
        <v>85</v>
      </c>
      <c r="E646" s="16">
        <v>1</v>
      </c>
      <c r="F646" s="16">
        <v>0</v>
      </c>
      <c r="G646" s="16">
        <v>3</v>
      </c>
      <c r="H646" s="16">
        <v>1</v>
      </c>
      <c r="I646" s="16">
        <v>10</v>
      </c>
      <c r="J646" s="16">
        <f t="shared" si="200"/>
        <v>15</v>
      </c>
      <c r="K646" s="16">
        <f t="shared" si="201"/>
        <v>12.8</v>
      </c>
      <c r="L646" s="16">
        <f t="shared" si="202"/>
        <v>10</v>
      </c>
      <c r="M646" s="5"/>
      <c r="N646" s="5"/>
      <c r="O646" s="5"/>
    </row>
    <row r="647" spans="2:15" x14ac:dyDescent="0.2">
      <c r="B647" s="63"/>
      <c r="C647" s="16">
        <v>5</v>
      </c>
      <c r="D647" s="16">
        <f t="shared" si="199"/>
        <v>88</v>
      </c>
      <c r="E647" s="16">
        <v>1</v>
      </c>
      <c r="F647" s="16">
        <v>0</v>
      </c>
      <c r="G647" s="16">
        <v>1</v>
      </c>
      <c r="H647" s="16">
        <v>1</v>
      </c>
      <c r="I647" s="16">
        <v>9</v>
      </c>
      <c r="J647" s="16">
        <f t="shared" si="200"/>
        <v>12</v>
      </c>
      <c r="K647" s="16">
        <f t="shared" si="201"/>
        <v>10.6</v>
      </c>
      <c r="L647" s="16">
        <f t="shared" si="202"/>
        <v>9</v>
      </c>
      <c r="M647" s="5"/>
      <c r="N647" s="5"/>
      <c r="O647" s="5"/>
    </row>
    <row r="648" spans="2:15" x14ac:dyDescent="0.2">
      <c r="B648" s="63" t="s">
        <v>627</v>
      </c>
      <c r="C648" s="16">
        <v>1</v>
      </c>
      <c r="D648" s="16">
        <f t="shared" si="199"/>
        <v>67</v>
      </c>
      <c r="E648" s="16">
        <v>3</v>
      </c>
      <c r="F648" s="16">
        <v>3</v>
      </c>
      <c r="G648" s="16">
        <v>0</v>
      </c>
      <c r="H648" s="16">
        <v>3</v>
      </c>
      <c r="I648" s="16">
        <v>24</v>
      </c>
      <c r="J648" s="16">
        <f t="shared" si="200"/>
        <v>33</v>
      </c>
      <c r="K648" s="16">
        <f t="shared" si="201"/>
        <v>28.199999999999996</v>
      </c>
      <c r="L648" s="16">
        <f t="shared" si="202"/>
        <v>24</v>
      </c>
      <c r="M648" s="5">
        <f>AVERAGE((SUM(E648:I648)), (SUM(E649:I649)), (SUM(E650:I650)), (SUM(E651:I651)), (SUM(E652:I652)))</f>
        <v>25.6</v>
      </c>
      <c r="N648" s="5">
        <f>AVERAGE((SUM(D648*0+E648*1+F648*2+G648*3+H648*4+I648*5)/(5*100)*100), (SUM(D649*0+E649*1+F649*2+G649*3+H649*4+I649*5)/(5*100)*100), (SUM(D650*0+E650*1+F650*2+G650*3+H650*4+I650*5)/(5*100)*100), (SUM(D651*0+E651*1+F651*2+G651*3+H651*4+I651*5)/(5*100)*100), (SUM(D652*0+E652*1+F652*2+G652*3+H652*4+I652*5)/(5*100)*100))</f>
        <v>22.080000000000002</v>
      </c>
      <c r="O648" s="5">
        <f>AVERAGE(I648:I652)</f>
        <v>18.2</v>
      </c>
    </row>
    <row r="649" spans="2:15" x14ac:dyDescent="0.2">
      <c r="B649" s="63"/>
      <c r="C649" s="16">
        <v>2</v>
      </c>
      <c r="D649" s="16">
        <f t="shared" si="199"/>
        <v>69</v>
      </c>
      <c r="E649" s="16">
        <v>0</v>
      </c>
      <c r="F649" s="16">
        <v>4</v>
      </c>
      <c r="G649" s="16">
        <v>5</v>
      </c>
      <c r="H649" s="16">
        <v>2</v>
      </c>
      <c r="I649" s="16">
        <v>20</v>
      </c>
      <c r="J649" s="16">
        <f t="shared" si="200"/>
        <v>31</v>
      </c>
      <c r="K649" s="16">
        <f t="shared" si="201"/>
        <v>26.200000000000003</v>
      </c>
      <c r="L649" s="16">
        <f t="shared" si="202"/>
        <v>20</v>
      </c>
      <c r="M649" s="5"/>
      <c r="N649" s="5"/>
      <c r="O649" s="5"/>
    </row>
    <row r="650" spans="2:15" x14ac:dyDescent="0.2">
      <c r="B650" s="63"/>
      <c r="C650" s="16">
        <v>3</v>
      </c>
      <c r="D650" s="16">
        <f t="shared" si="199"/>
        <v>53</v>
      </c>
      <c r="E650" s="16">
        <v>5</v>
      </c>
      <c r="F650" s="16">
        <v>0</v>
      </c>
      <c r="G650" s="16">
        <v>5</v>
      </c>
      <c r="H650" s="16">
        <v>5</v>
      </c>
      <c r="I650" s="16">
        <v>32</v>
      </c>
      <c r="J650" s="16">
        <f t="shared" si="200"/>
        <v>47</v>
      </c>
      <c r="K650" s="16">
        <f t="shared" si="201"/>
        <v>40</v>
      </c>
      <c r="L650" s="16">
        <f t="shared" si="202"/>
        <v>32</v>
      </c>
      <c r="M650" s="5"/>
      <c r="N650" s="5"/>
      <c r="O650" s="5"/>
    </row>
    <row r="651" spans="2:15" x14ac:dyDescent="0.2">
      <c r="B651" s="63"/>
      <c r="C651" s="16">
        <v>4</v>
      </c>
      <c r="D651" s="16">
        <f t="shared" si="199"/>
        <v>85</v>
      </c>
      <c r="E651" s="16">
        <v>0</v>
      </c>
      <c r="F651" s="16">
        <v>0</v>
      </c>
      <c r="G651" s="16">
        <v>0</v>
      </c>
      <c r="H651" s="16">
        <v>0</v>
      </c>
      <c r="I651" s="16">
        <v>15</v>
      </c>
      <c r="J651" s="16">
        <f t="shared" si="200"/>
        <v>15</v>
      </c>
      <c r="K651" s="16">
        <f t="shared" si="201"/>
        <v>15</v>
      </c>
      <c r="L651" s="16">
        <f t="shared" si="202"/>
        <v>15</v>
      </c>
      <c r="M651" s="5"/>
      <c r="N651" s="5"/>
      <c r="O651" s="5"/>
    </row>
    <row r="652" spans="2:15" x14ac:dyDescent="0.2">
      <c r="B652" s="63"/>
      <c r="C652" s="16">
        <v>5</v>
      </c>
      <c r="D652" s="16">
        <f t="shared" si="199"/>
        <v>98</v>
      </c>
      <c r="E652" s="16">
        <v>1</v>
      </c>
      <c r="F652" s="16">
        <v>0</v>
      </c>
      <c r="G652" s="16">
        <v>0</v>
      </c>
      <c r="H652" s="16">
        <v>1</v>
      </c>
      <c r="I652" s="16">
        <v>0</v>
      </c>
      <c r="J652" s="16">
        <f t="shared" si="200"/>
        <v>2</v>
      </c>
      <c r="K652" s="16">
        <f t="shared" si="201"/>
        <v>1</v>
      </c>
      <c r="L652" s="16">
        <f t="shared" si="202"/>
        <v>0</v>
      </c>
      <c r="M652" s="5"/>
      <c r="N652" s="5"/>
      <c r="O652" s="5"/>
    </row>
    <row r="653" spans="2:15" x14ac:dyDescent="0.2">
      <c r="B653" s="63" t="s">
        <v>628</v>
      </c>
      <c r="C653" s="16">
        <v>1</v>
      </c>
      <c r="D653" s="16">
        <f t="shared" si="199"/>
        <v>62</v>
      </c>
      <c r="E653" s="16">
        <v>2</v>
      </c>
      <c r="F653" s="16">
        <v>10</v>
      </c>
      <c r="G653" s="16">
        <v>2</v>
      </c>
      <c r="H653" s="16">
        <v>0</v>
      </c>
      <c r="I653" s="16">
        <v>24</v>
      </c>
      <c r="J653" s="16">
        <f t="shared" si="200"/>
        <v>38</v>
      </c>
      <c r="K653" s="16">
        <f t="shared" si="201"/>
        <v>29.599999999999998</v>
      </c>
      <c r="L653" s="16">
        <f t="shared" si="202"/>
        <v>24</v>
      </c>
      <c r="M653" s="5">
        <f>AVERAGE((SUM(E653:I653)), (SUM(E654:I654)), (SUM(E655:I655)), (SUM(E656:I656)), (SUM(E657:I657)))</f>
        <v>22</v>
      </c>
      <c r="N653" s="5">
        <f>AVERAGE((SUM(D653*0+E653*1+F653*2+G653*3+H653*4+I653*5)/(5*100)*100), (SUM(D654*0+E654*1+F654*2+G654*3+H654*4+I654*5)/(5*100)*100), (SUM(D655*0+E655*1+F655*2+G655*3+H655*4+I655*5)/(5*100)*100), (SUM(D656*0+E656*1+F656*2+G656*3+H656*4+I656*5)/(5*100)*100), (SUM(D657*0+E657*1+F657*2+G657*3+H657*4+I657*5)/(5*100)*100))</f>
        <v>18.36</v>
      </c>
      <c r="O653" s="5">
        <f>AVERAGE(I653:I657)</f>
        <v>14</v>
      </c>
    </row>
    <row r="654" spans="2:15" x14ac:dyDescent="0.2">
      <c r="B654" s="63"/>
      <c r="C654" s="16">
        <v>2</v>
      </c>
      <c r="D654" s="16">
        <f t="shared" si="199"/>
        <v>86</v>
      </c>
      <c r="E654" s="16">
        <v>2</v>
      </c>
      <c r="F654" s="16">
        <v>0</v>
      </c>
      <c r="G654" s="16">
        <v>3</v>
      </c>
      <c r="H654" s="16">
        <v>4</v>
      </c>
      <c r="I654" s="16">
        <v>5</v>
      </c>
      <c r="J654" s="16">
        <f t="shared" si="200"/>
        <v>14</v>
      </c>
      <c r="K654" s="16">
        <f t="shared" si="201"/>
        <v>10.4</v>
      </c>
      <c r="L654" s="16">
        <f t="shared" si="202"/>
        <v>5</v>
      </c>
      <c r="M654" s="5"/>
      <c r="N654" s="5"/>
      <c r="O654" s="5"/>
    </row>
    <row r="655" spans="2:15" x14ac:dyDescent="0.2">
      <c r="B655" s="63"/>
      <c r="C655" s="16">
        <v>3</v>
      </c>
      <c r="D655" s="16">
        <f t="shared" si="199"/>
        <v>70</v>
      </c>
      <c r="E655" s="16">
        <v>0</v>
      </c>
      <c r="F655" s="16">
        <v>0</v>
      </c>
      <c r="G655" s="16">
        <v>2</v>
      </c>
      <c r="H655" s="16">
        <v>2</v>
      </c>
      <c r="I655" s="16">
        <v>26</v>
      </c>
      <c r="J655" s="16">
        <f t="shared" si="200"/>
        <v>30</v>
      </c>
      <c r="K655" s="16">
        <f t="shared" si="201"/>
        <v>28.799999999999997</v>
      </c>
      <c r="L655" s="16">
        <f t="shared" si="202"/>
        <v>26</v>
      </c>
      <c r="M655" s="5"/>
      <c r="N655" s="5"/>
      <c r="O655" s="5"/>
    </row>
    <row r="656" spans="2:15" x14ac:dyDescent="0.2">
      <c r="B656" s="63"/>
      <c r="C656" s="16">
        <v>4</v>
      </c>
      <c r="D656" s="16">
        <f t="shared" si="199"/>
        <v>82</v>
      </c>
      <c r="E656" s="16">
        <v>0</v>
      </c>
      <c r="F656" s="16">
        <v>0</v>
      </c>
      <c r="G656" s="16">
        <v>3</v>
      </c>
      <c r="H656" s="16">
        <v>3</v>
      </c>
      <c r="I656" s="16">
        <v>12</v>
      </c>
      <c r="J656" s="16">
        <f t="shared" si="200"/>
        <v>18</v>
      </c>
      <c r="K656" s="16">
        <f t="shared" si="201"/>
        <v>16.2</v>
      </c>
      <c r="L656" s="16">
        <f t="shared" si="202"/>
        <v>12</v>
      </c>
      <c r="M656" s="5"/>
      <c r="N656" s="5"/>
      <c r="O656" s="5"/>
    </row>
    <row r="657" spans="2:15" x14ac:dyDescent="0.2">
      <c r="B657" s="63"/>
      <c r="C657" s="16">
        <v>5</v>
      </c>
      <c r="D657" s="16">
        <f t="shared" si="199"/>
        <v>90</v>
      </c>
      <c r="E657" s="16">
        <v>0</v>
      </c>
      <c r="F657" s="16">
        <v>4</v>
      </c>
      <c r="G657" s="16">
        <v>1</v>
      </c>
      <c r="H657" s="16">
        <v>2</v>
      </c>
      <c r="I657" s="16">
        <v>3</v>
      </c>
      <c r="J657" s="16">
        <f t="shared" si="200"/>
        <v>10</v>
      </c>
      <c r="K657" s="16">
        <f t="shared" si="201"/>
        <v>6.8000000000000007</v>
      </c>
      <c r="L657" s="16">
        <f t="shared" si="202"/>
        <v>3</v>
      </c>
      <c r="M657" s="5"/>
      <c r="N657" s="5"/>
      <c r="O657" s="5"/>
    </row>
    <row r="658" spans="2:15" x14ac:dyDescent="0.2">
      <c r="B658" s="63" t="s">
        <v>629</v>
      </c>
      <c r="C658" s="16">
        <v>1</v>
      </c>
      <c r="D658" s="16">
        <f t="shared" si="199"/>
        <v>80</v>
      </c>
      <c r="E658" s="16">
        <v>2</v>
      </c>
      <c r="F658" s="16">
        <v>3</v>
      </c>
      <c r="G658" s="16">
        <v>0</v>
      </c>
      <c r="H658" s="16">
        <v>2</v>
      </c>
      <c r="I658" s="16">
        <v>13</v>
      </c>
      <c r="J658" s="16">
        <f t="shared" si="200"/>
        <v>20</v>
      </c>
      <c r="K658" s="16">
        <f t="shared" si="201"/>
        <v>16.2</v>
      </c>
      <c r="L658" s="16">
        <f t="shared" si="202"/>
        <v>13</v>
      </c>
      <c r="M658" s="5">
        <f>AVERAGE((SUM(E658:I658)), (SUM(E659:I659)), (SUM(E660:I660)), (SUM(E661:I661)), (SUM(E662:I662)))</f>
        <v>21.2</v>
      </c>
      <c r="N658" s="5">
        <f>AVERAGE((SUM(D658*0+E658*1+F658*2+G658*3+H658*4+I658*5)/(5*100)*100), (SUM(D659*0+E659*1+F659*2+G659*3+H659*4+I659*5)/(5*100)*100), (SUM(D660*0+E660*1+F660*2+G660*3+H660*4+I660*5)/(5*100)*100), (SUM(D661*0+E661*1+F661*2+G661*3+H661*4+I661*5)/(5*100)*100), (SUM(D662*0+E662*1+F662*2+G662*3+H662*4+I662*5)/(5*100)*100))</f>
        <v>18.28</v>
      </c>
      <c r="O658" s="5">
        <f>AVERAGE(I658:I662)</f>
        <v>16.2</v>
      </c>
    </row>
    <row r="659" spans="2:15" x14ac:dyDescent="0.2">
      <c r="B659" s="63"/>
      <c r="C659" s="16">
        <v>2</v>
      </c>
      <c r="D659" s="16">
        <f t="shared" si="199"/>
        <v>66</v>
      </c>
      <c r="E659" s="16">
        <v>3</v>
      </c>
      <c r="F659" s="16">
        <v>0</v>
      </c>
      <c r="G659" s="16">
        <v>0</v>
      </c>
      <c r="H659" s="16">
        <v>2</v>
      </c>
      <c r="I659" s="16">
        <v>29</v>
      </c>
      <c r="J659" s="16">
        <f t="shared" si="200"/>
        <v>34</v>
      </c>
      <c r="K659" s="16">
        <f t="shared" si="201"/>
        <v>31.2</v>
      </c>
      <c r="L659" s="16">
        <f t="shared" si="202"/>
        <v>29</v>
      </c>
      <c r="M659" s="5"/>
      <c r="N659" s="5"/>
      <c r="O659" s="5"/>
    </row>
    <row r="660" spans="2:15" x14ac:dyDescent="0.2">
      <c r="B660" s="63"/>
      <c r="C660" s="16">
        <v>3</v>
      </c>
      <c r="D660" s="16">
        <f t="shared" si="199"/>
        <v>88</v>
      </c>
      <c r="E660" s="16">
        <v>0</v>
      </c>
      <c r="F660" s="16">
        <v>5</v>
      </c>
      <c r="G660" s="16">
        <v>0</v>
      </c>
      <c r="H660" s="16">
        <v>2</v>
      </c>
      <c r="I660" s="16">
        <v>5</v>
      </c>
      <c r="J660" s="16">
        <f t="shared" si="200"/>
        <v>12</v>
      </c>
      <c r="K660" s="16">
        <f t="shared" si="201"/>
        <v>8.6</v>
      </c>
      <c r="L660" s="16">
        <f t="shared" si="202"/>
        <v>5</v>
      </c>
      <c r="M660" s="5"/>
      <c r="N660" s="5"/>
      <c r="O660" s="5"/>
    </row>
    <row r="661" spans="2:15" x14ac:dyDescent="0.2">
      <c r="B661" s="63"/>
      <c r="C661" s="16">
        <v>4</v>
      </c>
      <c r="D661" s="16">
        <f t="shared" si="199"/>
        <v>79</v>
      </c>
      <c r="E661" s="16">
        <v>5</v>
      </c>
      <c r="F661" s="16">
        <v>1</v>
      </c>
      <c r="G661" s="16">
        <v>0</v>
      </c>
      <c r="H661" s="16">
        <v>0</v>
      </c>
      <c r="I661" s="16">
        <v>15</v>
      </c>
      <c r="J661" s="16">
        <f t="shared" si="200"/>
        <v>21</v>
      </c>
      <c r="K661" s="16">
        <f t="shared" si="201"/>
        <v>16.400000000000002</v>
      </c>
      <c r="L661" s="16">
        <f t="shared" si="202"/>
        <v>15</v>
      </c>
      <c r="M661" s="5"/>
      <c r="N661" s="5"/>
      <c r="O661" s="5"/>
    </row>
    <row r="662" spans="2:15" x14ac:dyDescent="0.2">
      <c r="B662" s="63"/>
      <c r="C662" s="16">
        <v>5</v>
      </c>
      <c r="D662" s="16">
        <f t="shared" si="199"/>
        <v>81</v>
      </c>
      <c r="E662" s="16">
        <v>0</v>
      </c>
      <c r="F662" s="16">
        <v>0</v>
      </c>
      <c r="G662" s="16">
        <v>0</v>
      </c>
      <c r="H662" s="16">
        <v>0</v>
      </c>
      <c r="I662" s="16">
        <v>19</v>
      </c>
      <c r="J662" s="16">
        <f t="shared" si="200"/>
        <v>19</v>
      </c>
      <c r="K662" s="16">
        <f t="shared" si="201"/>
        <v>19</v>
      </c>
      <c r="L662" s="16">
        <f t="shared" si="202"/>
        <v>19</v>
      </c>
      <c r="M662" s="5"/>
      <c r="N662" s="5"/>
      <c r="O662" s="5"/>
    </row>
    <row r="663" spans="2:15" x14ac:dyDescent="0.2">
      <c r="B663" s="63" t="s">
        <v>630</v>
      </c>
      <c r="C663" s="16">
        <v>1</v>
      </c>
      <c r="D663" s="16">
        <f t="shared" si="199"/>
        <v>82</v>
      </c>
      <c r="E663" s="16">
        <v>2</v>
      </c>
      <c r="F663" s="16">
        <v>6</v>
      </c>
      <c r="G663" s="16">
        <v>1</v>
      </c>
      <c r="H663" s="16">
        <v>6</v>
      </c>
      <c r="I663" s="16">
        <v>3</v>
      </c>
      <c r="J663" s="16">
        <f t="shared" si="200"/>
        <v>18</v>
      </c>
      <c r="K663" s="16">
        <f t="shared" si="201"/>
        <v>11.200000000000001</v>
      </c>
      <c r="L663" s="16">
        <f t="shared" si="202"/>
        <v>3</v>
      </c>
      <c r="M663" s="5">
        <f>AVERAGE((SUM(E663:I663)), (SUM(E664:I664)), (SUM(E665:I665)), (SUM(E666:I666)), (SUM(E667:I667)))</f>
        <v>26.6</v>
      </c>
      <c r="N663" s="5">
        <f>AVERAGE((SUM(D663*0+E663*1+F663*2+G663*3+H663*4+I663*5)/(5*100)*100), (SUM(D664*0+E664*1+F664*2+G664*3+H664*4+I664*5)/(5*100)*100), (SUM(D665*0+E665*1+F665*2+G665*3+H665*4+I665*5)/(5*100)*100), (SUM(D666*0+E666*1+F666*2+G666*3+H666*4+I666*5)/(5*100)*100), (SUM(D667*0+E667*1+F667*2+G667*3+H667*4+I667*5)/(5*100)*100))</f>
        <v>21.560000000000002</v>
      </c>
      <c r="O663" s="5">
        <f>AVERAGE(I663:I667)</f>
        <v>16.2</v>
      </c>
    </row>
    <row r="664" spans="2:15" x14ac:dyDescent="0.2">
      <c r="B664" s="63"/>
      <c r="C664" s="16">
        <v>2</v>
      </c>
      <c r="D664" s="16">
        <f t="shared" si="199"/>
        <v>36</v>
      </c>
      <c r="E664" s="16">
        <v>12</v>
      </c>
      <c r="F664" s="16">
        <v>5</v>
      </c>
      <c r="G664" s="16">
        <v>9</v>
      </c>
      <c r="H664" s="16">
        <v>9</v>
      </c>
      <c r="I664" s="16">
        <v>29</v>
      </c>
      <c r="J664" s="16">
        <f t="shared" si="200"/>
        <v>64</v>
      </c>
      <c r="K664" s="16">
        <f t="shared" si="201"/>
        <v>46</v>
      </c>
      <c r="L664" s="16">
        <f t="shared" si="202"/>
        <v>29</v>
      </c>
      <c r="M664" s="5"/>
      <c r="N664" s="5"/>
      <c r="O664" s="5"/>
    </row>
    <row r="665" spans="2:15" x14ac:dyDescent="0.2">
      <c r="B665" s="63"/>
      <c r="C665" s="16">
        <v>3</v>
      </c>
      <c r="D665" s="16">
        <f t="shared" si="199"/>
        <v>78</v>
      </c>
      <c r="E665" s="16">
        <v>0</v>
      </c>
      <c r="F665" s="16">
        <v>0</v>
      </c>
      <c r="G665" s="16">
        <v>0</v>
      </c>
      <c r="H665" s="16">
        <v>2</v>
      </c>
      <c r="I665" s="16">
        <v>20</v>
      </c>
      <c r="J665" s="16">
        <f t="shared" si="200"/>
        <v>22</v>
      </c>
      <c r="K665" s="16">
        <f t="shared" si="201"/>
        <v>21.6</v>
      </c>
      <c r="L665" s="16">
        <f t="shared" si="202"/>
        <v>20</v>
      </c>
      <c r="M665" s="5"/>
      <c r="N665" s="5"/>
      <c r="O665" s="5"/>
    </row>
    <row r="666" spans="2:15" x14ac:dyDescent="0.2">
      <c r="B666" s="63"/>
      <c r="C666" s="16">
        <v>4</v>
      </c>
      <c r="D666" s="16">
        <f t="shared" si="199"/>
        <v>83</v>
      </c>
      <c r="E666" s="16">
        <v>0</v>
      </c>
      <c r="F666" s="16">
        <v>0</v>
      </c>
      <c r="G666" s="16">
        <v>0</v>
      </c>
      <c r="H666" s="16">
        <v>0</v>
      </c>
      <c r="I666" s="16">
        <v>17</v>
      </c>
      <c r="J666" s="16">
        <f t="shared" si="200"/>
        <v>17</v>
      </c>
      <c r="K666" s="16">
        <f t="shared" si="201"/>
        <v>17</v>
      </c>
      <c r="L666" s="16">
        <f t="shared" si="202"/>
        <v>17</v>
      </c>
      <c r="M666" s="5"/>
      <c r="N666" s="5"/>
      <c r="O666" s="5"/>
    </row>
    <row r="667" spans="2:15" x14ac:dyDescent="0.2">
      <c r="B667" s="63"/>
      <c r="C667" s="16">
        <v>5</v>
      </c>
      <c r="D667" s="16">
        <f t="shared" si="199"/>
        <v>88</v>
      </c>
      <c r="E667" s="16">
        <v>0</v>
      </c>
      <c r="F667" s="16">
        <v>0</v>
      </c>
      <c r="G667" s="16">
        <v>0</v>
      </c>
      <c r="H667" s="16">
        <v>0</v>
      </c>
      <c r="I667" s="16">
        <v>12</v>
      </c>
      <c r="J667" s="16">
        <f t="shared" si="200"/>
        <v>12</v>
      </c>
      <c r="K667" s="16">
        <f t="shared" si="201"/>
        <v>12</v>
      </c>
      <c r="L667" s="16">
        <f t="shared" si="202"/>
        <v>12</v>
      </c>
      <c r="M667" s="5"/>
      <c r="N667" s="5"/>
      <c r="O667" s="5"/>
    </row>
    <row r="668" spans="2:15" x14ac:dyDescent="0.2">
      <c r="B668" s="63" t="s">
        <v>631</v>
      </c>
      <c r="C668" s="16">
        <v>1</v>
      </c>
      <c r="D668" s="16">
        <f t="shared" si="199"/>
        <v>51</v>
      </c>
      <c r="E668" s="16">
        <v>5</v>
      </c>
      <c r="F668" s="16">
        <v>0</v>
      </c>
      <c r="G668" s="16">
        <v>0</v>
      </c>
      <c r="H668" s="16">
        <v>0</v>
      </c>
      <c r="I668" s="16">
        <v>44</v>
      </c>
      <c r="J668" s="16">
        <f t="shared" si="200"/>
        <v>49</v>
      </c>
      <c r="K668" s="16">
        <f t="shared" si="201"/>
        <v>45</v>
      </c>
      <c r="L668" s="16">
        <f t="shared" si="202"/>
        <v>44</v>
      </c>
      <c r="M668" s="5">
        <f>AVERAGE((SUM(E668:I668)), (SUM(E669:I669)), (SUM(E670:I670)), (SUM(E671:I671)), (SUM(E672:I672)))</f>
        <v>33.4</v>
      </c>
      <c r="N668" s="5">
        <f>AVERAGE((SUM(D668*0+E668*1+F668*2+G668*3+H668*4+I668*5)/(5*100)*100), (SUM(D669*0+E669*1+F669*2+G669*3+H669*4+I669*5)/(5*100)*100), (SUM(D670*0+E670*1+F670*2+G670*3+H670*4+I670*5)/(5*100)*100), (SUM(D671*0+E671*1+F671*2+G671*3+H671*4+I671*5)/(5*100)*100), (SUM(D672*0+E672*1+F672*2+G672*3+H672*4+I672*5)/(5*100)*100))</f>
        <v>24.04</v>
      </c>
      <c r="O668" s="5">
        <f>AVERAGE(I668:I672)</f>
        <v>13</v>
      </c>
    </row>
    <row r="669" spans="2:15" x14ac:dyDescent="0.2">
      <c r="B669" s="63"/>
      <c r="C669" s="16">
        <v>2</v>
      </c>
      <c r="D669" s="16">
        <f t="shared" si="199"/>
        <v>34</v>
      </c>
      <c r="E669" s="16">
        <v>12</v>
      </c>
      <c r="F669" s="16">
        <v>4</v>
      </c>
      <c r="G669" s="16">
        <v>15</v>
      </c>
      <c r="H669" s="16">
        <v>20</v>
      </c>
      <c r="I669" s="16">
        <v>15</v>
      </c>
      <c r="J669" s="16">
        <f t="shared" si="200"/>
        <v>66</v>
      </c>
      <c r="K669" s="16">
        <f t="shared" si="201"/>
        <v>44</v>
      </c>
      <c r="L669" s="16">
        <f t="shared" si="202"/>
        <v>15</v>
      </c>
      <c r="M669" s="5"/>
      <c r="N669" s="5"/>
      <c r="O669" s="5"/>
    </row>
    <row r="670" spans="2:15" x14ac:dyDescent="0.2">
      <c r="B670" s="63"/>
      <c r="C670" s="16">
        <v>3</v>
      </c>
      <c r="D670" s="16">
        <f t="shared" si="199"/>
        <v>89</v>
      </c>
      <c r="E670" s="16">
        <v>1</v>
      </c>
      <c r="F670" s="16">
        <v>3</v>
      </c>
      <c r="G670" s="16">
        <v>2</v>
      </c>
      <c r="H670" s="16">
        <v>3</v>
      </c>
      <c r="I670" s="16">
        <v>2</v>
      </c>
      <c r="J670" s="16">
        <f t="shared" si="200"/>
        <v>11</v>
      </c>
      <c r="K670" s="16">
        <f t="shared" si="201"/>
        <v>7.0000000000000009</v>
      </c>
      <c r="L670" s="16">
        <f t="shared" si="202"/>
        <v>2</v>
      </c>
      <c r="M670" s="5"/>
      <c r="N670" s="5"/>
      <c r="O670" s="5"/>
    </row>
    <row r="671" spans="2:15" x14ac:dyDescent="0.2">
      <c r="B671" s="63"/>
      <c r="C671" s="16">
        <v>4</v>
      </c>
      <c r="D671" s="16">
        <f t="shared" si="199"/>
        <v>76</v>
      </c>
      <c r="E671" s="16">
        <v>0</v>
      </c>
      <c r="F671" s="16">
        <v>10</v>
      </c>
      <c r="G671" s="16">
        <v>5</v>
      </c>
      <c r="H671" s="16">
        <v>5</v>
      </c>
      <c r="I671" s="16">
        <v>4</v>
      </c>
      <c r="J671" s="16">
        <f t="shared" si="200"/>
        <v>24</v>
      </c>
      <c r="K671" s="16">
        <f t="shared" si="201"/>
        <v>15</v>
      </c>
      <c r="L671" s="16">
        <f t="shared" si="202"/>
        <v>4</v>
      </c>
      <c r="M671" s="5"/>
      <c r="N671" s="5"/>
      <c r="O671" s="5"/>
    </row>
    <row r="672" spans="2:15" x14ac:dyDescent="0.2">
      <c r="B672" s="63"/>
      <c r="C672" s="16">
        <v>5</v>
      </c>
      <c r="D672" s="16">
        <f t="shared" si="199"/>
        <v>83</v>
      </c>
      <c r="E672" s="16">
        <v>2</v>
      </c>
      <c r="F672" s="16">
        <v>4</v>
      </c>
      <c r="G672" s="16">
        <v>8</v>
      </c>
      <c r="H672" s="16">
        <v>3</v>
      </c>
      <c r="I672" s="16">
        <v>0</v>
      </c>
      <c r="J672" s="16">
        <f t="shared" si="200"/>
        <v>17</v>
      </c>
      <c r="K672" s="16">
        <f t="shared" si="201"/>
        <v>9.1999999999999993</v>
      </c>
      <c r="L672" s="16">
        <f t="shared" si="202"/>
        <v>0</v>
      </c>
      <c r="M672" s="5"/>
      <c r="N672" s="5"/>
      <c r="O672" s="5"/>
    </row>
    <row r="673" spans="2:15" x14ac:dyDescent="0.2">
      <c r="B673" s="63" t="s">
        <v>632</v>
      </c>
      <c r="C673" s="16">
        <v>1</v>
      </c>
      <c r="D673" s="16">
        <f t="shared" si="199"/>
        <v>74</v>
      </c>
      <c r="E673" s="16">
        <v>3</v>
      </c>
      <c r="F673" s="16">
        <v>2</v>
      </c>
      <c r="G673" s="16">
        <v>4</v>
      </c>
      <c r="H673" s="16">
        <v>7</v>
      </c>
      <c r="I673" s="16">
        <v>10</v>
      </c>
      <c r="J673" s="16">
        <f t="shared" si="200"/>
        <v>26</v>
      </c>
      <c r="K673" s="16">
        <f t="shared" si="201"/>
        <v>19.400000000000002</v>
      </c>
      <c r="L673" s="16">
        <f t="shared" si="202"/>
        <v>10</v>
      </c>
      <c r="M673" s="5">
        <f>AVERAGE((SUM(E673:I673)), (SUM(E674:I674)), (SUM(E675:I675)), (SUM(E676:I676)), (SUM(E677:I677)))</f>
        <v>24.6</v>
      </c>
      <c r="N673" s="5">
        <f>AVERAGE((SUM(D673*0+E673*1+F673*2+G673*3+H673*4+I673*5)/(5*100)*100), (SUM(D674*0+E674*1+F674*2+G674*3+H674*4+I674*5)/(5*100)*100), (SUM(D675*0+E675*1+F675*2+G675*3+H675*4+I675*5)/(5*100)*100), (SUM(D676*0+E676*1+F676*2+G676*3+H676*4+I676*5)/(5*100)*100), (SUM(D677*0+E677*1+F677*2+G677*3+H677*4+I677*5)/(5*100)*100))</f>
        <v>19.28</v>
      </c>
      <c r="O673" s="5">
        <f>AVERAGE(I673:I677)</f>
        <v>14.6</v>
      </c>
    </row>
    <row r="674" spans="2:15" x14ac:dyDescent="0.2">
      <c r="B674" s="63"/>
      <c r="C674" s="16">
        <v>2</v>
      </c>
      <c r="D674" s="16">
        <f t="shared" si="199"/>
        <v>68</v>
      </c>
      <c r="E674" s="16">
        <v>5</v>
      </c>
      <c r="F674" s="16">
        <v>0</v>
      </c>
      <c r="G674" s="16">
        <v>0</v>
      </c>
      <c r="H674" s="16">
        <v>0</v>
      </c>
      <c r="I674" s="16">
        <v>27</v>
      </c>
      <c r="J674" s="16">
        <f t="shared" si="200"/>
        <v>32</v>
      </c>
      <c r="K674" s="16">
        <f t="shared" si="201"/>
        <v>28.000000000000004</v>
      </c>
      <c r="L674" s="16">
        <f t="shared" si="202"/>
        <v>27</v>
      </c>
      <c r="M674" s="5"/>
      <c r="N674" s="5"/>
      <c r="O674" s="5"/>
    </row>
    <row r="675" spans="2:15" x14ac:dyDescent="0.2">
      <c r="B675" s="63"/>
      <c r="C675" s="16">
        <v>3</v>
      </c>
      <c r="D675" s="16">
        <f t="shared" si="199"/>
        <v>72</v>
      </c>
      <c r="E675" s="16">
        <v>4</v>
      </c>
      <c r="F675" s="16">
        <v>1</v>
      </c>
      <c r="G675" s="16">
        <v>0</v>
      </c>
      <c r="H675" s="16">
        <v>0</v>
      </c>
      <c r="I675" s="16">
        <v>23</v>
      </c>
      <c r="J675" s="16">
        <f t="shared" si="200"/>
        <v>28</v>
      </c>
      <c r="K675" s="16">
        <f t="shared" si="201"/>
        <v>24.2</v>
      </c>
      <c r="L675" s="16">
        <f t="shared" si="202"/>
        <v>23</v>
      </c>
      <c r="M675" s="5"/>
      <c r="N675" s="5"/>
      <c r="O675" s="5"/>
    </row>
    <row r="676" spans="2:15" x14ac:dyDescent="0.2">
      <c r="B676" s="63"/>
      <c r="C676" s="16">
        <v>4</v>
      </c>
      <c r="D676" s="16">
        <f t="shared" si="199"/>
        <v>79</v>
      </c>
      <c r="E676" s="16">
        <v>2</v>
      </c>
      <c r="F676" s="16">
        <v>2</v>
      </c>
      <c r="G676" s="16">
        <v>6</v>
      </c>
      <c r="H676" s="16">
        <v>1</v>
      </c>
      <c r="I676" s="16">
        <v>10</v>
      </c>
      <c r="J676" s="16">
        <f t="shared" si="200"/>
        <v>21</v>
      </c>
      <c r="K676" s="16">
        <f t="shared" si="201"/>
        <v>15.6</v>
      </c>
      <c r="L676" s="16">
        <f t="shared" si="202"/>
        <v>10</v>
      </c>
      <c r="M676" s="5"/>
      <c r="N676" s="5"/>
      <c r="O676" s="5"/>
    </row>
    <row r="677" spans="2:15" x14ac:dyDescent="0.2">
      <c r="B677" s="63"/>
      <c r="C677" s="16">
        <v>5</v>
      </c>
      <c r="D677" s="16">
        <f t="shared" si="199"/>
        <v>84</v>
      </c>
      <c r="E677" s="16">
        <v>6</v>
      </c>
      <c r="F677" s="16">
        <v>0</v>
      </c>
      <c r="G677" s="16">
        <v>3</v>
      </c>
      <c r="H677" s="16">
        <v>4</v>
      </c>
      <c r="I677" s="16">
        <v>3</v>
      </c>
      <c r="J677" s="16">
        <f t="shared" si="200"/>
        <v>16</v>
      </c>
      <c r="K677" s="16">
        <f t="shared" si="201"/>
        <v>9.1999999999999993</v>
      </c>
      <c r="L677" s="16">
        <f t="shared" si="202"/>
        <v>3</v>
      </c>
      <c r="M677" s="5"/>
      <c r="N677" s="5"/>
      <c r="O677" s="5"/>
    </row>
    <row r="678" spans="2:15" x14ac:dyDescent="0.2">
      <c r="B678" s="63" t="s">
        <v>633</v>
      </c>
      <c r="C678" s="16">
        <v>1</v>
      </c>
      <c r="D678" s="16">
        <f t="shared" si="199"/>
        <v>32</v>
      </c>
      <c r="E678" s="16">
        <v>5</v>
      </c>
      <c r="F678" s="16">
        <v>0</v>
      </c>
      <c r="G678" s="16">
        <v>6</v>
      </c>
      <c r="H678" s="16">
        <v>11</v>
      </c>
      <c r="I678" s="16">
        <v>46</v>
      </c>
      <c r="J678" s="16">
        <f t="shared" si="200"/>
        <v>68</v>
      </c>
      <c r="K678" s="16">
        <f t="shared" si="201"/>
        <v>59.4</v>
      </c>
      <c r="L678" s="16">
        <f t="shared" si="202"/>
        <v>46</v>
      </c>
      <c r="M678" s="5">
        <f>AVERAGE((SUM(E678:I678)), (SUM(E679:I679)), (SUM(E680:I680)), (SUM(E681:I681)), (SUM(E682:I682)))</f>
        <v>35.6</v>
      </c>
      <c r="N678" s="5">
        <f>AVERAGE((SUM(D678*0+E678*1+F678*2+G678*3+H678*4+I678*5)/(5*100)*100), (SUM(D679*0+E679*1+F679*2+G679*3+H679*4+I679*5)/(5*100)*100), (SUM(D680*0+E680*1+F680*2+G680*3+H680*4+I680*5)/(5*100)*100), (SUM(D681*0+E681*1+F681*2+G681*3+H681*4+I681*5)/(5*100)*100), (SUM(D682*0+E682*1+F682*2+G682*3+H682*4+I682*5)/(5*100)*100))</f>
        <v>30.76</v>
      </c>
      <c r="O678" s="5">
        <f>AVERAGE(I678:I682)</f>
        <v>25</v>
      </c>
    </row>
    <row r="679" spans="2:15" x14ac:dyDescent="0.2">
      <c r="B679" s="63"/>
      <c r="C679" s="16">
        <v>2</v>
      </c>
      <c r="D679" s="16">
        <f t="shared" si="199"/>
        <v>51</v>
      </c>
      <c r="E679" s="16">
        <v>0</v>
      </c>
      <c r="F679" s="16">
        <v>0</v>
      </c>
      <c r="G679" s="16">
        <v>2</v>
      </c>
      <c r="H679" s="16">
        <v>5</v>
      </c>
      <c r="I679" s="16">
        <v>42</v>
      </c>
      <c r="J679" s="16">
        <f t="shared" si="200"/>
        <v>49</v>
      </c>
      <c r="K679" s="16">
        <f t="shared" si="201"/>
        <v>47.199999999999996</v>
      </c>
      <c r="L679" s="16">
        <f t="shared" si="202"/>
        <v>42</v>
      </c>
      <c r="M679" s="5"/>
      <c r="N679" s="5"/>
      <c r="O679" s="5"/>
    </row>
    <row r="680" spans="2:15" x14ac:dyDescent="0.2">
      <c r="B680" s="63"/>
      <c r="C680" s="16">
        <v>3</v>
      </c>
      <c r="D680" s="16">
        <f t="shared" si="199"/>
        <v>68</v>
      </c>
      <c r="E680" s="16">
        <v>6</v>
      </c>
      <c r="F680" s="16">
        <v>4</v>
      </c>
      <c r="G680" s="16">
        <v>3</v>
      </c>
      <c r="H680" s="16">
        <v>2</v>
      </c>
      <c r="I680" s="16">
        <v>17</v>
      </c>
      <c r="J680" s="16">
        <f t="shared" si="200"/>
        <v>32</v>
      </c>
      <c r="K680" s="16">
        <f t="shared" si="201"/>
        <v>23.200000000000003</v>
      </c>
      <c r="L680" s="16">
        <f t="shared" si="202"/>
        <v>17</v>
      </c>
      <c r="M680" s="5"/>
      <c r="N680" s="5"/>
      <c r="O680" s="5"/>
    </row>
    <row r="681" spans="2:15" x14ac:dyDescent="0.2">
      <c r="B681" s="63"/>
      <c r="C681" s="16">
        <v>4</v>
      </c>
      <c r="D681" s="16">
        <f t="shared" si="199"/>
        <v>80</v>
      </c>
      <c r="E681" s="16">
        <v>2</v>
      </c>
      <c r="F681" s="16">
        <v>0</v>
      </c>
      <c r="G681" s="16">
        <v>2</v>
      </c>
      <c r="H681" s="16">
        <v>1</v>
      </c>
      <c r="I681" s="16">
        <v>15</v>
      </c>
      <c r="J681" s="16">
        <f t="shared" si="200"/>
        <v>20</v>
      </c>
      <c r="K681" s="16">
        <f t="shared" si="201"/>
        <v>17.399999999999999</v>
      </c>
      <c r="L681" s="16">
        <f t="shared" si="202"/>
        <v>15</v>
      </c>
      <c r="M681" s="5"/>
      <c r="N681" s="5"/>
      <c r="O681" s="5"/>
    </row>
    <row r="682" spans="2:15" x14ac:dyDescent="0.2">
      <c r="B682" s="63"/>
      <c r="C682" s="16">
        <v>5</v>
      </c>
      <c r="D682" s="16">
        <f t="shared" si="199"/>
        <v>91</v>
      </c>
      <c r="E682" s="16">
        <v>2</v>
      </c>
      <c r="F682" s="16">
        <v>1</v>
      </c>
      <c r="G682" s="16">
        <v>0</v>
      </c>
      <c r="H682" s="16">
        <v>1</v>
      </c>
      <c r="I682" s="16">
        <v>5</v>
      </c>
      <c r="J682" s="16">
        <f t="shared" si="200"/>
        <v>9</v>
      </c>
      <c r="K682" s="16">
        <f t="shared" si="201"/>
        <v>6.6000000000000005</v>
      </c>
      <c r="L682" s="16">
        <f t="shared" si="202"/>
        <v>5</v>
      </c>
      <c r="M682" s="5"/>
      <c r="N682" s="5"/>
      <c r="O682" s="5"/>
    </row>
    <row r="683" spans="2:15" x14ac:dyDescent="0.2">
      <c r="B683" s="63" t="s">
        <v>634</v>
      </c>
      <c r="C683" s="16">
        <v>1</v>
      </c>
      <c r="D683" s="16">
        <f t="shared" si="199"/>
        <v>37</v>
      </c>
      <c r="E683" s="16">
        <v>13</v>
      </c>
      <c r="F683" s="16">
        <v>5</v>
      </c>
      <c r="G683" s="16">
        <v>10</v>
      </c>
      <c r="H683" s="16">
        <v>15</v>
      </c>
      <c r="I683" s="16">
        <v>20</v>
      </c>
      <c r="J683" s="16">
        <f t="shared" si="200"/>
        <v>63</v>
      </c>
      <c r="K683" s="16">
        <f t="shared" si="201"/>
        <v>42.6</v>
      </c>
      <c r="L683" s="16">
        <f t="shared" si="202"/>
        <v>20</v>
      </c>
      <c r="M683" s="5">
        <f>AVERAGE((SUM(E683:I683)), (SUM(E684:I684)), (SUM(E685:I685)), (SUM(E686:I686)), (SUM(E687:I687)))</f>
        <v>34.799999999999997</v>
      </c>
      <c r="N683" s="5">
        <f>AVERAGE((SUM(D683*0+E683*1+F683*2+G683*3+H683*4+I683*5)/(5*100)*100), (SUM(D684*0+E684*1+F684*2+G684*3+H684*4+I684*5)/(5*100)*100), (SUM(D685*0+E685*1+F685*2+G685*3+H685*4+I685*5)/(5*100)*100), (SUM(D686*0+E686*1+F686*2+G686*3+H686*4+I686*5)/(5*100)*100), (SUM(D687*0+E687*1+F687*2+G687*3+H687*4+I687*5)/(5*100)*100))</f>
        <v>22.720000000000002</v>
      </c>
      <c r="O683" s="5">
        <f>AVERAGE(I683:I687)</f>
        <v>11.8</v>
      </c>
    </row>
    <row r="684" spans="2:15" x14ac:dyDescent="0.2">
      <c r="B684" s="63"/>
      <c r="C684" s="16">
        <v>2</v>
      </c>
      <c r="D684" s="16">
        <f t="shared" si="199"/>
        <v>64</v>
      </c>
      <c r="E684" s="16">
        <v>22</v>
      </c>
      <c r="F684" s="16">
        <v>6</v>
      </c>
      <c r="G684" s="16">
        <v>0</v>
      </c>
      <c r="H684" s="16">
        <v>2</v>
      </c>
      <c r="I684" s="16">
        <v>6</v>
      </c>
      <c r="J684" s="16">
        <f t="shared" si="200"/>
        <v>36</v>
      </c>
      <c r="K684" s="16">
        <f t="shared" si="201"/>
        <v>14.399999999999999</v>
      </c>
      <c r="L684" s="16">
        <f t="shared" si="202"/>
        <v>6</v>
      </c>
      <c r="M684" s="5"/>
      <c r="N684" s="5"/>
      <c r="O684" s="5"/>
    </row>
    <row r="685" spans="2:15" x14ac:dyDescent="0.2">
      <c r="B685" s="63"/>
      <c r="C685" s="16">
        <v>3</v>
      </c>
      <c r="D685" s="16">
        <f t="shared" si="199"/>
        <v>57</v>
      </c>
      <c r="E685" s="16">
        <v>0</v>
      </c>
      <c r="F685" s="16">
        <v>3</v>
      </c>
      <c r="G685" s="16">
        <v>11</v>
      </c>
      <c r="H685" s="16">
        <v>9</v>
      </c>
      <c r="I685" s="16">
        <v>20</v>
      </c>
      <c r="J685" s="16">
        <f t="shared" si="200"/>
        <v>43</v>
      </c>
      <c r="K685" s="16">
        <f t="shared" si="201"/>
        <v>35</v>
      </c>
      <c r="L685" s="16">
        <f t="shared" si="202"/>
        <v>20</v>
      </c>
      <c r="M685" s="5"/>
      <c r="N685" s="5"/>
      <c r="O685" s="5"/>
    </row>
    <row r="686" spans="2:15" x14ac:dyDescent="0.2">
      <c r="B686" s="63"/>
      <c r="C686" s="16">
        <v>4</v>
      </c>
      <c r="D686" s="16">
        <f t="shared" si="199"/>
        <v>82</v>
      </c>
      <c r="E686" s="16">
        <v>2</v>
      </c>
      <c r="F686" s="16">
        <v>5</v>
      </c>
      <c r="G686" s="16">
        <v>2</v>
      </c>
      <c r="H686" s="16">
        <v>2</v>
      </c>
      <c r="I686" s="16">
        <v>7</v>
      </c>
      <c r="J686" s="16">
        <f t="shared" si="200"/>
        <v>18</v>
      </c>
      <c r="K686" s="16">
        <f t="shared" si="201"/>
        <v>12.2</v>
      </c>
      <c r="L686" s="16">
        <f t="shared" si="202"/>
        <v>7</v>
      </c>
      <c r="M686" s="5"/>
      <c r="N686" s="5"/>
      <c r="O686" s="5"/>
    </row>
    <row r="687" spans="2:15" x14ac:dyDescent="0.2">
      <c r="B687" s="63"/>
      <c r="C687" s="16">
        <v>5</v>
      </c>
      <c r="D687" s="16">
        <f t="shared" si="199"/>
        <v>86</v>
      </c>
      <c r="E687" s="16">
        <v>2</v>
      </c>
      <c r="F687" s="16">
        <v>3</v>
      </c>
      <c r="G687" s="16">
        <v>3</v>
      </c>
      <c r="H687" s="16">
        <v>0</v>
      </c>
      <c r="I687" s="16">
        <v>6</v>
      </c>
      <c r="J687" s="16">
        <f t="shared" si="200"/>
        <v>14</v>
      </c>
      <c r="K687" s="16">
        <f t="shared" si="201"/>
        <v>9.4</v>
      </c>
      <c r="L687" s="16">
        <f t="shared" si="202"/>
        <v>6</v>
      </c>
      <c r="M687" s="5"/>
      <c r="N687" s="5"/>
      <c r="O687" s="5"/>
    </row>
    <row r="688" spans="2:15" x14ac:dyDescent="0.2">
      <c r="B688" s="63" t="s">
        <v>635</v>
      </c>
      <c r="C688" s="16">
        <v>1</v>
      </c>
      <c r="D688" s="16">
        <f t="shared" si="199"/>
        <v>50</v>
      </c>
      <c r="E688" s="16">
        <v>0</v>
      </c>
      <c r="F688" s="16">
        <v>2</v>
      </c>
      <c r="G688" s="16">
        <v>10</v>
      </c>
      <c r="H688" s="16">
        <v>9</v>
      </c>
      <c r="I688" s="16">
        <v>29</v>
      </c>
      <c r="J688" s="16">
        <f t="shared" si="200"/>
        <v>50</v>
      </c>
      <c r="K688" s="16">
        <f t="shared" si="201"/>
        <v>43</v>
      </c>
      <c r="L688" s="16">
        <f t="shared" si="202"/>
        <v>29</v>
      </c>
      <c r="M688" s="5">
        <f>AVERAGE((SUM(E688:I688)), (SUM(E689:I689)), (SUM(E690:I690)), (SUM(E691:I691)), (SUM(E692:I692)))</f>
        <v>33.200000000000003</v>
      </c>
      <c r="N688" s="5">
        <f>AVERAGE((SUM(D688*0+E688*1+F688*2+G688*3+H688*4+I688*5)/(5*100)*100), (SUM(D689*0+E689*1+F689*2+G689*3+H689*4+I689*5)/(5*100)*100), (SUM(D690*0+E690*1+F690*2+G690*3+H690*4+I690*5)/(5*100)*100), (SUM(D691*0+E691*1+F691*2+G691*3+H691*4+I691*5)/(5*100)*100), (SUM(D692*0+E692*1+F692*2+G692*3+H692*4+I692*5)/(5*100)*100))</f>
        <v>26.6</v>
      </c>
      <c r="O688" s="5">
        <f>AVERAGE(I688:I692)</f>
        <v>19.399999999999999</v>
      </c>
    </row>
    <row r="689" spans="2:15" x14ac:dyDescent="0.2">
      <c r="B689" s="63"/>
      <c r="C689" s="16">
        <v>2</v>
      </c>
      <c r="D689" s="16">
        <f t="shared" si="199"/>
        <v>65</v>
      </c>
      <c r="E689" s="16">
        <v>0</v>
      </c>
      <c r="F689" s="16">
        <v>2</v>
      </c>
      <c r="G689" s="16">
        <v>2</v>
      </c>
      <c r="H689" s="16">
        <v>0</v>
      </c>
      <c r="I689" s="16">
        <v>31</v>
      </c>
      <c r="J689" s="16">
        <f t="shared" si="200"/>
        <v>35</v>
      </c>
      <c r="K689" s="16">
        <f t="shared" si="201"/>
        <v>33</v>
      </c>
      <c r="L689" s="16">
        <f t="shared" si="202"/>
        <v>31</v>
      </c>
      <c r="M689" s="5"/>
      <c r="N689" s="5"/>
      <c r="O689" s="5"/>
    </row>
    <row r="690" spans="2:15" x14ac:dyDescent="0.2">
      <c r="B690" s="63"/>
      <c r="C690" s="16">
        <v>3</v>
      </c>
      <c r="D690" s="16">
        <f t="shared" si="199"/>
        <v>53</v>
      </c>
      <c r="E690" s="16">
        <v>10</v>
      </c>
      <c r="F690" s="16">
        <v>3</v>
      </c>
      <c r="G690" s="16">
        <v>1</v>
      </c>
      <c r="H690" s="16">
        <v>6</v>
      </c>
      <c r="I690" s="16">
        <v>27</v>
      </c>
      <c r="J690" s="16">
        <f t="shared" si="200"/>
        <v>47</v>
      </c>
      <c r="K690" s="16">
        <f t="shared" si="201"/>
        <v>35.6</v>
      </c>
      <c r="L690" s="16">
        <f t="shared" si="202"/>
        <v>27</v>
      </c>
      <c r="M690" s="5"/>
      <c r="N690" s="5"/>
      <c r="O690" s="5"/>
    </row>
    <row r="691" spans="2:15" x14ac:dyDescent="0.2">
      <c r="B691" s="63"/>
      <c r="C691" s="16">
        <v>4</v>
      </c>
      <c r="D691" s="16">
        <f t="shared" si="199"/>
        <v>85</v>
      </c>
      <c r="E691" s="16">
        <v>5</v>
      </c>
      <c r="F691" s="16">
        <v>4</v>
      </c>
      <c r="G691" s="16">
        <v>3</v>
      </c>
      <c r="H691" s="16">
        <v>2</v>
      </c>
      <c r="I691" s="16">
        <v>1</v>
      </c>
      <c r="J691" s="16">
        <f t="shared" si="200"/>
        <v>15</v>
      </c>
      <c r="K691" s="16">
        <f t="shared" si="201"/>
        <v>7.0000000000000009</v>
      </c>
      <c r="L691" s="16">
        <f t="shared" si="202"/>
        <v>1</v>
      </c>
      <c r="M691" s="5"/>
      <c r="N691" s="5"/>
      <c r="O691" s="5"/>
    </row>
    <row r="692" spans="2:15" x14ac:dyDescent="0.2">
      <c r="B692" s="63"/>
      <c r="C692" s="16">
        <v>5</v>
      </c>
      <c r="D692" s="16">
        <f t="shared" si="199"/>
        <v>81</v>
      </c>
      <c r="E692" s="16">
        <v>2</v>
      </c>
      <c r="F692" s="16">
        <v>1</v>
      </c>
      <c r="G692" s="16">
        <v>5</v>
      </c>
      <c r="H692" s="16">
        <v>2</v>
      </c>
      <c r="I692" s="16">
        <v>9</v>
      </c>
      <c r="J692" s="16">
        <f t="shared" si="200"/>
        <v>19</v>
      </c>
      <c r="K692" s="16">
        <f t="shared" si="201"/>
        <v>14.399999999999999</v>
      </c>
      <c r="L692" s="16">
        <f t="shared" si="202"/>
        <v>9</v>
      </c>
      <c r="M692" s="5"/>
      <c r="N692" s="5"/>
      <c r="O692" s="5"/>
    </row>
    <row r="693" spans="2:15" x14ac:dyDescent="0.2">
      <c r="B693" s="63" t="s">
        <v>636</v>
      </c>
      <c r="C693" s="16">
        <v>1</v>
      </c>
      <c r="D693" s="16">
        <f t="shared" si="199"/>
        <v>61</v>
      </c>
      <c r="E693" s="16">
        <v>8</v>
      </c>
      <c r="F693" s="16">
        <v>6</v>
      </c>
      <c r="G693" s="16">
        <v>5</v>
      </c>
      <c r="H693" s="16">
        <v>2</v>
      </c>
      <c r="I693" s="16">
        <v>18</v>
      </c>
      <c r="J693" s="16">
        <f t="shared" si="200"/>
        <v>39</v>
      </c>
      <c r="K693" s="16">
        <f t="shared" si="201"/>
        <v>26.6</v>
      </c>
      <c r="L693" s="16">
        <f t="shared" si="202"/>
        <v>18</v>
      </c>
      <c r="M693" s="5">
        <f>AVERAGE((SUM(E693:I693)), (SUM(E694:I694)), (SUM(E695:I695)), (SUM(E696:I696)), (SUM(E697:I697)))</f>
        <v>49.2</v>
      </c>
      <c r="N693" s="5">
        <f>AVERAGE((SUM(D693*0+E693*1+F693*2+G693*3+H693*4+I693*5)/(5*100)*100), (SUM(D694*0+E694*1+F694*2+G694*3+H694*4+I694*5)/(5*100)*100), (SUM(D695*0+E695*1+F695*2+G695*3+H695*4+I695*5)/(5*100)*100), (SUM(D696*0+E696*1+F696*2+G696*3+H696*4+I696*5)/(5*100)*100), (SUM(D697*0+E697*1+F697*2+G697*3+H697*4+I697*5)/(5*100)*100))</f>
        <v>34.4</v>
      </c>
      <c r="O693" s="5">
        <f>AVERAGE(I693:I697)</f>
        <v>23.2</v>
      </c>
    </row>
    <row r="694" spans="2:15" x14ac:dyDescent="0.2">
      <c r="B694" s="63"/>
      <c r="C694" s="16">
        <v>2</v>
      </c>
      <c r="D694" s="16">
        <f t="shared" si="199"/>
        <v>34</v>
      </c>
      <c r="E694" s="16">
        <v>7</v>
      </c>
      <c r="F694" s="16">
        <v>3</v>
      </c>
      <c r="G694" s="16">
        <v>5</v>
      </c>
      <c r="H694" s="16">
        <v>4</v>
      </c>
      <c r="I694" s="16">
        <v>47</v>
      </c>
      <c r="J694" s="16">
        <f t="shared" si="200"/>
        <v>66</v>
      </c>
      <c r="K694" s="16">
        <f t="shared" si="201"/>
        <v>55.800000000000004</v>
      </c>
      <c r="L694" s="16">
        <f t="shared" si="202"/>
        <v>47</v>
      </c>
      <c r="M694" s="5"/>
      <c r="N694" s="5"/>
      <c r="O694" s="5"/>
    </row>
    <row r="695" spans="2:15" x14ac:dyDescent="0.2">
      <c r="B695" s="63"/>
      <c r="C695" s="16">
        <v>3</v>
      </c>
      <c r="D695" s="16">
        <f t="shared" si="199"/>
        <v>51</v>
      </c>
      <c r="E695" s="16">
        <v>15</v>
      </c>
      <c r="F695" s="16">
        <v>9</v>
      </c>
      <c r="G695" s="16">
        <v>10</v>
      </c>
      <c r="H695" s="16">
        <v>6</v>
      </c>
      <c r="I695" s="16">
        <v>9</v>
      </c>
      <c r="J695" s="16">
        <f t="shared" si="200"/>
        <v>49</v>
      </c>
      <c r="K695" s="16">
        <f t="shared" si="201"/>
        <v>26.400000000000002</v>
      </c>
      <c r="L695" s="16">
        <f t="shared" si="202"/>
        <v>9</v>
      </c>
      <c r="M695" s="5"/>
      <c r="N695" s="5"/>
      <c r="O695" s="5"/>
    </row>
    <row r="696" spans="2:15" x14ac:dyDescent="0.2">
      <c r="B696" s="63"/>
      <c r="C696" s="16">
        <v>4</v>
      </c>
      <c r="D696" s="16">
        <f t="shared" si="199"/>
        <v>50</v>
      </c>
      <c r="E696" s="16">
        <v>11</v>
      </c>
      <c r="F696" s="16">
        <v>5</v>
      </c>
      <c r="G696" s="16">
        <v>7</v>
      </c>
      <c r="H696" s="16">
        <v>2</v>
      </c>
      <c r="I696" s="16">
        <v>25</v>
      </c>
      <c r="J696" s="16">
        <f t="shared" si="200"/>
        <v>50</v>
      </c>
      <c r="K696" s="16">
        <f t="shared" si="201"/>
        <v>35</v>
      </c>
      <c r="L696" s="16">
        <f t="shared" si="202"/>
        <v>25</v>
      </c>
      <c r="M696" s="5"/>
      <c r="N696" s="5"/>
      <c r="O696" s="5"/>
    </row>
    <row r="697" spans="2:15" x14ac:dyDescent="0.2">
      <c r="B697" s="63"/>
      <c r="C697" s="16">
        <v>5</v>
      </c>
      <c r="D697" s="16">
        <f t="shared" si="199"/>
        <v>58</v>
      </c>
      <c r="E697" s="16">
        <v>9</v>
      </c>
      <c r="F697" s="16">
        <v>6</v>
      </c>
      <c r="G697" s="16">
        <v>5</v>
      </c>
      <c r="H697" s="16">
        <v>5</v>
      </c>
      <c r="I697" s="16">
        <v>17</v>
      </c>
      <c r="J697" s="16">
        <f t="shared" si="200"/>
        <v>42</v>
      </c>
      <c r="K697" s="16">
        <f t="shared" si="201"/>
        <v>28.199999999999996</v>
      </c>
      <c r="L697" s="16">
        <f t="shared" si="202"/>
        <v>17</v>
      </c>
      <c r="M697" s="5"/>
      <c r="N697" s="5"/>
      <c r="O697" s="5"/>
    </row>
    <row r="698" spans="2:15" x14ac:dyDescent="0.2">
      <c r="B698" s="63">
        <v>50</v>
      </c>
      <c r="C698" s="16">
        <v>1</v>
      </c>
      <c r="D698" s="16">
        <f t="shared" si="199"/>
        <v>23</v>
      </c>
      <c r="E698" s="16">
        <v>0</v>
      </c>
      <c r="F698" s="16">
        <v>0</v>
      </c>
      <c r="G698" s="16">
        <v>12</v>
      </c>
      <c r="H698" s="16">
        <v>15</v>
      </c>
      <c r="I698" s="16">
        <v>50</v>
      </c>
      <c r="J698" s="16">
        <f t="shared" si="200"/>
        <v>77</v>
      </c>
      <c r="K698" s="16">
        <f t="shared" si="201"/>
        <v>69.199999999999989</v>
      </c>
      <c r="L698" s="16">
        <f t="shared" si="202"/>
        <v>50</v>
      </c>
      <c r="M698" s="5">
        <f>AVERAGE((SUM(E698:I698)), (SUM(E699:I699)), (SUM(E700:I700)), (SUM(E701:I701)), (SUM(E702:I702)))</f>
        <v>77.2</v>
      </c>
      <c r="N698" s="5">
        <f>AVERAGE((SUM(D698*0+E698*1+F698*2+G698*3+H698*4+I698*5)/(5*100)*100), (SUM(D699*0+E699*1+F699*2+G699*3+H699*4+I699*5)/(5*100)*100), (SUM(D700*0+E700*1+F700*2+G700*3+H700*4+I700*5)/(5*100)*100), (SUM(D701*0+E701*1+F701*2+G701*3+H701*4+I701*5)/(5*100)*100), (SUM(D702*0+E702*1+F702*2+G702*3+H702*4+I702*5)/(5*100)*100))</f>
        <v>68.039999999999992</v>
      </c>
      <c r="O698" s="5">
        <f>AVERAGE(I698:I702)</f>
        <v>49.6</v>
      </c>
    </row>
    <row r="699" spans="2:15" x14ac:dyDescent="0.2">
      <c r="B699" s="63"/>
      <c r="C699" s="16">
        <v>2</v>
      </c>
      <c r="D699" s="16">
        <f t="shared" si="199"/>
        <v>21</v>
      </c>
      <c r="E699" s="16">
        <v>0</v>
      </c>
      <c r="F699" s="16">
        <v>12</v>
      </c>
      <c r="G699" s="16">
        <v>9</v>
      </c>
      <c r="H699" s="16">
        <v>13</v>
      </c>
      <c r="I699" s="16">
        <v>45</v>
      </c>
      <c r="J699" s="16">
        <f t="shared" si="200"/>
        <v>79</v>
      </c>
      <c r="K699" s="16">
        <f t="shared" si="201"/>
        <v>65.600000000000009</v>
      </c>
      <c r="L699" s="16">
        <f t="shared" si="202"/>
        <v>45</v>
      </c>
      <c r="M699" s="5"/>
      <c r="N699" s="5"/>
      <c r="O699" s="5"/>
    </row>
    <row r="700" spans="2:15" x14ac:dyDescent="0.2">
      <c r="B700" s="63"/>
      <c r="C700" s="16">
        <v>3</v>
      </c>
      <c r="D700" s="16">
        <f t="shared" si="199"/>
        <v>44</v>
      </c>
      <c r="E700" s="16">
        <v>0</v>
      </c>
      <c r="F700" s="16">
        <v>0</v>
      </c>
      <c r="G700" s="16">
        <v>8</v>
      </c>
      <c r="H700" s="16">
        <v>10</v>
      </c>
      <c r="I700" s="16">
        <v>38</v>
      </c>
      <c r="J700" s="16">
        <f t="shared" si="200"/>
        <v>56</v>
      </c>
      <c r="K700" s="16">
        <f t="shared" si="201"/>
        <v>50.8</v>
      </c>
      <c r="L700" s="16">
        <f t="shared" si="202"/>
        <v>38</v>
      </c>
      <c r="M700" s="5"/>
      <c r="N700" s="5"/>
      <c r="O700" s="5"/>
    </row>
    <row r="701" spans="2:15" x14ac:dyDescent="0.2">
      <c r="B701" s="63"/>
      <c r="C701" s="16">
        <v>4</v>
      </c>
      <c r="D701" s="16">
        <f t="shared" si="199"/>
        <v>5</v>
      </c>
      <c r="E701" s="16">
        <v>0</v>
      </c>
      <c r="F701" s="16">
        <v>8</v>
      </c>
      <c r="G701" s="16">
        <v>7</v>
      </c>
      <c r="H701" s="16">
        <v>20</v>
      </c>
      <c r="I701" s="16">
        <v>60</v>
      </c>
      <c r="J701" s="16">
        <f t="shared" si="200"/>
        <v>95</v>
      </c>
      <c r="K701" s="16">
        <f t="shared" si="201"/>
        <v>83.399999999999991</v>
      </c>
      <c r="L701" s="16">
        <f t="shared" si="202"/>
        <v>60</v>
      </c>
      <c r="M701" s="5"/>
      <c r="N701" s="5"/>
      <c r="O701" s="5"/>
    </row>
    <row r="702" spans="2:15" x14ac:dyDescent="0.2">
      <c r="B702" s="63"/>
      <c r="C702" s="16">
        <v>5</v>
      </c>
      <c r="D702" s="16">
        <f t="shared" si="199"/>
        <v>21</v>
      </c>
      <c r="E702" s="16">
        <v>0</v>
      </c>
      <c r="F702" s="16">
        <v>6</v>
      </c>
      <c r="G702" s="16">
        <v>3</v>
      </c>
      <c r="H702" s="16">
        <v>15</v>
      </c>
      <c r="I702" s="16">
        <v>55</v>
      </c>
      <c r="J702" s="16">
        <f t="shared" si="200"/>
        <v>79</v>
      </c>
      <c r="K702" s="16">
        <f t="shared" si="201"/>
        <v>71.2</v>
      </c>
      <c r="L702" s="16">
        <f t="shared" si="202"/>
        <v>55</v>
      </c>
      <c r="M702" s="5"/>
      <c r="N702" s="5"/>
      <c r="O702" s="5"/>
    </row>
    <row r="703" spans="2:15" x14ac:dyDescent="0.2">
      <c r="B703" s="63">
        <v>51</v>
      </c>
      <c r="C703" s="16">
        <v>1</v>
      </c>
      <c r="D703" s="16">
        <f t="shared" si="199"/>
        <v>51</v>
      </c>
      <c r="E703" s="16">
        <v>13</v>
      </c>
      <c r="F703" s="16">
        <v>14</v>
      </c>
      <c r="G703" s="16">
        <v>21</v>
      </c>
      <c r="H703" s="16">
        <v>0</v>
      </c>
      <c r="I703" s="16">
        <v>1</v>
      </c>
      <c r="J703" s="16">
        <f t="shared" si="200"/>
        <v>49</v>
      </c>
      <c r="K703" s="16">
        <f t="shared" si="201"/>
        <v>21.8</v>
      </c>
      <c r="L703" s="16">
        <f t="shared" si="202"/>
        <v>1</v>
      </c>
      <c r="M703" s="5">
        <f>AVERAGE((SUM(E703:I703)), (SUM(E704:I704)), (SUM(E705:I705)), (SUM(E706:I706)), (SUM(E707:I707)))</f>
        <v>51.2</v>
      </c>
      <c r="N703" s="5">
        <f>AVERAGE((SUM(D703*0+E703*1+F703*2+G703*3+H703*4+I703*5)/(5*100)*100), (SUM(D704*0+E704*1+F704*2+G704*3+H704*4+I704*5)/(5*100)*100), (SUM(D705*0+E705*1+F705*2+G705*3+H705*4+I705*5)/(5*100)*100), (SUM(D706*0+E706*1+F706*2+G706*3+H706*4+I706*5)/(5*100)*100), (SUM(D707*0+E707*1+F707*2+G707*3+H707*4+I707*5)/(5*100)*100))</f>
        <v>22.32</v>
      </c>
      <c r="O703" s="5">
        <f>AVERAGE(I703:I707)</f>
        <v>0.6</v>
      </c>
    </row>
    <row r="704" spans="2:15" x14ac:dyDescent="0.2">
      <c r="B704" s="63"/>
      <c r="C704" s="16">
        <v>2</v>
      </c>
      <c r="D704" s="16">
        <f t="shared" si="199"/>
        <v>60</v>
      </c>
      <c r="E704" s="16">
        <v>8</v>
      </c>
      <c r="F704" s="16">
        <v>15</v>
      </c>
      <c r="G704" s="16">
        <v>13</v>
      </c>
      <c r="H704" s="16">
        <v>3</v>
      </c>
      <c r="I704" s="16">
        <v>1</v>
      </c>
      <c r="J704" s="16">
        <f t="shared" si="200"/>
        <v>40</v>
      </c>
      <c r="K704" s="16">
        <f t="shared" si="201"/>
        <v>18.8</v>
      </c>
      <c r="L704" s="16">
        <f t="shared" si="202"/>
        <v>1</v>
      </c>
      <c r="M704" s="5"/>
      <c r="N704" s="5"/>
      <c r="O704" s="5"/>
    </row>
    <row r="705" spans="2:15" x14ac:dyDescent="0.2">
      <c r="B705" s="63"/>
      <c r="C705" s="16">
        <v>3</v>
      </c>
      <c r="D705" s="16">
        <f t="shared" si="199"/>
        <v>33</v>
      </c>
      <c r="E705" s="16">
        <v>10</v>
      </c>
      <c r="F705" s="16">
        <v>25</v>
      </c>
      <c r="G705" s="16">
        <v>32</v>
      </c>
      <c r="H705" s="16">
        <v>0</v>
      </c>
      <c r="I705" s="16">
        <v>0</v>
      </c>
      <c r="J705" s="16">
        <f t="shared" si="200"/>
        <v>67</v>
      </c>
      <c r="K705" s="16">
        <f t="shared" si="201"/>
        <v>31.2</v>
      </c>
      <c r="L705" s="16">
        <f t="shared" si="202"/>
        <v>0</v>
      </c>
      <c r="M705" s="5"/>
      <c r="N705" s="5"/>
      <c r="O705" s="5"/>
    </row>
    <row r="706" spans="2:15" x14ac:dyDescent="0.2">
      <c r="B706" s="63"/>
      <c r="C706" s="16">
        <v>4</v>
      </c>
      <c r="D706" s="16">
        <f t="shared" si="199"/>
        <v>41</v>
      </c>
      <c r="E706" s="16">
        <v>19</v>
      </c>
      <c r="F706" s="16">
        <v>22</v>
      </c>
      <c r="G706" s="16">
        <v>17</v>
      </c>
      <c r="H706" s="16">
        <v>0</v>
      </c>
      <c r="I706" s="16">
        <v>1</v>
      </c>
      <c r="J706" s="16">
        <f t="shared" si="200"/>
        <v>59</v>
      </c>
      <c r="K706" s="16">
        <f t="shared" si="201"/>
        <v>23.799999999999997</v>
      </c>
      <c r="L706" s="16">
        <f t="shared" si="202"/>
        <v>1</v>
      </c>
      <c r="M706" s="5"/>
      <c r="N706" s="5"/>
      <c r="O706" s="5"/>
    </row>
    <row r="707" spans="2:15" x14ac:dyDescent="0.2">
      <c r="B707" s="63"/>
      <c r="C707" s="16">
        <v>5</v>
      </c>
      <c r="D707" s="16">
        <f t="shared" ref="D707:D717" si="203">100-(SUM(E707:I707))</f>
        <v>59</v>
      </c>
      <c r="E707" s="16">
        <v>14</v>
      </c>
      <c r="F707" s="16">
        <v>15</v>
      </c>
      <c r="G707" s="16">
        <v>12</v>
      </c>
      <c r="H707" s="16">
        <v>0</v>
      </c>
      <c r="I707" s="16">
        <v>0</v>
      </c>
      <c r="J707" s="16">
        <f t="shared" si="200"/>
        <v>41</v>
      </c>
      <c r="K707" s="16">
        <f t="shared" si="201"/>
        <v>16</v>
      </c>
      <c r="L707" s="16">
        <f t="shared" si="202"/>
        <v>0</v>
      </c>
      <c r="M707" s="5"/>
      <c r="N707" s="5"/>
      <c r="O707" s="5"/>
    </row>
    <row r="708" spans="2:15" x14ac:dyDescent="0.2">
      <c r="B708" s="63">
        <v>53</v>
      </c>
      <c r="C708" s="16">
        <v>1</v>
      </c>
      <c r="D708" s="16">
        <f t="shared" si="203"/>
        <v>100</v>
      </c>
      <c r="E708" s="16">
        <v>0</v>
      </c>
      <c r="F708" s="16">
        <v>0</v>
      </c>
      <c r="G708" s="16">
        <v>0</v>
      </c>
      <c r="H708" s="16">
        <v>0</v>
      </c>
      <c r="I708" s="16">
        <v>0</v>
      </c>
      <c r="J708" s="16">
        <f t="shared" ref="J708:J717" si="204">SUM(E708:I708)</f>
        <v>0</v>
      </c>
      <c r="K708" s="16">
        <f t="shared" ref="K708:K717" si="205">AVERAGE(SUM(E708*1,F708*2,G708*3,H708*4,I708*5))/(5*100)*100</f>
        <v>0</v>
      </c>
      <c r="L708" s="16">
        <f t="shared" ref="L708:L717" si="206">I708</f>
        <v>0</v>
      </c>
      <c r="M708" s="5">
        <f>AVERAGE((SUM(E708:I708)), (SUM(E709:I709)), (SUM(E710:I710)), (SUM(E711:I711)), (SUM(E712:I712)))</f>
        <v>0</v>
      </c>
      <c r="N708" s="5">
        <f>AVERAGE((SUM(D708*0+E708*1+F708*2+G708*3+H708*4+I708*5)/(5*100)*100), (SUM(D709*0+E709*1+F709*2+G709*3+H709*4+I709*5)/(5*100)*100), (SUM(D710*0+E710*1+F710*2+G710*3+H710*4+I710*5)/(5*100)*100), (SUM(D711*0+E711*1+F711*2+G711*3+H711*4+I711*5)/(5*100)*100), (SUM(D712*0+E712*1+F712*2+G712*3+H712*4+I712*5)/(5*100)*100))</f>
        <v>0</v>
      </c>
      <c r="O708" s="5">
        <f>AVERAGE(I708:I712)</f>
        <v>0</v>
      </c>
    </row>
    <row r="709" spans="2:15" x14ac:dyDescent="0.2">
      <c r="B709" s="63"/>
      <c r="C709" s="16">
        <v>2</v>
      </c>
      <c r="D709" s="16">
        <f t="shared" si="203"/>
        <v>100</v>
      </c>
      <c r="E709" s="16">
        <v>0</v>
      </c>
      <c r="F709" s="16">
        <v>0</v>
      </c>
      <c r="G709" s="16">
        <v>0</v>
      </c>
      <c r="H709" s="16">
        <v>0</v>
      </c>
      <c r="I709" s="16">
        <v>0</v>
      </c>
      <c r="J709" s="16">
        <f t="shared" si="204"/>
        <v>0</v>
      </c>
      <c r="K709" s="16">
        <f t="shared" si="205"/>
        <v>0</v>
      </c>
      <c r="L709" s="16">
        <f t="shared" si="206"/>
        <v>0</v>
      </c>
      <c r="M709" s="5"/>
      <c r="N709" s="5"/>
      <c r="O709" s="5"/>
    </row>
    <row r="710" spans="2:15" x14ac:dyDescent="0.2">
      <c r="B710" s="63"/>
      <c r="C710" s="16">
        <v>3</v>
      </c>
      <c r="D710" s="16">
        <f t="shared" si="203"/>
        <v>100</v>
      </c>
      <c r="E710" s="16">
        <v>0</v>
      </c>
      <c r="F710" s="16">
        <v>0</v>
      </c>
      <c r="G710" s="16">
        <v>0</v>
      </c>
      <c r="H710" s="16">
        <v>0</v>
      </c>
      <c r="I710" s="16">
        <v>0</v>
      </c>
      <c r="J710" s="16">
        <f t="shared" si="204"/>
        <v>0</v>
      </c>
      <c r="K710" s="16">
        <f t="shared" si="205"/>
        <v>0</v>
      </c>
      <c r="L710" s="16">
        <f t="shared" si="206"/>
        <v>0</v>
      </c>
      <c r="M710" s="5"/>
      <c r="N710" s="5"/>
      <c r="O710" s="5"/>
    </row>
    <row r="711" spans="2:15" x14ac:dyDescent="0.2">
      <c r="B711" s="63"/>
      <c r="C711" s="16">
        <v>4</v>
      </c>
      <c r="D711" s="16">
        <f t="shared" si="203"/>
        <v>100</v>
      </c>
      <c r="E711" s="16">
        <v>0</v>
      </c>
      <c r="F711" s="16">
        <v>0</v>
      </c>
      <c r="G711" s="16">
        <v>0</v>
      </c>
      <c r="H711" s="16">
        <v>0</v>
      </c>
      <c r="I711" s="16">
        <v>0</v>
      </c>
      <c r="J711" s="16">
        <f t="shared" si="204"/>
        <v>0</v>
      </c>
      <c r="K711" s="16">
        <f t="shared" si="205"/>
        <v>0</v>
      </c>
      <c r="L711" s="16">
        <f t="shared" si="206"/>
        <v>0</v>
      </c>
      <c r="M711" s="5"/>
      <c r="N711" s="5"/>
      <c r="O711" s="5"/>
    </row>
    <row r="712" spans="2:15" x14ac:dyDescent="0.2">
      <c r="B712" s="63"/>
      <c r="C712" s="16">
        <v>5</v>
      </c>
      <c r="D712" s="16">
        <f t="shared" si="203"/>
        <v>100</v>
      </c>
      <c r="E712" s="16">
        <v>0</v>
      </c>
      <c r="F712" s="16">
        <v>0</v>
      </c>
      <c r="G712" s="16">
        <v>0</v>
      </c>
      <c r="H712" s="16">
        <v>0</v>
      </c>
      <c r="I712" s="16">
        <v>0</v>
      </c>
      <c r="J712" s="16">
        <f t="shared" si="204"/>
        <v>0</v>
      </c>
      <c r="K712" s="16">
        <f t="shared" si="205"/>
        <v>0</v>
      </c>
      <c r="L712" s="16">
        <f t="shared" si="206"/>
        <v>0</v>
      </c>
      <c r="M712" s="5"/>
      <c r="N712" s="5"/>
      <c r="O712" s="5"/>
    </row>
    <row r="713" spans="2:15" x14ac:dyDescent="0.2">
      <c r="B713" s="63" t="s">
        <v>637</v>
      </c>
      <c r="C713" s="16">
        <v>1</v>
      </c>
      <c r="D713" s="16">
        <f t="shared" si="203"/>
        <v>91</v>
      </c>
      <c r="E713" s="16">
        <v>8</v>
      </c>
      <c r="F713" s="16">
        <v>0</v>
      </c>
      <c r="G713" s="16">
        <v>0</v>
      </c>
      <c r="H713" s="16">
        <v>0</v>
      </c>
      <c r="I713" s="16">
        <v>1</v>
      </c>
      <c r="J713" s="16">
        <f t="shared" si="204"/>
        <v>9</v>
      </c>
      <c r="K713" s="16">
        <f t="shared" si="205"/>
        <v>2.6</v>
      </c>
      <c r="L713" s="16">
        <f t="shared" si="206"/>
        <v>1</v>
      </c>
      <c r="M713" s="5">
        <f>AVERAGE((SUM(E713:I713)), (SUM(E714:I714)), (SUM(E715:I715)), (SUM(E716:I716)), (SUM(E717:I717)))</f>
        <v>10.8</v>
      </c>
      <c r="N713" s="5">
        <f>AVERAGE((SUM(D713*0+E713*1+F713*2+G713*3+H713*4+I713*5)/(5*100)*100), (SUM(D714*0+E714*1+F714*2+G714*3+H714*4+I714*5)/(5*100)*100), (SUM(D715*0+E715*1+F715*2+G715*3+H715*4+I715*5)/(5*100)*100), (SUM(D716*0+E716*1+F716*2+G716*3+H716*4+I716*5)/(5*100)*100), (SUM(D717*0+E717*1+F717*2+G717*3+H717*4+I717*5)/(5*100)*100))</f>
        <v>3.2800000000000002</v>
      </c>
      <c r="O713" s="5">
        <f>AVERAGE(I713:I717)</f>
        <v>1.4</v>
      </c>
    </row>
    <row r="714" spans="2:15" x14ac:dyDescent="0.2">
      <c r="B714" s="63"/>
      <c r="C714" s="16">
        <v>2</v>
      </c>
      <c r="D714" s="16">
        <f t="shared" si="203"/>
        <v>91</v>
      </c>
      <c r="E714" s="16">
        <v>9</v>
      </c>
      <c r="F714" s="16">
        <v>0</v>
      </c>
      <c r="G714" s="16">
        <v>0</v>
      </c>
      <c r="H714" s="16">
        <v>0</v>
      </c>
      <c r="I714" s="16">
        <v>0</v>
      </c>
      <c r="J714" s="16">
        <f t="shared" si="204"/>
        <v>9</v>
      </c>
      <c r="K714" s="16">
        <f t="shared" si="205"/>
        <v>1.7999999999999998</v>
      </c>
      <c r="L714" s="16">
        <f t="shared" si="206"/>
        <v>0</v>
      </c>
      <c r="M714" s="5"/>
      <c r="N714" s="5"/>
      <c r="O714" s="5"/>
    </row>
    <row r="715" spans="2:15" x14ac:dyDescent="0.2">
      <c r="B715" s="63"/>
      <c r="C715" s="16">
        <v>3</v>
      </c>
      <c r="D715" s="16">
        <f t="shared" si="203"/>
        <v>83</v>
      </c>
      <c r="E715" s="16">
        <v>12</v>
      </c>
      <c r="F715" s="16">
        <v>0</v>
      </c>
      <c r="G715" s="16">
        <v>0</v>
      </c>
      <c r="H715" s="16">
        <v>0</v>
      </c>
      <c r="I715" s="16">
        <v>5</v>
      </c>
      <c r="J715" s="16">
        <f t="shared" si="204"/>
        <v>17</v>
      </c>
      <c r="K715" s="16">
        <f t="shared" si="205"/>
        <v>7.3999999999999995</v>
      </c>
      <c r="L715" s="16">
        <f t="shared" si="206"/>
        <v>5</v>
      </c>
      <c r="M715" s="5"/>
      <c r="N715" s="5"/>
      <c r="O715" s="5"/>
    </row>
    <row r="716" spans="2:15" x14ac:dyDescent="0.2">
      <c r="B716" s="63"/>
      <c r="C716" s="16">
        <v>4</v>
      </c>
      <c r="D716" s="16">
        <f t="shared" si="203"/>
        <v>92</v>
      </c>
      <c r="E716" s="16">
        <v>7</v>
      </c>
      <c r="F716" s="16">
        <v>0</v>
      </c>
      <c r="G716" s="16">
        <v>0</v>
      </c>
      <c r="H716" s="16">
        <v>0</v>
      </c>
      <c r="I716" s="16">
        <v>1</v>
      </c>
      <c r="J716" s="16">
        <f t="shared" si="204"/>
        <v>8</v>
      </c>
      <c r="K716" s="16">
        <f t="shared" si="205"/>
        <v>2.4</v>
      </c>
      <c r="L716" s="16">
        <f t="shared" si="206"/>
        <v>1</v>
      </c>
      <c r="M716" s="5"/>
      <c r="N716" s="5"/>
      <c r="O716" s="5"/>
    </row>
    <row r="717" spans="2:15" x14ac:dyDescent="0.2">
      <c r="B717" s="63"/>
      <c r="C717" s="16">
        <v>5</v>
      </c>
      <c r="D717" s="16">
        <f t="shared" si="203"/>
        <v>89</v>
      </c>
      <c r="E717" s="16">
        <v>11</v>
      </c>
      <c r="F717" s="16">
        <v>0</v>
      </c>
      <c r="G717" s="16">
        <v>0</v>
      </c>
      <c r="H717" s="16">
        <v>0</v>
      </c>
      <c r="I717" s="16">
        <v>0</v>
      </c>
      <c r="J717" s="16">
        <f t="shared" si="204"/>
        <v>11</v>
      </c>
      <c r="K717" s="16">
        <f t="shared" si="205"/>
        <v>2.1999999999999997</v>
      </c>
      <c r="L717" s="16">
        <f t="shared" si="206"/>
        <v>0</v>
      </c>
      <c r="M717" s="5"/>
      <c r="N717" s="5"/>
      <c r="O717" s="5"/>
    </row>
  </sheetData>
  <mergeCells count="143">
    <mergeCell ref="B33:B37"/>
    <mergeCell ref="B38:B42"/>
    <mergeCell ref="B43:B47"/>
    <mergeCell ref="B48:B52"/>
    <mergeCell ref="B53:B57"/>
    <mergeCell ref="B58:B62"/>
    <mergeCell ref="B3:B7"/>
    <mergeCell ref="B8:B12"/>
    <mergeCell ref="B13:B17"/>
    <mergeCell ref="B18:B22"/>
    <mergeCell ref="B23:B27"/>
    <mergeCell ref="B28:B32"/>
    <mergeCell ref="B93:B97"/>
    <mergeCell ref="B98:B102"/>
    <mergeCell ref="B103:B107"/>
    <mergeCell ref="B108:B112"/>
    <mergeCell ref="B113:B117"/>
    <mergeCell ref="B118:B122"/>
    <mergeCell ref="B63:B67"/>
    <mergeCell ref="B68:B72"/>
    <mergeCell ref="B73:B77"/>
    <mergeCell ref="B78:B82"/>
    <mergeCell ref="B83:B87"/>
    <mergeCell ref="B88:B92"/>
    <mergeCell ref="B153:B157"/>
    <mergeCell ref="B158:B162"/>
    <mergeCell ref="B163:B167"/>
    <mergeCell ref="B168:B172"/>
    <mergeCell ref="B173:B177"/>
    <mergeCell ref="B178:B182"/>
    <mergeCell ref="B123:B127"/>
    <mergeCell ref="B128:B132"/>
    <mergeCell ref="B133:B137"/>
    <mergeCell ref="B138:B142"/>
    <mergeCell ref="B143:B147"/>
    <mergeCell ref="B148:B152"/>
    <mergeCell ref="B213:B217"/>
    <mergeCell ref="B218:B222"/>
    <mergeCell ref="B223:B227"/>
    <mergeCell ref="B228:B232"/>
    <mergeCell ref="B233:B237"/>
    <mergeCell ref="B238:B242"/>
    <mergeCell ref="B183:B187"/>
    <mergeCell ref="B188:B192"/>
    <mergeCell ref="B193:B197"/>
    <mergeCell ref="B198:B202"/>
    <mergeCell ref="B203:B207"/>
    <mergeCell ref="B208:B212"/>
    <mergeCell ref="B273:B277"/>
    <mergeCell ref="B278:B282"/>
    <mergeCell ref="B283:B287"/>
    <mergeCell ref="B288:B292"/>
    <mergeCell ref="B293:B297"/>
    <mergeCell ref="B298:B302"/>
    <mergeCell ref="B243:B247"/>
    <mergeCell ref="B248:B252"/>
    <mergeCell ref="B253:B257"/>
    <mergeCell ref="B258:B262"/>
    <mergeCell ref="B263:B267"/>
    <mergeCell ref="B268:B272"/>
    <mergeCell ref="B333:B337"/>
    <mergeCell ref="B338:B342"/>
    <mergeCell ref="B343:B347"/>
    <mergeCell ref="B348:B352"/>
    <mergeCell ref="B353:B357"/>
    <mergeCell ref="B358:B362"/>
    <mergeCell ref="B303:B307"/>
    <mergeCell ref="B308:B312"/>
    <mergeCell ref="B313:B317"/>
    <mergeCell ref="B318:B322"/>
    <mergeCell ref="B323:B327"/>
    <mergeCell ref="B328:B332"/>
    <mergeCell ref="B393:B397"/>
    <mergeCell ref="B398:B402"/>
    <mergeCell ref="B403:B407"/>
    <mergeCell ref="B408:B412"/>
    <mergeCell ref="B413:B417"/>
    <mergeCell ref="B418:B422"/>
    <mergeCell ref="B363:B367"/>
    <mergeCell ref="B368:B372"/>
    <mergeCell ref="B373:B377"/>
    <mergeCell ref="B378:B382"/>
    <mergeCell ref="B383:B387"/>
    <mergeCell ref="B388:B392"/>
    <mergeCell ref="B453:B457"/>
    <mergeCell ref="B458:B462"/>
    <mergeCell ref="B463:B467"/>
    <mergeCell ref="B468:B472"/>
    <mergeCell ref="B473:B477"/>
    <mergeCell ref="B478:B482"/>
    <mergeCell ref="B423:B427"/>
    <mergeCell ref="B428:B432"/>
    <mergeCell ref="B433:B437"/>
    <mergeCell ref="B438:B442"/>
    <mergeCell ref="B443:B447"/>
    <mergeCell ref="B448:B452"/>
    <mergeCell ref="B513:B517"/>
    <mergeCell ref="B518:B522"/>
    <mergeCell ref="B523:B527"/>
    <mergeCell ref="B528:B532"/>
    <mergeCell ref="B533:B537"/>
    <mergeCell ref="B538:B542"/>
    <mergeCell ref="B483:B487"/>
    <mergeCell ref="B488:B492"/>
    <mergeCell ref="B493:B497"/>
    <mergeCell ref="B498:B502"/>
    <mergeCell ref="B503:B507"/>
    <mergeCell ref="B508:B512"/>
    <mergeCell ref="B573:B577"/>
    <mergeCell ref="B578:B582"/>
    <mergeCell ref="B583:B587"/>
    <mergeCell ref="B588:B592"/>
    <mergeCell ref="B593:B597"/>
    <mergeCell ref="B598:B602"/>
    <mergeCell ref="B543:B547"/>
    <mergeCell ref="B548:B552"/>
    <mergeCell ref="B553:B557"/>
    <mergeCell ref="B558:B562"/>
    <mergeCell ref="B563:B567"/>
    <mergeCell ref="B568:B572"/>
    <mergeCell ref="B633:B637"/>
    <mergeCell ref="B638:B642"/>
    <mergeCell ref="B643:B647"/>
    <mergeCell ref="B648:B652"/>
    <mergeCell ref="B653:B657"/>
    <mergeCell ref="B658:B662"/>
    <mergeCell ref="B603:B607"/>
    <mergeCell ref="B608:B612"/>
    <mergeCell ref="B613:B617"/>
    <mergeCell ref="B618:B622"/>
    <mergeCell ref="B623:B627"/>
    <mergeCell ref="B628:B632"/>
    <mergeCell ref="B693:B697"/>
    <mergeCell ref="B698:B702"/>
    <mergeCell ref="B703:B707"/>
    <mergeCell ref="B708:B712"/>
    <mergeCell ref="B713:B717"/>
    <mergeCell ref="B663:B667"/>
    <mergeCell ref="B668:B672"/>
    <mergeCell ref="B673:B677"/>
    <mergeCell ref="B678:B682"/>
    <mergeCell ref="B683:B687"/>
    <mergeCell ref="B688:B69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5525-42D5-4244-9B9D-B8ECAD2517F9}">
  <dimension ref="A2:BQ1201"/>
  <sheetViews>
    <sheetView zoomScale="70" zoomScaleNormal="70" workbookViewId="0">
      <selection activeCell="S289" sqref="S289"/>
    </sheetView>
  </sheetViews>
  <sheetFormatPr baseColWidth="10" defaultRowHeight="15" x14ac:dyDescent="0.2"/>
  <cols>
    <col min="1" max="1" width="10.5" customWidth="1"/>
    <col min="2" max="2" width="6.33203125" customWidth="1"/>
    <col min="3" max="3" width="16.6640625" customWidth="1"/>
    <col min="4" max="4" width="20.5" customWidth="1"/>
    <col min="5" max="5" width="33.5" customWidth="1"/>
    <col min="6" max="6" width="6" customWidth="1"/>
    <col min="7" max="7" width="10.5" customWidth="1"/>
    <col min="8" max="8" width="17" customWidth="1"/>
    <col min="9" max="9" width="33.5" customWidth="1"/>
    <col min="10" max="10" width="6" customWidth="1"/>
    <col min="11" max="11" width="7.6640625" customWidth="1"/>
    <col min="13" max="13" width="14.83203125" customWidth="1"/>
    <col min="14" max="14" width="28.33203125" customWidth="1"/>
    <col min="15" max="15" width="21" bestFit="1" customWidth="1"/>
    <col min="17" max="33" width="5.5" customWidth="1"/>
    <col min="34" max="35" width="20.1640625" customWidth="1"/>
    <col min="37" max="37" width="22.83203125" bestFit="1" customWidth="1"/>
  </cols>
  <sheetData>
    <row r="2" spans="1:69" x14ac:dyDescent="0.2">
      <c r="A2" s="66" t="s">
        <v>460</v>
      </c>
      <c r="B2" s="67"/>
      <c r="C2" s="67"/>
      <c r="D2" s="67"/>
      <c r="E2" s="67"/>
      <c r="F2" s="67"/>
      <c r="G2" s="67"/>
      <c r="H2" s="67"/>
      <c r="I2" s="67"/>
      <c r="J2" s="67"/>
      <c r="K2" s="5"/>
    </row>
    <row r="3" spans="1:69" x14ac:dyDescent="0.2">
      <c r="A3" s="67"/>
      <c r="B3" s="67"/>
      <c r="C3" s="67"/>
      <c r="D3" s="67"/>
      <c r="E3" s="67"/>
      <c r="F3" s="67"/>
      <c r="G3" s="67"/>
      <c r="H3" s="67"/>
      <c r="I3" s="67"/>
      <c r="J3" s="67"/>
      <c r="K3" s="5"/>
    </row>
    <row r="4" spans="1:69" ht="98.25" customHeight="1" x14ac:dyDescent="0.2">
      <c r="A4" t="s">
        <v>461</v>
      </c>
      <c r="B4" t="s">
        <v>101</v>
      </c>
      <c r="C4" t="s">
        <v>102</v>
      </c>
      <c r="D4" t="s">
        <v>462</v>
      </c>
      <c r="E4" t="s">
        <v>103</v>
      </c>
      <c r="F4" t="s">
        <v>463</v>
      </c>
      <c r="G4" t="s">
        <v>464</v>
      </c>
      <c r="H4" t="s">
        <v>644</v>
      </c>
      <c r="I4" t="s">
        <v>465</v>
      </c>
      <c r="J4" t="s">
        <v>466</v>
      </c>
      <c r="K4" t="s">
        <v>643</v>
      </c>
      <c r="M4" s="6" t="s">
        <v>467</v>
      </c>
      <c r="N4" s="6" t="s">
        <v>468</v>
      </c>
      <c r="O4" s="6" t="s">
        <v>469</v>
      </c>
      <c r="P4" s="6" t="s">
        <v>470</v>
      </c>
      <c r="Q4" s="47" t="s">
        <v>155</v>
      </c>
      <c r="R4" s="47" t="s">
        <v>149</v>
      </c>
      <c r="S4" s="47" t="s">
        <v>471</v>
      </c>
      <c r="T4" s="47" t="s">
        <v>472</v>
      </c>
      <c r="U4" s="47" t="s">
        <v>473</v>
      </c>
      <c r="V4" s="47" t="s">
        <v>816</v>
      </c>
      <c r="W4" s="47" t="s">
        <v>475</v>
      </c>
      <c r="X4" s="47" t="s">
        <v>228</v>
      </c>
      <c r="Y4" s="47" t="s">
        <v>642</v>
      </c>
      <c r="Z4" s="47" t="s">
        <v>817</v>
      </c>
      <c r="AA4" s="47" t="s">
        <v>485</v>
      </c>
      <c r="AB4" s="47" t="s">
        <v>490</v>
      </c>
      <c r="AC4" s="47" t="s">
        <v>818</v>
      </c>
      <c r="AD4" s="47" t="s">
        <v>491</v>
      </c>
      <c r="AE4" s="46"/>
      <c r="AF4" s="46"/>
      <c r="AG4" s="46"/>
      <c r="AH4" s="46"/>
      <c r="AI4" s="46"/>
      <c r="AK4" s="6" t="s">
        <v>467</v>
      </c>
      <c r="AL4" s="6" t="s">
        <v>468</v>
      </c>
      <c r="AM4" s="6" t="s">
        <v>469</v>
      </c>
      <c r="AN4" s="6" t="s">
        <v>470</v>
      </c>
      <c r="AO4" s="36" t="s">
        <v>155</v>
      </c>
      <c r="AP4" s="36" t="s">
        <v>149</v>
      </c>
      <c r="AQ4" s="36" t="s">
        <v>471</v>
      </c>
      <c r="AR4" s="36" t="s">
        <v>472</v>
      </c>
      <c r="AS4" s="36" t="s">
        <v>473</v>
      </c>
      <c r="AT4" s="36" t="s">
        <v>474</v>
      </c>
      <c r="AU4" s="36" t="s">
        <v>475</v>
      </c>
      <c r="AV4" s="36" t="s">
        <v>228</v>
      </c>
      <c r="AW4" s="36" t="s">
        <v>645</v>
      </c>
      <c r="AX4" s="36" t="s">
        <v>489</v>
      </c>
      <c r="AY4" s="36" t="s">
        <v>485</v>
      </c>
      <c r="AZ4" s="36" t="s">
        <v>490</v>
      </c>
    </row>
    <row r="5" spans="1:69" ht="15" customHeight="1" x14ac:dyDescent="0.2">
      <c r="A5" s="7">
        <v>1</v>
      </c>
      <c r="B5" s="7">
        <v>1.1000000000000001</v>
      </c>
      <c r="C5" s="1" t="str">
        <f t="shared" ref="C5:C68" si="0">IF(B5=1.1,"EL PEJO 1",IF(B5=1.2,"EL PEJO 2",IF(B5=1.3,"EL PEJO 3",IF(B5=1.4,"EL PEJO 4",IF(B5=2,"LA MAGUELLERA",IF(B5=3,"RANCHO ALVAREZ",IF(B5=4.1,"CANINDO 2",IF(B5=4.2,"CANINDO 3",IF(B5=4.3,"CANINDO 1",IF(B5=5.1,"CIRILLO 2",IF(B5=5.2,"CIRILLO 1",IF(B5=6,"PANTANO MEDIO",IF(B5=7,"PANTABAJO",IF(B5=8.1,"CHAVA MARTINEZ 1",IF(B5=8.2,"CHAVA MARTINEZ 2",IF(B5=9.1,"TIERRA DE POLLO 1",IF(B5=9.2,"TIERRA DE POLLO 2",IF(B5=10,"TIERRA DE GARCIA",IF(B5=11,"LA GALERA 1",IF(B5=12,"GALERA 2",IF(B5=13,"GALERA 3",IF(B5=14.1,"EL TRIANGULO 1",IF(B5=14.2,"EL TRIANGULO 2",IF(B5=15.1,"LA CRUZ 1",IF(B5=15.2,"LA CRUZ 2",IF(B5=16.1,"LUIS ROMERO 1",IF(B5=16.2,"LUIS ROMERO 2",IF(B5=17,"MAURILIO 1",IF(B5=18,"HUGO NAVARRO 1",)))))))))))))))))))))))))))))</f>
        <v>EL PEJO 1</v>
      </c>
      <c r="D5" s="7" t="s">
        <v>127</v>
      </c>
      <c r="E5" s="1" t="str">
        <f t="shared" ref="E5:E68" si="1">IF(B5=1.1,"SENSATION",IF(B5=1.2,"VICTOR",IF(B5=1.3,"SANTA MARIA",IF(B5=1.4,"WARRIOR",IF(B5=2,"SAYULA",IF(B5=3,"SAYULA",IF(B5=4.1,"SAYULA",IF(B5=4.2,"SANTA MARIA",IF(B5=4.3,"NIÑA",IF(B5=5.1,"SAYULA",IF(B5=5.2,"SENSATION",IF(B5=6,"FORTUNA",IF(B5=7,"SENSATION",IF(B5=8.1,"FORTUNA",IF(B5=8.2,"ADELANTO",IF(B5=9.1,"GIDDINGS",IF(B5=9.2,"SANTA MARIA",IF(B5=10,"FORTUNA",IF(B5=11,"SENSATION",IF(B5=12,"SENSATION",IF(B5=13,"FRONTERA",IF(B5=14.1,"SENSATION",IF(B5=14.2,"CODIGO",IF(B5=15.1,"FRONTERA",IF(B5=15.2,"SAYULA",IF(B5=16.1,"SANTA MARIA &amp; FRONTERA",IF(B5=16.2,"SAYULA",IF(B5=17,"NO DOCUMENTADO",IF(B5=18,"NO DOCUMENTADO",IF(B5=19,"NO DOCUMENTADO"))))))))))))))))))))))))))))))</f>
        <v>SENSATION</v>
      </c>
      <c r="F5" s="7">
        <v>1</v>
      </c>
      <c r="G5" s="7" t="s">
        <v>476</v>
      </c>
      <c r="H5" s="7" t="s">
        <v>149</v>
      </c>
      <c r="I5" s="7" t="s">
        <v>149</v>
      </c>
      <c r="J5" s="8">
        <v>1</v>
      </c>
      <c r="K5" s="18" t="s">
        <v>638</v>
      </c>
      <c r="M5">
        <v>1.1000000000000001</v>
      </c>
      <c r="N5" t="s">
        <v>648</v>
      </c>
      <c r="O5" t="s">
        <v>111</v>
      </c>
      <c r="P5" t="s">
        <v>476</v>
      </c>
      <c r="Q5">
        <f>COUNTIFS($H$4:$H$1201,Tabla213[[#Headers],[Neopestalotiopsis]], $G$4:$G$1201,Tabla213[[#This Row],[Organo]], $B$4:$B$1201,M5)</f>
        <v>5</v>
      </c>
      <c r="R5">
        <f>COUNTIFS($H$4:$H$1201,Tabla213[[#Headers],[Fusarium]], $G$4:$G$1201,Tabla213[[#This Row],[Organo]], $B$4:$B$1201,M5)</f>
        <v>1</v>
      </c>
      <c r="S5">
        <f>COUNTIFS($H$4:$H$1201,Tabla213[[#Headers],[Cylindrocarpon]], $G$4:$G$1201,Tabla213[[#This Row],[Organo]], $B$4:$B$1201,M5)</f>
        <v>0</v>
      </c>
      <c r="T5">
        <f>COUNTIFS($H$4:$H$1201,Tabla213[[#Headers],[Macrophomina]], $G$4:$G$1201,Tabla213[[#This Row],[Organo]], $B$4:$B$1201,M5)</f>
        <v>0</v>
      </c>
      <c r="U5">
        <f>COUNTIFS($H$4:$H$1201,Tabla213[[#Headers],[Rhizoctonia]], $G$4:$G$1201,Tabla213[[#This Row],[Organo]], $B$4:$B$1201,M5)</f>
        <v>0</v>
      </c>
      <c r="V5">
        <v>0</v>
      </c>
      <c r="W5">
        <f>COUNTIFS($H$4:$H$1201,Tabla213[[#Headers],[Alternaria]], $G$4:$G$1201,Tabla213[[#This Row],[Organo]], $B$4:$B$1201,M5)</f>
        <v>0</v>
      </c>
      <c r="X5">
        <f>COUNTIFS($H$4:$H$1201,Tabla213[[#Headers],[Botrytis]], $G$4:$G$1201,Tabla213[[#This Row],[Organo]], $B$4:$B$1201,M5)</f>
        <v>0</v>
      </c>
      <c r="Y5">
        <f>COUNTIFS($H$4:$H$1201,Tabla213[[#Headers],[Colletotrichum]], $G$4:$G$1201,Tabla213[[#This Row],[Organo]], $B$4:$B$1201,M5)</f>
        <v>0</v>
      </c>
      <c r="Z5">
        <f>COUNTIFS($H$4:$H$1201,Tabla213[[#Headers],[Aspergillus]], $G$4:$G$1201,Tabla213[[#This Row],[Organo]], $B$4:$B$1201,M5)</f>
        <v>0</v>
      </c>
      <c r="AA5">
        <f>COUNTIFS($H$4:$H$1201,Tabla213[[#Headers],[NO ID]], $G$4:$G$1201,Tabla213[[#This Row],[Organo]], $B$4:$B$1201,M5)</f>
        <v>0</v>
      </c>
      <c r="AB5">
        <f>COUNTIFS($H$4:$H$1201,Tabla213[[#Headers],[Trichoderma]], $G$4:$G$1201,Tabla213[[#This Row],[Organo]], $B$4:$B$1201,M5)</f>
        <v>0</v>
      </c>
      <c r="AC5">
        <f>COUNTIFS($H$4:$H$1201,Tabla213[[#Headers],[Rizophus]], $G$4:$G$1201,Tabla213[[#This Row],[Organo]], $B$4:$B$1201,M5)</f>
        <v>0</v>
      </c>
      <c r="AD5">
        <f>COUNTIFS($H$4:$H$1201,Tabla213[[#Headers],[FALTANTES]], $G$4:$G$1201,Tabla213[[#This Row],[Organo]], $B$4:$B$1201,M5)</f>
        <v>0</v>
      </c>
      <c r="AK5">
        <v>1.1000000000000001</v>
      </c>
      <c r="AL5" t="s">
        <v>0</v>
      </c>
      <c r="AM5" t="s">
        <v>111</v>
      </c>
      <c r="AN5" t="s">
        <v>477</v>
      </c>
      <c r="BD5" s="60" t="s">
        <v>155</v>
      </c>
      <c r="BE5" s="60" t="s">
        <v>149</v>
      </c>
      <c r="BF5" s="60" t="s">
        <v>471</v>
      </c>
      <c r="BG5" s="60" t="s">
        <v>472</v>
      </c>
      <c r="BH5" s="60" t="s">
        <v>473</v>
      </c>
      <c r="BI5" s="60" t="s">
        <v>474</v>
      </c>
      <c r="BJ5" s="60" t="s">
        <v>475</v>
      </c>
      <c r="BK5" s="60" t="s">
        <v>228</v>
      </c>
      <c r="BL5" s="60" t="s">
        <v>642</v>
      </c>
      <c r="BM5" t="s">
        <v>489</v>
      </c>
      <c r="BN5" t="s">
        <v>485</v>
      </c>
      <c r="BO5" t="s">
        <v>490</v>
      </c>
      <c r="BP5" t="s">
        <v>488</v>
      </c>
      <c r="BQ5" t="s">
        <v>491</v>
      </c>
    </row>
    <row r="6" spans="1:69" ht="18" customHeight="1" x14ac:dyDescent="0.2">
      <c r="A6" s="7">
        <v>2</v>
      </c>
      <c r="B6" s="7">
        <v>1.1000000000000001</v>
      </c>
      <c r="C6" s="1" t="str">
        <f t="shared" si="0"/>
        <v>EL PEJO 1</v>
      </c>
      <c r="D6" s="7" t="s">
        <v>127</v>
      </c>
      <c r="E6" s="1" t="str">
        <f t="shared" si="1"/>
        <v>SENSATION</v>
      </c>
      <c r="F6" s="7">
        <v>1</v>
      </c>
      <c r="G6" s="7" t="s">
        <v>476</v>
      </c>
      <c r="H6" s="7" t="s">
        <v>155</v>
      </c>
      <c r="I6" s="7" t="s">
        <v>155</v>
      </c>
      <c r="J6" s="7">
        <v>2</v>
      </c>
      <c r="K6" s="7"/>
      <c r="M6">
        <v>1.1000000000000001</v>
      </c>
      <c r="N6" t="s">
        <v>648</v>
      </c>
      <c r="O6" t="s">
        <v>111</v>
      </c>
      <c r="P6" t="s">
        <v>477</v>
      </c>
      <c r="Q6">
        <f>COUNTIFS($H$4:$H$1201,Tabla213[[#Headers],[Neopestalotiopsis]], $G$4:$G$1201,Tabla213[[#This Row],[Organo]], $B$4:$B$1201,M6)</f>
        <v>3</v>
      </c>
      <c r="R6">
        <f>COUNTIFS($H$4:$H$1201,Tabla213[[#Headers],[Fusarium]], $G$4:$G$1201,Tabla213[[#This Row],[Organo]], $B$4:$B$1201,M6)</f>
        <v>6</v>
      </c>
      <c r="S6">
        <f>COUNTIFS($H$4:$H$1201,Tabla213[[#Headers],[Cylindrocarpon]], $G$4:$G$1201,Tabla213[[#This Row],[Organo]], $B$4:$B$1201,M6)</f>
        <v>0</v>
      </c>
      <c r="T6">
        <f>COUNTIFS($H$4:$H$1201,Tabla213[[#Headers],[Macrophomina]], $G$4:$G$1201,Tabla213[[#This Row],[Organo]], $B$4:$B$1201,M6)</f>
        <v>0</v>
      </c>
      <c r="U6">
        <f>COUNTIFS($H$4:$H$1201,Tabla213[[#Headers],[Rhizoctonia]], $G$4:$G$1201,Tabla213[[#This Row],[Organo]], $B$4:$B$1201,M6)</f>
        <v>0</v>
      </c>
      <c r="V6">
        <v>0</v>
      </c>
      <c r="W6">
        <f>COUNTIFS($H$4:$H$1201,Tabla213[[#Headers],[Alternaria]], $G$4:$G$1201,Tabla213[[#This Row],[Organo]], $B$4:$B$1201,M6)</f>
        <v>0</v>
      </c>
      <c r="X6">
        <f>COUNTIFS($H$4:$H$1201,Tabla213[[#Headers],[Botrytis]], $G$4:$G$1201,Tabla213[[#This Row],[Organo]], $B$4:$B$1201,M6)</f>
        <v>2</v>
      </c>
      <c r="Y6">
        <f>COUNTIFS($H$4:$H$1201,Tabla213[[#Headers],[Colletotrichum]], $G$4:$G$1201,Tabla213[[#This Row],[Organo]], $B$4:$B$1201,M6)</f>
        <v>0</v>
      </c>
      <c r="Z6">
        <f>COUNTIFS($H$4:$H$1201,Tabla213[[#Headers],[Aspergillus]], $G$4:$G$1201,Tabla213[[#This Row],[Organo]], $B$4:$B$1201,M6)</f>
        <v>0</v>
      </c>
      <c r="AA6">
        <f>COUNTIFS($H$4:$H$1201,Tabla213[[#Headers],[NO ID]], $G$4:$G$1201,Tabla213[[#This Row],[Organo]], $B$4:$B$1201,M6)</f>
        <v>0</v>
      </c>
      <c r="AB6">
        <f>COUNTIFS($H$4:$H$1201,Tabla213[[#Headers],[Trichoderma]], $G$4:$G$1201,Tabla213[[#This Row],[Organo]], $B$4:$B$1201,M6)</f>
        <v>0</v>
      </c>
      <c r="AC6">
        <f>COUNTIFS($H$4:$H$1201,Tabla213[[#Headers],[Rizophus]], $G$4:$G$1201,Tabla213[[#This Row],[Organo]], $B$4:$B$1201,M6)</f>
        <v>0</v>
      </c>
      <c r="AD6">
        <f>COUNTIFS($H$4:$H$1201,Tabla213[[#Headers],[FALTANTES]], $G$4:$G$1201,Tabla213[[#This Row],[Organo]], $B$4:$B$1201,M6)</f>
        <v>0</v>
      </c>
      <c r="AF6">
        <f>SUM(Q5:AD6)</f>
        <v>17</v>
      </c>
      <c r="AG6">
        <f>COUNTIF($B$5:$B$1201, Tabla213[[#This Row],[Num. Parcela]])</f>
        <v>26</v>
      </c>
      <c r="AH6" t="b">
        <f>IF(AF6=AG6, TRUE)</f>
        <v>0</v>
      </c>
      <c r="AK6">
        <v>1.1000000000000001</v>
      </c>
      <c r="AL6" t="s">
        <v>0</v>
      </c>
      <c r="AM6" t="s">
        <v>111</v>
      </c>
      <c r="AN6" t="s">
        <v>476</v>
      </c>
      <c r="BC6" t="s">
        <v>749</v>
      </c>
      <c r="BD6">
        <v>209</v>
      </c>
      <c r="BE6">
        <v>99</v>
      </c>
      <c r="BF6">
        <v>9</v>
      </c>
      <c r="BG6">
        <v>20</v>
      </c>
      <c r="BH6">
        <v>15</v>
      </c>
      <c r="BI6">
        <v>10</v>
      </c>
      <c r="BJ6">
        <v>9</v>
      </c>
      <c r="BK6">
        <v>11</v>
      </c>
      <c r="BL6">
        <v>6</v>
      </c>
      <c r="BM6">
        <v>0</v>
      </c>
      <c r="BN6">
        <v>20</v>
      </c>
      <c r="BO6">
        <v>18</v>
      </c>
      <c r="BP6">
        <v>2</v>
      </c>
      <c r="BQ6">
        <v>1</v>
      </c>
    </row>
    <row r="7" spans="1:69" ht="19.5" customHeight="1" x14ac:dyDescent="0.2">
      <c r="A7" s="7">
        <v>3</v>
      </c>
      <c r="B7" s="7">
        <v>1.1000000000000001</v>
      </c>
      <c r="C7" s="1" t="str">
        <f t="shared" si="0"/>
        <v>EL PEJO 1</v>
      </c>
      <c r="D7" s="7" t="s">
        <v>127</v>
      </c>
      <c r="E7" s="1" t="str">
        <f t="shared" si="1"/>
        <v>SENSATION</v>
      </c>
      <c r="F7" s="7">
        <v>2</v>
      </c>
      <c r="G7" s="7" t="s">
        <v>476</v>
      </c>
      <c r="H7" s="7" t="s">
        <v>155</v>
      </c>
      <c r="I7" s="7" t="s">
        <v>155</v>
      </c>
      <c r="J7" s="7">
        <v>3</v>
      </c>
      <c r="K7" s="7"/>
      <c r="L7">
        <v>1</v>
      </c>
      <c r="M7">
        <v>1.2</v>
      </c>
      <c r="N7" t="s">
        <v>649</v>
      </c>
      <c r="O7" t="s">
        <v>119</v>
      </c>
      <c r="P7" t="s">
        <v>476</v>
      </c>
      <c r="Q7">
        <f>COUNTIFS($H$4:$H$1201,Tabla213[[#Headers],[Neopestalotiopsis]], $G$4:$G$1201,Tabla213[[#This Row],[Organo]], $B$4:$B$1201,M7)</f>
        <v>0</v>
      </c>
      <c r="R7">
        <f>COUNTIFS($H$4:$H$1201,Tabla213[[#Headers],[Fusarium]], $G$4:$G$1201,Tabla213[[#This Row],[Organo]], $B$4:$B$1201,M7)</f>
        <v>0</v>
      </c>
      <c r="S7">
        <f>COUNTIFS($H$4:$H$1201,Tabla213[[#Headers],[Cylindrocarpon]], $G$4:$G$1201,Tabla213[[#This Row],[Organo]], $B$4:$B$1201,M7)</f>
        <v>0</v>
      </c>
      <c r="T7">
        <f>COUNTIFS($H$4:$H$1201,Tabla213[[#Headers],[Macrophomina]], $G$4:$G$1201,Tabla213[[#This Row],[Organo]], $B$4:$B$1201,M7)</f>
        <v>0</v>
      </c>
      <c r="U7">
        <f>COUNTIFS($H$4:$H$1201,Tabla213[[#Headers],[Rhizoctonia]], $G$4:$G$1201,Tabla213[[#This Row],[Organo]], $B$4:$B$1201,M7)</f>
        <v>0</v>
      </c>
      <c r="V7">
        <v>0</v>
      </c>
      <c r="W7">
        <f>COUNTIFS($H$4:$H$1201,Tabla213[[#Headers],[Alternaria]], $G$4:$G$1201,Tabla213[[#This Row],[Organo]], $B$4:$B$1201,M7)</f>
        <v>0</v>
      </c>
      <c r="X7">
        <f>COUNTIFS($H$4:$H$1201,Tabla213[[#Headers],[Botrytis]], $G$4:$G$1201,Tabla213[[#This Row],[Organo]], $B$4:$B$1201,M7)</f>
        <v>0</v>
      </c>
      <c r="Y7">
        <f>COUNTIFS($H$4:$H$1201,Tabla213[[#Headers],[Colletotrichum]], $G$4:$G$1201,Tabla213[[#This Row],[Organo]], $B$4:$B$1201,M7)</f>
        <v>0</v>
      </c>
      <c r="Z7">
        <f>COUNTIFS($H$4:$H$1201,Tabla213[[#Headers],[Aspergillus]], $G$4:$G$1201,Tabla213[[#This Row],[Organo]], $B$4:$B$1201,M7)</f>
        <v>0</v>
      </c>
      <c r="AA7">
        <f>COUNTIFS($H$4:$H$1201,Tabla213[[#Headers],[NO ID]], $G$4:$G$1201,Tabla213[[#This Row],[Organo]], $B$4:$B$1201,M7)</f>
        <v>0</v>
      </c>
      <c r="AB7">
        <f>COUNTIFS($H$4:$H$1201,Tabla213[[#Headers],[Trichoderma]], $G$4:$G$1201,Tabla213[[#This Row],[Organo]], $B$4:$B$1201,M7)</f>
        <v>0</v>
      </c>
      <c r="AC7">
        <f>COUNTIFS($H$4:$H$1201,Tabla213[[#Headers],[Rizophus]], $G$4:$G$1201,Tabla213[[#This Row],[Organo]], $B$4:$B$1201,M7)</f>
        <v>0</v>
      </c>
      <c r="AD7">
        <f>COUNTIFS($H$4:$H$1201,Tabla213[[#Headers],[FALTANTES]], $G$4:$G$1201,Tabla213[[#This Row],[Organo]], $B$4:$B$1201,M7)</f>
        <v>0</v>
      </c>
      <c r="AK7">
        <v>1.2</v>
      </c>
      <c r="AL7" t="s">
        <v>0</v>
      </c>
      <c r="AM7" t="s">
        <v>119</v>
      </c>
      <c r="AN7" t="s">
        <v>477</v>
      </c>
      <c r="BC7" t="s">
        <v>748</v>
      </c>
      <c r="BD7">
        <v>138</v>
      </c>
      <c r="BE7">
        <v>285</v>
      </c>
      <c r="BF7">
        <v>66</v>
      </c>
      <c r="BG7">
        <v>8</v>
      </c>
      <c r="BH7">
        <v>85</v>
      </c>
      <c r="BI7">
        <v>29</v>
      </c>
      <c r="BJ7">
        <v>20</v>
      </c>
      <c r="BK7">
        <v>49</v>
      </c>
      <c r="BL7">
        <v>3</v>
      </c>
      <c r="BM7">
        <v>3</v>
      </c>
      <c r="BN7">
        <v>57</v>
      </c>
      <c r="BO7">
        <v>10</v>
      </c>
      <c r="BP7">
        <v>0</v>
      </c>
      <c r="BQ7">
        <v>0</v>
      </c>
    </row>
    <row r="8" spans="1:69" ht="18" customHeight="1" x14ac:dyDescent="0.2">
      <c r="A8" s="7">
        <v>4</v>
      </c>
      <c r="B8" s="7">
        <v>1.1000000000000001</v>
      </c>
      <c r="C8" s="1" t="str">
        <f t="shared" si="0"/>
        <v>EL PEJO 1</v>
      </c>
      <c r="D8" s="7" t="s">
        <v>127</v>
      </c>
      <c r="E8" s="1" t="str">
        <f t="shared" si="1"/>
        <v>SENSATION</v>
      </c>
      <c r="F8" s="7">
        <v>2</v>
      </c>
      <c r="G8" s="7" t="s">
        <v>476</v>
      </c>
      <c r="H8" s="7" t="s">
        <v>155</v>
      </c>
      <c r="I8" s="7" t="s">
        <v>223</v>
      </c>
      <c r="J8" s="7">
        <v>4</v>
      </c>
      <c r="K8" s="19" t="s">
        <v>638</v>
      </c>
      <c r="M8">
        <v>1.2</v>
      </c>
      <c r="N8" t="s">
        <v>649</v>
      </c>
      <c r="O8" t="s">
        <v>119</v>
      </c>
      <c r="P8" t="s">
        <v>477</v>
      </c>
      <c r="Q8">
        <f>COUNTIFS($H$4:$H$1201,Tabla213[[#Headers],[Neopestalotiopsis]], $G$4:$G$1201,Tabla213[[#This Row],[Organo]], $B$4:$B$1201,M8)</f>
        <v>0</v>
      </c>
      <c r="R8">
        <f>COUNTIFS($H$4:$H$1201,Tabla213[[#Headers],[Fusarium]], $G$4:$G$1201,Tabla213[[#This Row],[Organo]], $B$4:$B$1201,M8)</f>
        <v>0</v>
      </c>
      <c r="S8">
        <f>COUNTIFS($H$4:$H$1201,Tabla213[[#Headers],[Cylindrocarpon]], $G$4:$G$1201,Tabla213[[#This Row],[Organo]], $B$4:$B$1201,M8)</f>
        <v>0</v>
      </c>
      <c r="T8">
        <f>COUNTIFS($H$4:$H$1201,Tabla213[[#Headers],[Macrophomina]], $G$4:$G$1201,Tabla213[[#This Row],[Organo]], $B$4:$B$1201,M8)</f>
        <v>0</v>
      </c>
      <c r="U8">
        <f>COUNTIFS($H$4:$H$1201,Tabla213[[#Headers],[Rhizoctonia]], $G$4:$G$1201,Tabla213[[#This Row],[Organo]], $B$4:$B$1201,M8)</f>
        <v>0</v>
      </c>
      <c r="V8">
        <v>0</v>
      </c>
      <c r="W8">
        <f>COUNTIFS($H$4:$H$1201,Tabla213[[#Headers],[Alternaria]], $G$4:$G$1201,Tabla213[[#This Row],[Organo]], $B$4:$B$1201,M8)</f>
        <v>0</v>
      </c>
      <c r="X8">
        <f>COUNTIFS($H$4:$H$1201,Tabla213[[#Headers],[Botrytis]], $G$4:$G$1201,Tabla213[[#This Row],[Organo]], $B$4:$B$1201,M8)</f>
        <v>0</v>
      </c>
      <c r="Y8">
        <f>COUNTIFS($H$4:$H$1201,Tabla213[[#Headers],[Colletotrichum]], $G$4:$G$1201,Tabla213[[#This Row],[Organo]], $B$4:$B$1201,M8)</f>
        <v>0</v>
      </c>
      <c r="Z8">
        <f>COUNTIFS($H$4:$H$1201,Tabla213[[#Headers],[Aspergillus]], $G$4:$G$1201,Tabla213[[#This Row],[Organo]], $B$4:$B$1201,M8)</f>
        <v>0</v>
      </c>
      <c r="AA8">
        <f>COUNTIFS($H$4:$H$1201,Tabla213[[#Headers],[NO ID]], $G$4:$G$1201,Tabla213[[#This Row],[Organo]], $B$4:$B$1201,M8)</f>
        <v>0</v>
      </c>
      <c r="AB8">
        <f>COUNTIFS($H$4:$H$1201,Tabla213[[#Headers],[Trichoderma]], $G$4:$G$1201,Tabla213[[#This Row],[Organo]], $B$4:$B$1201,M8)</f>
        <v>0</v>
      </c>
      <c r="AC8">
        <f>COUNTIFS($H$4:$H$1201,Tabla213[[#Headers],[Rizophus]], $G$4:$G$1201,Tabla213[[#This Row],[Organo]], $B$4:$B$1201,M8)</f>
        <v>0</v>
      </c>
      <c r="AD8">
        <f>COUNTIFS($H$4:$H$1201,Tabla213[[#Headers],[FALTANTES]], $G$4:$G$1201,Tabla213[[#This Row],[Organo]], $B$4:$B$1201,M8)</f>
        <v>0</v>
      </c>
      <c r="AF8">
        <f t="shared" ref="AF8" si="2">SUM(Q7:AD8)</f>
        <v>0</v>
      </c>
      <c r="AG8">
        <f>COUNTIF($B$5:$B$1201, Tabla213[[#This Row],[Num. Parcela]])</f>
        <v>0</v>
      </c>
      <c r="AH8" t="b">
        <f t="shared" ref="AH8" si="3">IF(AF8=AG8, TRUE)</f>
        <v>1</v>
      </c>
      <c r="AK8">
        <v>1.2</v>
      </c>
      <c r="AL8" t="s">
        <v>0</v>
      </c>
      <c r="AM8" t="s">
        <v>119</v>
      </c>
      <c r="AN8" t="s">
        <v>476</v>
      </c>
      <c r="BQ8">
        <v>1182</v>
      </c>
    </row>
    <row r="9" spans="1:69" ht="18" customHeight="1" x14ac:dyDescent="0.2">
      <c r="A9" s="7">
        <v>5</v>
      </c>
      <c r="B9" s="7">
        <v>1.1000000000000001</v>
      </c>
      <c r="C9" s="1" t="str">
        <f t="shared" si="0"/>
        <v>EL PEJO 1</v>
      </c>
      <c r="D9" s="7" t="s">
        <v>127</v>
      </c>
      <c r="E9" s="1" t="str">
        <f t="shared" si="1"/>
        <v>SENSATION</v>
      </c>
      <c r="F9" s="7">
        <v>2</v>
      </c>
      <c r="G9" s="7" t="s">
        <v>476</v>
      </c>
      <c r="H9" s="7" t="s">
        <v>155</v>
      </c>
      <c r="I9" s="7" t="s">
        <v>155</v>
      </c>
      <c r="J9" s="7">
        <v>5</v>
      </c>
      <c r="K9" s="7"/>
      <c r="L9">
        <v>1</v>
      </c>
      <c r="M9">
        <v>1.3</v>
      </c>
      <c r="N9" t="s">
        <v>650</v>
      </c>
      <c r="O9" t="s">
        <v>83</v>
      </c>
      <c r="P9" t="s">
        <v>476</v>
      </c>
      <c r="Q9">
        <f>COUNTIFS($H$4:$H$1201,Tabla213[[#Headers],[Neopestalotiopsis]], $G$4:$G$1201,Tabla213[[#This Row],[Organo]], $B$4:$B$1201,M9)</f>
        <v>0</v>
      </c>
      <c r="R9">
        <f>COUNTIFS($H$4:$H$1201,Tabla213[[#Headers],[Fusarium]], $G$4:$G$1201,Tabla213[[#This Row],[Organo]], $B$4:$B$1201,M9)</f>
        <v>0</v>
      </c>
      <c r="S9">
        <f>COUNTIFS($H$4:$H$1201,Tabla213[[#Headers],[Cylindrocarpon]], $G$4:$G$1201,Tabla213[[#This Row],[Organo]], $B$4:$B$1201,M9)</f>
        <v>0</v>
      </c>
      <c r="T9">
        <f>COUNTIFS($H$4:$H$1201,Tabla213[[#Headers],[Macrophomina]], $G$4:$G$1201,Tabla213[[#This Row],[Organo]], $B$4:$B$1201,M9)</f>
        <v>0</v>
      </c>
      <c r="U9">
        <f>COUNTIFS($H$4:$H$1201,Tabla213[[#Headers],[Rhizoctonia]], $G$4:$G$1201,Tabla213[[#This Row],[Organo]], $B$4:$B$1201,M9)</f>
        <v>0</v>
      </c>
      <c r="V9">
        <v>0</v>
      </c>
      <c r="W9">
        <f>COUNTIFS($H$4:$H$1201,Tabla213[[#Headers],[Alternaria]], $G$4:$G$1201,Tabla213[[#This Row],[Organo]], $B$4:$B$1201,M9)</f>
        <v>0</v>
      </c>
      <c r="X9">
        <f>COUNTIFS($H$4:$H$1201,Tabla213[[#Headers],[Botrytis]], $G$4:$G$1201,Tabla213[[#This Row],[Organo]], $B$4:$B$1201,M9)</f>
        <v>0</v>
      </c>
      <c r="Y9">
        <f>COUNTIFS($H$4:$H$1201,Tabla213[[#Headers],[Colletotrichum]], $G$4:$G$1201,Tabla213[[#This Row],[Organo]], $B$4:$B$1201,M9)</f>
        <v>0</v>
      </c>
      <c r="Z9">
        <f>COUNTIFS($H$4:$H$1201,Tabla213[[#Headers],[Aspergillus]], $G$4:$G$1201,Tabla213[[#This Row],[Organo]], $B$4:$B$1201,M9)</f>
        <v>0</v>
      </c>
      <c r="AA9">
        <f>COUNTIFS($H$4:$H$1201,Tabla213[[#Headers],[NO ID]], $G$4:$G$1201,Tabla213[[#This Row],[Organo]], $B$4:$B$1201,M9)</f>
        <v>0</v>
      </c>
      <c r="AB9">
        <f>COUNTIFS($H$4:$H$1201,Tabla213[[#Headers],[Trichoderma]], $G$4:$G$1201,Tabla213[[#This Row],[Organo]], $B$4:$B$1201,M9)</f>
        <v>0</v>
      </c>
      <c r="AC9">
        <f>COUNTIFS($H$4:$H$1201,Tabla213[[#Headers],[Rizophus]], $G$4:$G$1201,Tabla213[[#This Row],[Organo]], $B$4:$B$1201,M9)</f>
        <v>0</v>
      </c>
      <c r="AD9">
        <f>COUNTIFS($H$4:$H$1201,Tabla213[[#Headers],[FALTANTES]], $G$4:$G$1201,Tabla213[[#This Row],[Organo]], $B$4:$B$1201,M9)</f>
        <v>0</v>
      </c>
      <c r="AK9">
        <v>1.3</v>
      </c>
      <c r="AL9" t="s">
        <v>0</v>
      </c>
      <c r="AM9" t="s">
        <v>83</v>
      </c>
      <c r="AN9" t="s">
        <v>477</v>
      </c>
      <c r="BC9" t="s">
        <v>750</v>
      </c>
      <c r="BD9" t="s">
        <v>488</v>
      </c>
      <c r="BE9" t="s">
        <v>491</v>
      </c>
      <c r="BF9" t="s">
        <v>642</v>
      </c>
      <c r="BG9" t="s">
        <v>489</v>
      </c>
      <c r="BH9" t="s">
        <v>472</v>
      </c>
      <c r="BI9" t="s">
        <v>490</v>
      </c>
      <c r="BJ9" t="s">
        <v>475</v>
      </c>
      <c r="BK9" t="s">
        <v>754</v>
      </c>
      <c r="BL9" t="s">
        <v>228</v>
      </c>
      <c r="BM9" t="s">
        <v>485</v>
      </c>
      <c r="BN9" t="s">
        <v>471</v>
      </c>
      <c r="BO9" t="s">
        <v>473</v>
      </c>
      <c r="BP9" t="s">
        <v>155</v>
      </c>
      <c r="BQ9" t="s">
        <v>149</v>
      </c>
    </row>
    <row r="10" spans="1:69" ht="15" customHeight="1" x14ac:dyDescent="0.2">
      <c r="A10" s="7">
        <v>6</v>
      </c>
      <c r="B10" s="7">
        <v>1.1000000000000001</v>
      </c>
      <c r="C10" s="1" t="str">
        <f t="shared" si="0"/>
        <v>EL PEJO 1</v>
      </c>
      <c r="D10" s="7" t="s">
        <v>127</v>
      </c>
      <c r="E10" s="1" t="str">
        <f t="shared" si="1"/>
        <v>SENSATION</v>
      </c>
      <c r="F10" s="7">
        <v>2</v>
      </c>
      <c r="G10" s="7" t="s">
        <v>476</v>
      </c>
      <c r="H10" s="7" t="s">
        <v>155</v>
      </c>
      <c r="I10" s="7" t="s">
        <v>155</v>
      </c>
      <c r="J10" s="7">
        <v>6</v>
      </c>
      <c r="K10" s="7"/>
      <c r="M10">
        <v>1.3</v>
      </c>
      <c r="N10" t="s">
        <v>650</v>
      </c>
      <c r="O10" t="s">
        <v>83</v>
      </c>
      <c r="P10" t="s">
        <v>477</v>
      </c>
      <c r="Q10">
        <f>COUNTIFS($H$4:$H$1201,Tabla213[[#Headers],[Neopestalotiopsis]], $G$4:$G$1201,Tabla213[[#This Row],[Organo]], $B$4:$B$1201,M10)</f>
        <v>0</v>
      </c>
      <c r="R10">
        <f>COUNTIFS($H$4:$H$1201,Tabla213[[#Headers],[Fusarium]], $G$4:$G$1201,Tabla213[[#This Row],[Organo]], $B$4:$B$1201,M10)</f>
        <v>0</v>
      </c>
      <c r="S10">
        <f>COUNTIFS($H$4:$H$1201,Tabla213[[#Headers],[Cylindrocarpon]], $G$4:$G$1201,Tabla213[[#This Row],[Organo]], $B$4:$B$1201,M10)</f>
        <v>0</v>
      </c>
      <c r="T10">
        <f>COUNTIFS($H$4:$H$1201,Tabla213[[#Headers],[Macrophomina]], $G$4:$G$1201,Tabla213[[#This Row],[Organo]], $B$4:$B$1201,M10)</f>
        <v>0</v>
      </c>
      <c r="U10">
        <f>COUNTIFS($H$4:$H$1201,Tabla213[[#Headers],[Rhizoctonia]], $G$4:$G$1201,Tabla213[[#This Row],[Organo]], $B$4:$B$1201,M10)</f>
        <v>0</v>
      </c>
      <c r="V10">
        <v>0</v>
      </c>
      <c r="W10">
        <f>COUNTIFS($H$4:$H$1201,Tabla213[[#Headers],[Alternaria]], $G$4:$G$1201,Tabla213[[#This Row],[Organo]], $B$4:$B$1201,M10)</f>
        <v>0</v>
      </c>
      <c r="X10">
        <f>COUNTIFS($H$4:$H$1201,Tabla213[[#Headers],[Botrytis]], $G$4:$G$1201,Tabla213[[#This Row],[Organo]], $B$4:$B$1201,M10)</f>
        <v>0</v>
      </c>
      <c r="Y10">
        <f>COUNTIFS($H$4:$H$1201,Tabla213[[#Headers],[Colletotrichum]], $G$4:$G$1201,Tabla213[[#This Row],[Organo]], $B$4:$B$1201,M10)</f>
        <v>0</v>
      </c>
      <c r="Z10">
        <f>COUNTIFS($H$4:$H$1201,Tabla213[[#Headers],[Aspergillus]], $G$4:$G$1201,Tabla213[[#This Row],[Organo]], $B$4:$B$1201,M10)</f>
        <v>0</v>
      </c>
      <c r="AA10">
        <f>COUNTIFS($H$4:$H$1201,Tabla213[[#Headers],[NO ID]], $G$4:$G$1201,Tabla213[[#This Row],[Organo]], $B$4:$B$1201,M10)</f>
        <v>0</v>
      </c>
      <c r="AB10">
        <f>COUNTIFS($H$4:$H$1201,Tabla213[[#Headers],[Trichoderma]], $G$4:$G$1201,Tabla213[[#This Row],[Organo]], $B$4:$B$1201,M10)</f>
        <v>0</v>
      </c>
      <c r="AC10">
        <f>COUNTIFS($H$4:$H$1201,Tabla213[[#Headers],[Rizophus]], $G$4:$G$1201,Tabla213[[#This Row],[Organo]], $B$4:$B$1201,M10)</f>
        <v>0</v>
      </c>
      <c r="AD10">
        <f>COUNTIFS($H$4:$H$1201,Tabla213[[#Headers],[FALTANTES]], $G$4:$G$1201,Tabla213[[#This Row],[Organo]], $B$4:$B$1201,M10)</f>
        <v>0</v>
      </c>
      <c r="AF10">
        <f t="shared" ref="AF10" si="4">SUM(Q9:AD10)</f>
        <v>0</v>
      </c>
      <c r="AG10">
        <f>COUNTIF($B$5:$B$1201, Tabla213[[#This Row],[Num. Parcela]])</f>
        <v>0</v>
      </c>
      <c r="AH10" t="b">
        <f t="shared" ref="AH10" si="5">IF(AF10=AG10, TRUE)</f>
        <v>1</v>
      </c>
      <c r="AK10">
        <v>1.3</v>
      </c>
      <c r="AL10" t="s">
        <v>0</v>
      </c>
      <c r="AM10" t="s">
        <v>83</v>
      </c>
      <c r="AN10" t="s">
        <v>476</v>
      </c>
      <c r="BC10" t="s">
        <v>749</v>
      </c>
      <c r="BD10">
        <v>2</v>
      </c>
      <c r="BE10">
        <v>1</v>
      </c>
      <c r="BF10">
        <v>6</v>
      </c>
      <c r="BG10">
        <v>0</v>
      </c>
      <c r="BH10">
        <v>20</v>
      </c>
      <c r="BI10">
        <v>18</v>
      </c>
      <c r="BJ10">
        <v>9</v>
      </c>
      <c r="BK10">
        <v>10</v>
      </c>
      <c r="BL10">
        <v>11</v>
      </c>
      <c r="BM10">
        <v>20</v>
      </c>
      <c r="BN10">
        <v>9</v>
      </c>
      <c r="BO10">
        <v>15</v>
      </c>
      <c r="BP10">
        <v>209</v>
      </c>
      <c r="BQ10">
        <v>99</v>
      </c>
    </row>
    <row r="11" spans="1:69" x14ac:dyDescent="0.2">
      <c r="A11" s="7">
        <v>7</v>
      </c>
      <c r="B11" s="7">
        <v>1.1000000000000001</v>
      </c>
      <c r="C11" s="1" t="str">
        <f t="shared" si="0"/>
        <v>EL PEJO 1</v>
      </c>
      <c r="D11" s="7" t="s">
        <v>127</v>
      </c>
      <c r="E11" s="1" t="str">
        <f t="shared" si="1"/>
        <v>SENSATION</v>
      </c>
      <c r="F11" s="7">
        <v>1</v>
      </c>
      <c r="G11" s="7" t="s">
        <v>477</v>
      </c>
      <c r="H11" s="7" t="s">
        <v>228</v>
      </c>
      <c r="I11" s="9" t="s">
        <v>482</v>
      </c>
      <c r="J11" s="9">
        <v>7</v>
      </c>
      <c r="K11" s="7"/>
      <c r="L11">
        <v>1</v>
      </c>
      <c r="M11">
        <v>1.4</v>
      </c>
      <c r="N11" t="s">
        <v>651</v>
      </c>
      <c r="O11" t="s">
        <v>128</v>
      </c>
      <c r="P11" t="s">
        <v>476</v>
      </c>
      <c r="Q11">
        <f>COUNTIFS($H$4:$H$1201,Tabla213[[#Headers],[Neopestalotiopsis]], $G$4:$G$1201,Tabla213[[#This Row],[Organo]], $B$4:$B$1201,M11)</f>
        <v>0</v>
      </c>
      <c r="R11">
        <f>COUNTIFS($H$4:$H$1201,Tabla213[[#Headers],[Fusarium]], $G$4:$G$1201,Tabla213[[#This Row],[Organo]], $B$4:$B$1201,M11)</f>
        <v>0</v>
      </c>
      <c r="S11">
        <f>COUNTIFS($H$4:$H$1201,Tabla213[[#Headers],[Cylindrocarpon]], $G$4:$G$1201,Tabla213[[#This Row],[Organo]], $B$4:$B$1201,M11)</f>
        <v>0</v>
      </c>
      <c r="T11">
        <f>COUNTIFS($H$4:$H$1201,Tabla213[[#Headers],[Macrophomina]], $G$4:$G$1201,Tabla213[[#This Row],[Organo]], $B$4:$B$1201,M11)</f>
        <v>0</v>
      </c>
      <c r="U11">
        <f>COUNTIFS($H$4:$H$1201,Tabla213[[#Headers],[Rhizoctonia]], $G$4:$G$1201,Tabla213[[#This Row],[Organo]], $B$4:$B$1201,M11)</f>
        <v>0</v>
      </c>
      <c r="V11">
        <v>0</v>
      </c>
      <c r="W11">
        <f>COUNTIFS($H$4:$H$1201,Tabla213[[#Headers],[Alternaria]], $G$4:$G$1201,Tabla213[[#This Row],[Organo]], $B$4:$B$1201,M11)</f>
        <v>0</v>
      </c>
      <c r="X11">
        <f>COUNTIFS($H$4:$H$1201,Tabla213[[#Headers],[Botrytis]], $G$4:$G$1201,Tabla213[[#This Row],[Organo]], $B$4:$B$1201,M11)</f>
        <v>0</v>
      </c>
      <c r="Y11">
        <f>COUNTIFS($H$4:$H$1201,Tabla213[[#Headers],[Colletotrichum]], $G$4:$G$1201,Tabla213[[#This Row],[Organo]], $B$4:$B$1201,M11)</f>
        <v>0</v>
      </c>
      <c r="Z11">
        <f>COUNTIFS($H$4:$H$1201,Tabla213[[#Headers],[Aspergillus]], $G$4:$G$1201,Tabla213[[#This Row],[Organo]], $B$4:$B$1201,M11)</f>
        <v>0</v>
      </c>
      <c r="AA11">
        <f>COUNTIFS($H$4:$H$1201,Tabla213[[#Headers],[NO ID]], $G$4:$G$1201,Tabla213[[#This Row],[Organo]], $B$4:$B$1201,M11)</f>
        <v>0</v>
      </c>
      <c r="AB11">
        <f>COUNTIFS($H$4:$H$1201,Tabla213[[#Headers],[Trichoderma]], $G$4:$G$1201,Tabla213[[#This Row],[Organo]], $B$4:$B$1201,M11)</f>
        <v>0</v>
      </c>
      <c r="AC11">
        <f>COUNTIFS($H$4:$H$1201,Tabla213[[#Headers],[Rizophus]], $G$4:$G$1201,Tabla213[[#This Row],[Organo]], $B$4:$B$1201,M11)</f>
        <v>0</v>
      </c>
      <c r="AD11">
        <f>COUNTIFS($H$4:$H$1201,Tabla213[[#Headers],[FALTANTES]], $G$4:$G$1201,Tabla213[[#This Row],[Organo]], $B$4:$B$1201,M11)</f>
        <v>0</v>
      </c>
      <c r="AK11">
        <v>1.4</v>
      </c>
      <c r="AL11" t="s">
        <v>0</v>
      </c>
      <c r="AM11" t="s">
        <v>128</v>
      </c>
      <c r="AN11" t="s">
        <v>477</v>
      </c>
      <c r="BC11" t="s">
        <v>748</v>
      </c>
      <c r="BD11">
        <v>0</v>
      </c>
      <c r="BE11">
        <v>0</v>
      </c>
      <c r="BF11">
        <v>3</v>
      </c>
      <c r="BG11">
        <v>3</v>
      </c>
      <c r="BH11">
        <v>8</v>
      </c>
      <c r="BI11">
        <v>10</v>
      </c>
      <c r="BJ11">
        <v>20</v>
      </c>
      <c r="BK11">
        <v>29</v>
      </c>
      <c r="BL11">
        <v>49</v>
      </c>
      <c r="BM11">
        <v>57</v>
      </c>
      <c r="BN11">
        <v>66</v>
      </c>
      <c r="BO11">
        <v>85</v>
      </c>
      <c r="BP11">
        <v>138</v>
      </c>
      <c r="BQ11">
        <v>285</v>
      </c>
    </row>
    <row r="12" spans="1:69" x14ac:dyDescent="0.2">
      <c r="A12" s="7">
        <v>8</v>
      </c>
      <c r="B12" s="7">
        <v>1.1000000000000001</v>
      </c>
      <c r="C12" s="1" t="str">
        <f t="shared" si="0"/>
        <v>EL PEJO 1</v>
      </c>
      <c r="D12" s="7" t="s">
        <v>127</v>
      </c>
      <c r="E12" s="1" t="str">
        <f t="shared" si="1"/>
        <v>SENSATION</v>
      </c>
      <c r="F12" s="7">
        <v>1</v>
      </c>
      <c r="G12" s="7" t="s">
        <v>477</v>
      </c>
      <c r="H12" s="7" t="s">
        <v>155</v>
      </c>
      <c r="I12" s="7" t="s">
        <v>223</v>
      </c>
      <c r="J12" s="7">
        <v>8</v>
      </c>
      <c r="K12" s="19" t="s">
        <v>638</v>
      </c>
      <c r="M12">
        <v>1.4</v>
      </c>
      <c r="N12" t="s">
        <v>651</v>
      </c>
      <c r="O12" t="s">
        <v>128</v>
      </c>
      <c r="P12" t="s">
        <v>477</v>
      </c>
      <c r="Q12">
        <f>COUNTIFS($H$4:$H$1201,Tabla213[[#Headers],[Neopestalotiopsis]], $G$4:$G$1201,Tabla213[[#This Row],[Organo]], $B$4:$B$1201,M12)</f>
        <v>0</v>
      </c>
      <c r="R12">
        <f>COUNTIFS($H$4:$H$1201,Tabla213[[#Headers],[Fusarium]], $G$4:$G$1201,Tabla213[[#This Row],[Organo]], $B$4:$B$1201,M12)</f>
        <v>0</v>
      </c>
      <c r="S12">
        <f>COUNTIFS($H$4:$H$1201,Tabla213[[#Headers],[Cylindrocarpon]], $G$4:$G$1201,Tabla213[[#This Row],[Organo]], $B$4:$B$1201,M12)</f>
        <v>0</v>
      </c>
      <c r="T12">
        <f>COUNTIFS($H$4:$H$1201,Tabla213[[#Headers],[Macrophomina]], $G$4:$G$1201,Tabla213[[#This Row],[Organo]], $B$4:$B$1201,M12)</f>
        <v>0</v>
      </c>
      <c r="U12">
        <f>COUNTIFS($H$4:$H$1201,Tabla213[[#Headers],[Rhizoctonia]], $G$4:$G$1201,Tabla213[[#This Row],[Organo]], $B$4:$B$1201,M12)</f>
        <v>0</v>
      </c>
      <c r="V12">
        <v>0</v>
      </c>
      <c r="W12">
        <f>COUNTIFS($H$4:$H$1201,Tabla213[[#Headers],[Alternaria]], $G$4:$G$1201,Tabla213[[#This Row],[Organo]], $B$4:$B$1201,M12)</f>
        <v>0</v>
      </c>
      <c r="X12">
        <f>COUNTIFS($H$4:$H$1201,Tabla213[[#Headers],[Botrytis]], $G$4:$G$1201,Tabla213[[#This Row],[Organo]], $B$4:$B$1201,M12)</f>
        <v>0</v>
      </c>
      <c r="Y12">
        <f>COUNTIFS($H$4:$H$1201,Tabla213[[#Headers],[Colletotrichum]], $G$4:$G$1201,Tabla213[[#This Row],[Organo]], $B$4:$B$1201,M12)</f>
        <v>0</v>
      </c>
      <c r="Z12">
        <f>COUNTIFS($H$4:$H$1201,Tabla213[[#Headers],[Aspergillus]], $G$4:$G$1201,Tabla213[[#This Row],[Organo]], $B$4:$B$1201,M12)</f>
        <v>0</v>
      </c>
      <c r="AA12">
        <f>COUNTIFS($H$4:$H$1201,Tabla213[[#Headers],[NO ID]], $G$4:$G$1201,Tabla213[[#This Row],[Organo]], $B$4:$B$1201,M12)</f>
        <v>0</v>
      </c>
      <c r="AB12">
        <f>COUNTIFS($H$4:$H$1201,Tabla213[[#Headers],[Trichoderma]], $G$4:$G$1201,Tabla213[[#This Row],[Organo]], $B$4:$B$1201,M12)</f>
        <v>0</v>
      </c>
      <c r="AC12">
        <f>COUNTIFS($H$4:$H$1201,Tabla213[[#Headers],[Rizophus]], $G$4:$G$1201,Tabla213[[#This Row],[Organo]], $B$4:$B$1201,M12)</f>
        <v>0</v>
      </c>
      <c r="AD12">
        <f>COUNTIFS($H$4:$H$1201,Tabla213[[#Headers],[FALTANTES]], $G$4:$G$1201,Tabla213[[#This Row],[Organo]], $B$4:$B$1201,M12)</f>
        <v>0</v>
      </c>
      <c r="AF12">
        <f t="shared" ref="AF12" si="6">SUM(Q11:AD12)</f>
        <v>0</v>
      </c>
      <c r="AG12">
        <f>COUNTIF($B$5:$B$1201, Tabla213[[#This Row],[Num. Parcela]])</f>
        <v>0</v>
      </c>
      <c r="AH12" t="b">
        <f t="shared" ref="AH12" si="7">IF(AF12=AG12, TRUE)</f>
        <v>1</v>
      </c>
      <c r="AK12">
        <v>1.4</v>
      </c>
      <c r="AL12" t="s">
        <v>0</v>
      </c>
      <c r="AM12" t="s">
        <v>128</v>
      </c>
      <c r="AN12" t="s">
        <v>476</v>
      </c>
      <c r="BC12" t="s">
        <v>751</v>
      </c>
      <c r="BD12">
        <f>SUM(BD10:BD11)</f>
        <v>2</v>
      </c>
    </row>
    <row r="13" spans="1:69" x14ac:dyDescent="0.2">
      <c r="A13" s="7">
        <v>9</v>
      </c>
      <c r="B13" s="7">
        <v>1.1000000000000001</v>
      </c>
      <c r="C13" s="1" t="str">
        <f t="shared" si="0"/>
        <v>EL PEJO 1</v>
      </c>
      <c r="D13" s="7" t="s">
        <v>127</v>
      </c>
      <c r="E13" s="1" t="str">
        <f t="shared" si="1"/>
        <v>SENSATION</v>
      </c>
      <c r="F13" s="7">
        <v>1</v>
      </c>
      <c r="G13" s="7" t="s">
        <v>477</v>
      </c>
      <c r="H13" s="7" t="s">
        <v>228</v>
      </c>
      <c r="I13" s="9" t="s">
        <v>487</v>
      </c>
      <c r="J13" s="9">
        <v>9</v>
      </c>
      <c r="K13" s="7"/>
      <c r="M13">
        <v>2</v>
      </c>
      <c r="N13" t="s">
        <v>1</v>
      </c>
      <c r="O13" t="s">
        <v>116</v>
      </c>
      <c r="P13" t="s">
        <v>476</v>
      </c>
      <c r="Q13">
        <f>COUNTIFS($H$4:$H$1201,Tabla213[[#Headers],[Neopestalotiopsis]], $G$4:$G$1201,Tabla213[[#This Row],[Organo]], $B$4:$B$1201,M13)</f>
        <v>8</v>
      </c>
      <c r="R13">
        <f>COUNTIFS($H$4:$H$1201,Tabla213[[#Headers],[Fusarium]], $G$4:$G$1201,Tabla213[[#This Row],[Organo]], $B$4:$B$1201,M13)</f>
        <v>0</v>
      </c>
      <c r="S13">
        <f>COUNTIFS($H$4:$H$1201,Tabla213[[#Headers],[Cylindrocarpon]], $G$4:$G$1201,Tabla213[[#This Row],[Organo]], $B$4:$B$1201,M13)</f>
        <v>0</v>
      </c>
      <c r="T13">
        <f>COUNTIFS($H$4:$H$1201,Tabla213[[#Headers],[Macrophomina]], $G$4:$G$1201,Tabla213[[#This Row],[Organo]], $B$4:$B$1201,M13)</f>
        <v>3</v>
      </c>
      <c r="U13">
        <f>COUNTIFS($H$4:$H$1201,Tabla213[[#Headers],[Rhizoctonia]], $G$4:$G$1201,Tabla213[[#This Row],[Organo]], $B$4:$B$1201,M13)</f>
        <v>0</v>
      </c>
      <c r="V13">
        <v>0</v>
      </c>
      <c r="W13">
        <f>COUNTIFS($H$4:$H$1201,Tabla213[[#Headers],[Alternaria]], $G$4:$G$1201,Tabla213[[#This Row],[Organo]], $B$4:$B$1201,M13)</f>
        <v>0</v>
      </c>
      <c r="X13">
        <f>COUNTIFS($H$4:$H$1201,Tabla213[[#Headers],[Botrytis]], $G$4:$G$1201,Tabla213[[#This Row],[Organo]], $B$4:$B$1201,M13)</f>
        <v>1</v>
      </c>
      <c r="Y13">
        <f>COUNTIFS($H$4:$H$1201,Tabla213[[#Headers],[Colletotrichum]], $G$4:$G$1201,Tabla213[[#This Row],[Organo]], $B$4:$B$1201,M13)</f>
        <v>0</v>
      </c>
      <c r="Z13">
        <f>COUNTIFS($H$4:$H$1201,Tabla213[[#Headers],[Aspergillus]], $G$4:$G$1201,Tabla213[[#This Row],[Organo]], $B$4:$B$1201,M13)</f>
        <v>0</v>
      </c>
      <c r="AA13">
        <f>COUNTIFS($H$4:$H$1201,Tabla213[[#Headers],[NO ID]], $G$4:$G$1201,Tabla213[[#This Row],[Organo]], $B$4:$B$1201,M13)</f>
        <v>0</v>
      </c>
      <c r="AB13">
        <f>COUNTIFS($H$4:$H$1201,Tabla213[[#Headers],[Trichoderma]], $G$4:$G$1201,Tabla213[[#This Row],[Organo]], $B$4:$B$1201,M13)</f>
        <v>0</v>
      </c>
      <c r="AC13">
        <f>COUNTIFS($H$4:$H$1201,Tabla213[[#Headers],[Rizophus]], $G$4:$G$1201,Tabla213[[#This Row],[Organo]], $B$4:$B$1201,M13)</f>
        <v>0</v>
      </c>
      <c r="AD13">
        <f>COUNTIFS($H$4:$H$1201,Tabla213[[#Headers],[FALTANTES]], $G$4:$G$1201,Tabla213[[#This Row],[Organo]], $B$4:$B$1201,M13)</f>
        <v>0</v>
      </c>
      <c r="AK13">
        <v>2</v>
      </c>
      <c r="AL13" t="s">
        <v>1</v>
      </c>
      <c r="AM13" t="s">
        <v>116</v>
      </c>
      <c r="AN13" t="s">
        <v>477</v>
      </c>
      <c r="BE13" t="s">
        <v>750</v>
      </c>
      <c r="BF13" t="s">
        <v>749</v>
      </c>
      <c r="BG13" t="s">
        <v>748</v>
      </c>
      <c r="BI13" t="s">
        <v>750</v>
      </c>
      <c r="BJ13" t="s">
        <v>749</v>
      </c>
      <c r="BK13" t="s">
        <v>748</v>
      </c>
    </row>
    <row r="14" spans="1:69" x14ac:dyDescent="0.2">
      <c r="A14" s="7">
        <v>10</v>
      </c>
      <c r="B14" s="7">
        <v>1.1000000000000001</v>
      </c>
      <c r="C14" s="1" t="str">
        <f t="shared" si="0"/>
        <v>EL PEJO 1</v>
      </c>
      <c r="D14" s="7" t="s">
        <v>127</v>
      </c>
      <c r="E14" s="1" t="str">
        <f t="shared" si="1"/>
        <v>SENSATION</v>
      </c>
      <c r="F14" s="7">
        <v>2</v>
      </c>
      <c r="G14" s="7" t="s">
        <v>477</v>
      </c>
      <c r="H14" s="7" t="s">
        <v>149</v>
      </c>
      <c r="I14" s="8" t="s">
        <v>478</v>
      </c>
      <c r="J14" s="7">
        <v>10</v>
      </c>
      <c r="K14" s="19"/>
      <c r="M14">
        <v>2</v>
      </c>
      <c r="N14" t="s">
        <v>1</v>
      </c>
      <c r="O14" t="s">
        <v>116</v>
      </c>
      <c r="P14" t="s">
        <v>477</v>
      </c>
      <c r="Q14">
        <f>COUNTIFS($H$4:$H$1201,Tabla213[[#Headers],[Neopestalotiopsis]], $G$4:$G$1201,Tabla213[[#This Row],[Organo]], $B$4:$B$1201,M14)</f>
        <v>1</v>
      </c>
      <c r="R14">
        <f>COUNTIFS($H$4:$H$1201,Tabla213[[#Headers],[Fusarium]], $G$4:$G$1201,Tabla213[[#This Row],[Organo]], $B$4:$B$1201,M14)</f>
        <v>16</v>
      </c>
      <c r="S14">
        <f>COUNTIFS($H$4:$H$1201,Tabla213[[#Headers],[Cylindrocarpon]], $G$4:$G$1201,Tabla213[[#This Row],[Organo]], $B$4:$B$1201,M14)</f>
        <v>2</v>
      </c>
      <c r="T14">
        <f>COUNTIFS($H$4:$H$1201,Tabla213[[#Headers],[Macrophomina]], $G$4:$G$1201,Tabla213[[#This Row],[Organo]], $B$4:$B$1201,M14)</f>
        <v>0</v>
      </c>
      <c r="U14">
        <f>COUNTIFS($H$4:$H$1201,Tabla213[[#Headers],[Rhizoctonia]], $G$4:$G$1201,Tabla213[[#This Row],[Organo]], $B$4:$B$1201,M14)</f>
        <v>0</v>
      </c>
      <c r="V14">
        <v>0</v>
      </c>
      <c r="W14">
        <f>COUNTIFS($H$4:$H$1201,Tabla213[[#Headers],[Alternaria]], $G$4:$G$1201,Tabla213[[#This Row],[Organo]], $B$4:$B$1201,M14)</f>
        <v>1</v>
      </c>
      <c r="X14">
        <f>COUNTIFS($H$4:$H$1201,Tabla213[[#Headers],[Botrytis]], $G$4:$G$1201,Tabla213[[#This Row],[Organo]], $B$4:$B$1201,M14)</f>
        <v>9</v>
      </c>
      <c r="Y14">
        <f>COUNTIFS($H$4:$H$1201,Tabla213[[#Headers],[Colletotrichum]], $G$4:$G$1201,Tabla213[[#This Row],[Organo]], $B$4:$B$1201,M14)</f>
        <v>0</v>
      </c>
      <c r="Z14">
        <f>COUNTIFS($H$4:$H$1201,Tabla213[[#Headers],[Aspergillus]], $G$4:$G$1201,Tabla213[[#This Row],[Organo]], $B$4:$B$1201,M14)</f>
        <v>0</v>
      </c>
      <c r="AA14">
        <f>COUNTIFS($H$4:$H$1201,Tabla213[[#Headers],[NO ID]], $G$4:$G$1201,Tabla213[[#This Row],[Organo]], $B$4:$B$1201,M14)</f>
        <v>4</v>
      </c>
      <c r="AB14">
        <f>COUNTIFS($H$4:$H$1201,Tabla213[[#Headers],[Trichoderma]], $G$4:$G$1201,Tabla213[[#This Row],[Organo]], $B$4:$B$1201,M14)</f>
        <v>0</v>
      </c>
      <c r="AC14">
        <f>COUNTIFS($H$4:$H$1201,Tabla213[[#Headers],[Rizophus]], $G$4:$G$1201,Tabla213[[#This Row],[Organo]], $B$4:$B$1201,M14)</f>
        <v>0</v>
      </c>
      <c r="AD14">
        <f>COUNTIFS($H$4:$H$1201,Tabla213[[#Headers],[FALTANTES]], $G$4:$G$1201,Tabla213[[#This Row],[Organo]], $B$4:$B$1201,M14)</f>
        <v>0</v>
      </c>
      <c r="AF14">
        <f t="shared" ref="AF14" si="8">SUM(Q13:AD14)</f>
        <v>45</v>
      </c>
      <c r="AG14">
        <f>COUNTIF($B$5:$B$1201, Tabla213[[#This Row],[Num. Parcela]])</f>
        <v>45</v>
      </c>
      <c r="AH14" t="b">
        <f t="shared" ref="AH14" si="9">IF(AF14=AG14, TRUE)</f>
        <v>1</v>
      </c>
      <c r="AK14">
        <v>2</v>
      </c>
      <c r="AL14" t="s">
        <v>1</v>
      </c>
      <c r="AM14" t="s">
        <v>116</v>
      </c>
      <c r="AN14" t="s">
        <v>476</v>
      </c>
      <c r="BE14" t="s">
        <v>488</v>
      </c>
      <c r="BF14">
        <v>2</v>
      </c>
      <c r="BG14">
        <v>0</v>
      </c>
      <c r="BI14" t="s">
        <v>488</v>
      </c>
      <c r="BJ14">
        <v>2</v>
      </c>
      <c r="BK14">
        <v>0</v>
      </c>
    </row>
    <row r="15" spans="1:69" x14ac:dyDescent="0.2">
      <c r="A15" s="7">
        <v>11</v>
      </c>
      <c r="B15" s="7">
        <v>1.1000000000000001</v>
      </c>
      <c r="C15" s="1" t="str">
        <f t="shared" si="0"/>
        <v>EL PEJO 1</v>
      </c>
      <c r="D15" s="7" t="s">
        <v>127</v>
      </c>
      <c r="E15" s="1" t="str">
        <f t="shared" si="1"/>
        <v>SENSATION</v>
      </c>
      <c r="F15" s="7">
        <v>2</v>
      </c>
      <c r="G15" s="7" t="s">
        <v>477</v>
      </c>
      <c r="H15" s="7" t="s">
        <v>149</v>
      </c>
      <c r="I15" s="8" t="s">
        <v>478</v>
      </c>
      <c r="J15" s="7">
        <v>11</v>
      </c>
      <c r="K15" s="7"/>
      <c r="M15">
        <v>3</v>
      </c>
      <c r="N15" t="s">
        <v>2</v>
      </c>
      <c r="O15" t="s">
        <v>116</v>
      </c>
      <c r="P15" t="s">
        <v>476</v>
      </c>
      <c r="Q15">
        <f>COUNTIFS($H$4:$H$1201,Tabla213[[#Headers],[Neopestalotiopsis]], $G$4:$G$1201,Tabla213[[#This Row],[Organo]], $B$4:$B$1201,M15)</f>
        <v>7</v>
      </c>
      <c r="R15">
        <f>COUNTIFS($H$4:$H$1201,Tabla213[[#Headers],[Fusarium]], $G$4:$G$1201,Tabla213[[#This Row],[Organo]], $B$4:$B$1201,M15)</f>
        <v>0</v>
      </c>
      <c r="S15">
        <f>COUNTIFS($H$4:$H$1201,Tabla213[[#Headers],[Cylindrocarpon]], $G$4:$G$1201,Tabla213[[#This Row],[Organo]], $B$4:$B$1201,M15)</f>
        <v>0</v>
      </c>
      <c r="T15">
        <f>COUNTIFS($H$4:$H$1201,Tabla213[[#Headers],[Macrophomina]], $G$4:$G$1201,Tabla213[[#This Row],[Organo]], $B$4:$B$1201,M15)</f>
        <v>0</v>
      </c>
      <c r="U15">
        <f>COUNTIFS($H$4:$H$1201,Tabla213[[#Headers],[Rhizoctonia]], $G$4:$G$1201,Tabla213[[#This Row],[Organo]], $B$4:$B$1201,M15)</f>
        <v>0</v>
      </c>
      <c r="V15">
        <v>0</v>
      </c>
      <c r="W15">
        <f>COUNTIFS($H$4:$H$1201,Tabla213[[#Headers],[Alternaria]], $G$4:$G$1201,Tabla213[[#This Row],[Organo]], $B$4:$B$1201,M15)</f>
        <v>0</v>
      </c>
      <c r="X15">
        <f>COUNTIFS($H$4:$H$1201,Tabla213[[#Headers],[Botrytis]], $G$4:$G$1201,Tabla213[[#This Row],[Organo]], $B$4:$B$1201,M15)</f>
        <v>0</v>
      </c>
      <c r="Y15">
        <f>COUNTIFS($H$4:$H$1201,Tabla213[[#Headers],[Colletotrichum]], $G$4:$G$1201,Tabla213[[#This Row],[Organo]], $B$4:$B$1201,M15)</f>
        <v>0</v>
      </c>
      <c r="Z15">
        <f>COUNTIFS($H$4:$H$1201,Tabla213[[#Headers],[Aspergillus]], $G$4:$G$1201,Tabla213[[#This Row],[Organo]], $B$4:$B$1201,M15)</f>
        <v>0</v>
      </c>
      <c r="AA15">
        <f>COUNTIFS($H$4:$H$1201,Tabla213[[#Headers],[NO ID]], $G$4:$G$1201,Tabla213[[#This Row],[Organo]], $B$4:$B$1201,M15)</f>
        <v>0</v>
      </c>
      <c r="AB15">
        <f>COUNTIFS($H$4:$H$1201,Tabla213[[#Headers],[Trichoderma]], $G$4:$G$1201,Tabla213[[#This Row],[Organo]], $B$4:$B$1201,M15)</f>
        <v>0</v>
      </c>
      <c r="AC15">
        <f>COUNTIFS($H$4:$H$1201,Tabla213[[#Headers],[Rizophus]], $G$4:$G$1201,Tabla213[[#This Row],[Organo]], $B$4:$B$1201,M15)</f>
        <v>0</v>
      </c>
      <c r="AD15">
        <f>COUNTIFS($H$4:$H$1201,Tabla213[[#Headers],[FALTANTES]], $G$4:$G$1201,Tabla213[[#This Row],[Organo]], $B$4:$B$1201,M15)</f>
        <v>0</v>
      </c>
      <c r="AK15">
        <v>3</v>
      </c>
      <c r="AL15" t="s">
        <v>2</v>
      </c>
      <c r="AM15" t="s">
        <v>116</v>
      </c>
      <c r="AN15" t="s">
        <v>477</v>
      </c>
      <c r="BE15" t="s">
        <v>491</v>
      </c>
      <c r="BF15">
        <v>1</v>
      </c>
      <c r="BG15">
        <v>0</v>
      </c>
      <c r="BI15" t="s">
        <v>491</v>
      </c>
      <c r="BJ15">
        <v>1</v>
      </c>
      <c r="BK15">
        <v>0</v>
      </c>
    </row>
    <row r="16" spans="1:69" x14ac:dyDescent="0.2">
      <c r="A16" s="7">
        <v>12</v>
      </c>
      <c r="B16" s="7">
        <v>1.1000000000000001</v>
      </c>
      <c r="C16" s="1" t="str">
        <f t="shared" si="0"/>
        <v>EL PEJO 1</v>
      </c>
      <c r="D16" s="7" t="s">
        <v>127</v>
      </c>
      <c r="E16" s="1" t="str">
        <f t="shared" si="1"/>
        <v>SENSATION</v>
      </c>
      <c r="F16" s="7">
        <v>2</v>
      </c>
      <c r="G16" s="7" t="s">
        <v>477</v>
      </c>
      <c r="H16" s="7" t="s">
        <v>149</v>
      </c>
      <c r="I16" s="7" t="s">
        <v>480</v>
      </c>
      <c r="J16" s="7">
        <v>12</v>
      </c>
      <c r="K16" s="7"/>
      <c r="M16">
        <v>3</v>
      </c>
      <c r="N16" t="s">
        <v>2</v>
      </c>
      <c r="O16" t="s">
        <v>116</v>
      </c>
      <c r="P16" t="s">
        <v>477</v>
      </c>
      <c r="Q16">
        <f>COUNTIFS($H$4:$H$1201,Tabla213[[#Headers],[Neopestalotiopsis]], $G$4:$G$1201,Tabla213[[#This Row],[Organo]], $B$4:$B$1201,M16)</f>
        <v>5</v>
      </c>
      <c r="R16">
        <f>COUNTIFS($H$4:$H$1201,Tabla213[[#Headers],[Fusarium]], $G$4:$G$1201,Tabla213[[#This Row],[Organo]], $B$4:$B$1201,M16)</f>
        <v>3</v>
      </c>
      <c r="S16">
        <f>COUNTIFS($H$4:$H$1201,Tabla213[[#Headers],[Cylindrocarpon]], $G$4:$G$1201,Tabla213[[#This Row],[Organo]], $B$4:$B$1201,M16)</f>
        <v>1</v>
      </c>
      <c r="T16">
        <f>COUNTIFS($H$4:$H$1201,Tabla213[[#Headers],[Macrophomina]], $G$4:$G$1201,Tabla213[[#This Row],[Organo]], $B$4:$B$1201,M16)</f>
        <v>2</v>
      </c>
      <c r="U16">
        <f>COUNTIFS($H$4:$H$1201,Tabla213[[#Headers],[Rhizoctonia]], $G$4:$G$1201,Tabla213[[#This Row],[Organo]], $B$4:$B$1201,M16)</f>
        <v>0</v>
      </c>
      <c r="V16">
        <v>0</v>
      </c>
      <c r="W16">
        <f>COUNTIFS($H$4:$H$1201,Tabla213[[#Headers],[Alternaria]], $G$4:$G$1201,Tabla213[[#This Row],[Organo]], $B$4:$B$1201,M16)</f>
        <v>0</v>
      </c>
      <c r="X16">
        <f>COUNTIFS($H$4:$H$1201,Tabla213[[#Headers],[Botrytis]], $G$4:$G$1201,Tabla213[[#This Row],[Organo]], $B$4:$B$1201,M16)</f>
        <v>3</v>
      </c>
      <c r="Y16">
        <f>COUNTIFS($H$4:$H$1201,Tabla213[[#Headers],[Colletotrichum]], $G$4:$G$1201,Tabla213[[#This Row],[Organo]], $B$4:$B$1201,M16)</f>
        <v>0</v>
      </c>
      <c r="Z16">
        <f>COUNTIFS($H$4:$H$1201,Tabla213[[#Headers],[Aspergillus]], $G$4:$G$1201,Tabla213[[#This Row],[Organo]], $B$4:$B$1201,M16)</f>
        <v>0</v>
      </c>
      <c r="AA16">
        <f>COUNTIFS($H$4:$H$1201,Tabla213[[#Headers],[NO ID]], $G$4:$G$1201,Tabla213[[#This Row],[Organo]], $B$4:$B$1201,M16)</f>
        <v>0</v>
      </c>
      <c r="AB16">
        <f>COUNTIFS($H$4:$H$1201,Tabla213[[#Headers],[Trichoderma]], $G$4:$G$1201,Tabla213[[#This Row],[Organo]], $B$4:$B$1201,M16)</f>
        <v>0</v>
      </c>
      <c r="AC16">
        <f>COUNTIFS($H$4:$H$1201,Tabla213[[#Headers],[Rizophus]], $G$4:$G$1201,Tabla213[[#This Row],[Organo]], $B$4:$B$1201,M16)</f>
        <v>0</v>
      </c>
      <c r="AD16">
        <f>COUNTIFS($H$4:$H$1201,Tabla213[[#Headers],[FALTANTES]], $G$4:$G$1201,Tabla213[[#This Row],[Organo]], $B$4:$B$1201,M16)</f>
        <v>0</v>
      </c>
      <c r="AF16">
        <f t="shared" ref="AF16" si="10">SUM(Q15:AD16)</f>
        <v>21</v>
      </c>
      <c r="AG16">
        <f>COUNTIF($B$5:$B$1201, Tabla213[[#This Row],[Num. Parcela]])</f>
        <v>24</v>
      </c>
      <c r="AH16" t="b">
        <f t="shared" ref="AH16" si="11">IF(AF16=AG16, TRUE)</f>
        <v>0</v>
      </c>
      <c r="AK16">
        <v>3</v>
      </c>
      <c r="AL16" t="s">
        <v>2</v>
      </c>
      <c r="AM16" t="s">
        <v>116</v>
      </c>
      <c r="AN16" t="s">
        <v>476</v>
      </c>
      <c r="BE16" s="60" t="s">
        <v>642</v>
      </c>
      <c r="BF16">
        <v>6</v>
      </c>
      <c r="BG16">
        <v>3</v>
      </c>
      <c r="BI16" t="s">
        <v>642</v>
      </c>
      <c r="BJ16">
        <v>6</v>
      </c>
      <c r="BK16">
        <v>3</v>
      </c>
    </row>
    <row r="17" spans="1:63" x14ac:dyDescent="0.2">
      <c r="A17" s="7">
        <v>13</v>
      </c>
      <c r="B17" s="7">
        <v>1.1000000000000001</v>
      </c>
      <c r="C17" s="1" t="str">
        <f t="shared" si="0"/>
        <v>EL PEJO 1</v>
      </c>
      <c r="D17" s="7" t="s">
        <v>127</v>
      </c>
      <c r="E17" s="1" t="str">
        <f t="shared" si="1"/>
        <v>SENSATION</v>
      </c>
      <c r="F17" s="7">
        <v>1</v>
      </c>
      <c r="G17" s="7" t="s">
        <v>477</v>
      </c>
      <c r="H17" s="7" t="s">
        <v>149</v>
      </c>
      <c r="I17" s="8" t="s">
        <v>478</v>
      </c>
      <c r="J17" s="7">
        <v>13</v>
      </c>
      <c r="K17" s="19"/>
      <c r="M17">
        <v>4.0999999999999996</v>
      </c>
      <c r="N17" t="s">
        <v>653</v>
      </c>
      <c r="O17" t="s">
        <v>116</v>
      </c>
      <c r="P17" t="s">
        <v>476</v>
      </c>
      <c r="Q17">
        <f>COUNTIFS($H$4:$H$1201,Tabla213[[#Headers],[Neopestalotiopsis]], $G$4:$G$1201,Tabla213[[#This Row],[Organo]], $B$4:$B$1201,M17)</f>
        <v>4</v>
      </c>
      <c r="R17">
        <f>COUNTIFS($H$4:$H$1201,Tabla213[[#Headers],[Fusarium]], $G$4:$G$1201,Tabla213[[#This Row],[Organo]], $B$4:$B$1201,M17)</f>
        <v>0</v>
      </c>
      <c r="S17">
        <f>COUNTIFS($H$4:$H$1201,Tabla213[[#Headers],[Cylindrocarpon]], $G$4:$G$1201,Tabla213[[#This Row],[Organo]], $B$4:$B$1201,M17)</f>
        <v>0</v>
      </c>
      <c r="T17">
        <f>COUNTIFS($H$4:$H$1201,Tabla213[[#Headers],[Macrophomina]], $G$4:$G$1201,Tabla213[[#This Row],[Organo]], $B$4:$B$1201,M17)</f>
        <v>0</v>
      </c>
      <c r="U17">
        <f>COUNTIFS($H$4:$H$1201,Tabla213[[#Headers],[Rhizoctonia]], $G$4:$G$1201,Tabla213[[#This Row],[Organo]], $B$4:$B$1201,M17)</f>
        <v>0</v>
      </c>
      <c r="V17">
        <v>0</v>
      </c>
      <c r="W17">
        <f>COUNTIFS($H$4:$H$1201,Tabla213[[#Headers],[Alternaria]], $G$4:$G$1201,Tabla213[[#This Row],[Organo]], $B$4:$B$1201,M17)</f>
        <v>1</v>
      </c>
      <c r="X17">
        <f>COUNTIFS($H$4:$H$1201,Tabla213[[#Headers],[Botrytis]], $G$4:$G$1201,Tabla213[[#This Row],[Organo]], $B$4:$B$1201,M17)</f>
        <v>0</v>
      </c>
      <c r="Y17">
        <f>COUNTIFS($H$4:$H$1201,Tabla213[[#Headers],[Colletotrichum]], $G$4:$G$1201,Tabla213[[#This Row],[Organo]], $B$4:$B$1201,M17)</f>
        <v>0</v>
      </c>
      <c r="Z17">
        <f>COUNTIFS($H$4:$H$1201,Tabla213[[#Headers],[Aspergillus]], $G$4:$G$1201,Tabla213[[#This Row],[Organo]], $B$4:$B$1201,M17)</f>
        <v>0</v>
      </c>
      <c r="AA17">
        <f>COUNTIFS($H$4:$H$1201,Tabla213[[#Headers],[NO ID]], $G$4:$G$1201,Tabla213[[#This Row],[Organo]], $B$4:$B$1201,M17)</f>
        <v>1</v>
      </c>
      <c r="AB17">
        <f>COUNTIFS($H$4:$H$1201,Tabla213[[#Headers],[Trichoderma]], $G$4:$G$1201,Tabla213[[#This Row],[Organo]], $B$4:$B$1201,M17)</f>
        <v>0</v>
      </c>
      <c r="AC17">
        <f>COUNTIFS($H$4:$H$1201,Tabla213[[#Headers],[Rizophus]], $G$4:$G$1201,Tabla213[[#This Row],[Organo]], $B$4:$B$1201,M17)</f>
        <v>0</v>
      </c>
      <c r="AD17">
        <f>COUNTIFS($H$4:$H$1201,Tabla213[[#Headers],[FALTANTES]], $G$4:$G$1201,Tabla213[[#This Row],[Organo]], $B$4:$B$1201,M17)</f>
        <v>0</v>
      </c>
      <c r="AK17">
        <v>4.0999999999999996</v>
      </c>
      <c r="AL17" t="s">
        <v>3</v>
      </c>
      <c r="AM17" t="s">
        <v>116</v>
      </c>
      <c r="AN17" t="s">
        <v>477</v>
      </c>
      <c r="BE17" t="s">
        <v>489</v>
      </c>
      <c r="BF17">
        <v>0</v>
      </c>
      <c r="BG17">
        <v>3</v>
      </c>
      <c r="BI17" t="s">
        <v>489</v>
      </c>
      <c r="BJ17">
        <v>0</v>
      </c>
      <c r="BK17">
        <v>3</v>
      </c>
    </row>
    <row r="18" spans="1:63" x14ac:dyDescent="0.2">
      <c r="A18" s="7">
        <v>14</v>
      </c>
      <c r="B18" s="7">
        <v>1.1000000000000001</v>
      </c>
      <c r="C18" s="1" t="str">
        <f t="shared" si="0"/>
        <v>EL PEJO 1</v>
      </c>
      <c r="D18" s="7" t="s">
        <v>127</v>
      </c>
      <c r="E18" s="1" t="str">
        <f t="shared" si="1"/>
        <v>SENSATION</v>
      </c>
      <c r="F18" s="7">
        <v>1</v>
      </c>
      <c r="G18" s="7" t="s">
        <v>477</v>
      </c>
      <c r="H18" s="7" t="s">
        <v>149</v>
      </c>
      <c r="I18" s="8" t="s">
        <v>478</v>
      </c>
      <c r="J18" s="7">
        <v>14</v>
      </c>
      <c r="K18" s="7"/>
      <c r="M18">
        <v>4.0999999999999996</v>
      </c>
      <c r="N18" t="s">
        <v>653</v>
      </c>
      <c r="O18" t="s">
        <v>116</v>
      </c>
      <c r="P18" t="s">
        <v>477</v>
      </c>
      <c r="Q18">
        <f>COUNTIFS($H$4:$H$1201,Tabla213[[#Headers],[Neopestalotiopsis]], $G$4:$G$1201,Tabla213[[#This Row],[Organo]], $B$4:$B$1201,M18)</f>
        <v>2</v>
      </c>
      <c r="R18">
        <f>COUNTIFS($H$4:$H$1201,Tabla213[[#Headers],[Fusarium]], $G$4:$G$1201,Tabla213[[#This Row],[Organo]], $B$4:$B$1201,M18)</f>
        <v>2</v>
      </c>
      <c r="S18">
        <f>COUNTIFS($H$4:$H$1201,Tabla213[[#Headers],[Cylindrocarpon]], $G$4:$G$1201,Tabla213[[#This Row],[Organo]], $B$4:$B$1201,M18)</f>
        <v>0</v>
      </c>
      <c r="T18">
        <f>COUNTIFS($H$4:$H$1201,Tabla213[[#Headers],[Macrophomina]], $G$4:$G$1201,Tabla213[[#This Row],[Organo]], $B$4:$B$1201,M18)</f>
        <v>0</v>
      </c>
      <c r="U18">
        <f>COUNTIFS($H$4:$H$1201,Tabla213[[#Headers],[Rhizoctonia]], $G$4:$G$1201,Tabla213[[#This Row],[Organo]], $B$4:$B$1201,M18)</f>
        <v>0</v>
      </c>
      <c r="V18">
        <v>0</v>
      </c>
      <c r="W18">
        <f>COUNTIFS($H$4:$H$1201,Tabla213[[#Headers],[Alternaria]], $G$4:$G$1201,Tabla213[[#This Row],[Organo]], $B$4:$B$1201,M18)</f>
        <v>0</v>
      </c>
      <c r="X18">
        <f>COUNTIFS($H$4:$H$1201,Tabla213[[#Headers],[Botrytis]], $G$4:$G$1201,Tabla213[[#This Row],[Organo]], $B$4:$B$1201,M18)</f>
        <v>3</v>
      </c>
      <c r="Y18">
        <f>COUNTIFS($H$4:$H$1201,Tabla213[[#Headers],[Colletotrichum]], $G$4:$G$1201,Tabla213[[#This Row],[Organo]], $B$4:$B$1201,M18)</f>
        <v>0</v>
      </c>
      <c r="Z18">
        <f>COUNTIFS($H$4:$H$1201,Tabla213[[#Headers],[Aspergillus]], $G$4:$G$1201,Tabla213[[#This Row],[Organo]], $B$4:$B$1201,M18)</f>
        <v>0</v>
      </c>
      <c r="AA18">
        <f>COUNTIFS($H$4:$H$1201,Tabla213[[#Headers],[NO ID]], $G$4:$G$1201,Tabla213[[#This Row],[Organo]], $B$4:$B$1201,M18)</f>
        <v>0</v>
      </c>
      <c r="AB18">
        <f>COUNTIFS($H$4:$H$1201,Tabla213[[#Headers],[Trichoderma]], $G$4:$G$1201,Tabla213[[#This Row],[Organo]], $B$4:$B$1201,M18)</f>
        <v>0</v>
      </c>
      <c r="AC18">
        <f>COUNTIFS($H$4:$H$1201,Tabla213[[#Headers],[Rizophus]], $G$4:$G$1201,Tabla213[[#This Row],[Organo]], $B$4:$B$1201,M18)</f>
        <v>1</v>
      </c>
      <c r="AD18">
        <f>COUNTIFS($H$4:$H$1201,Tabla213[[#Headers],[FALTANTES]], $G$4:$G$1201,Tabla213[[#This Row],[Organo]], $B$4:$B$1201,M18)</f>
        <v>0</v>
      </c>
      <c r="AF18">
        <f t="shared" ref="AF18" si="12">SUM(Q17:AD18)</f>
        <v>14</v>
      </c>
      <c r="AG18">
        <f>COUNTIF($B$5:$B$1201, Tabla213[[#This Row],[Num. Parcela]])</f>
        <v>14</v>
      </c>
      <c r="AH18" t="b">
        <f t="shared" ref="AH18" si="13">IF(AF18=AG18, TRUE)</f>
        <v>1</v>
      </c>
      <c r="AK18">
        <v>4.0999999999999996</v>
      </c>
      <c r="AL18" t="s">
        <v>3</v>
      </c>
      <c r="AM18" t="s">
        <v>116</v>
      </c>
      <c r="AN18" t="s">
        <v>476</v>
      </c>
      <c r="BE18" s="60" t="s">
        <v>472</v>
      </c>
      <c r="BF18">
        <v>20</v>
      </c>
      <c r="BG18">
        <v>8</v>
      </c>
      <c r="BI18" t="s">
        <v>472</v>
      </c>
      <c r="BJ18">
        <v>20</v>
      </c>
      <c r="BK18">
        <v>8</v>
      </c>
    </row>
    <row r="19" spans="1:63" x14ac:dyDescent="0.2">
      <c r="A19" s="7">
        <v>15</v>
      </c>
      <c r="B19" s="7">
        <v>1.1000000000000001</v>
      </c>
      <c r="C19" s="1" t="str">
        <f t="shared" si="0"/>
        <v>EL PEJO 1</v>
      </c>
      <c r="D19" s="7" t="s">
        <v>127</v>
      </c>
      <c r="E19" s="1" t="str">
        <f t="shared" si="1"/>
        <v>SENSATION</v>
      </c>
      <c r="F19" s="7">
        <v>1</v>
      </c>
      <c r="G19" s="7" t="s">
        <v>477</v>
      </c>
      <c r="H19" s="7" t="s">
        <v>149</v>
      </c>
      <c r="I19" s="8" t="s">
        <v>478</v>
      </c>
      <c r="J19" s="7">
        <v>15</v>
      </c>
      <c r="K19" s="19"/>
      <c r="M19">
        <v>4.2</v>
      </c>
      <c r="N19" t="s">
        <v>654</v>
      </c>
      <c r="O19" t="s">
        <v>83</v>
      </c>
      <c r="P19" t="s">
        <v>476</v>
      </c>
      <c r="Q19">
        <f>COUNTIFS($H$4:$H$1201,Tabla213[[#Headers],[Neopestalotiopsis]], $G$4:$G$1201,Tabla213[[#This Row],[Organo]], $B$4:$B$1201,M19)</f>
        <v>5</v>
      </c>
      <c r="R19">
        <f>COUNTIFS($H$4:$H$1201,Tabla213[[#Headers],[Fusarium]], $G$4:$G$1201,Tabla213[[#This Row],[Organo]], $B$4:$B$1201,M19)</f>
        <v>0</v>
      </c>
      <c r="S19">
        <f>COUNTIFS($H$4:$H$1201,Tabla213[[#Headers],[Cylindrocarpon]], $G$4:$G$1201,Tabla213[[#This Row],[Organo]], $B$4:$B$1201,M19)</f>
        <v>0</v>
      </c>
      <c r="T19">
        <f>COUNTIFS($H$4:$H$1201,Tabla213[[#Headers],[Macrophomina]], $G$4:$G$1201,Tabla213[[#This Row],[Organo]], $B$4:$B$1201,M19)</f>
        <v>0</v>
      </c>
      <c r="U19">
        <f>COUNTIFS($H$4:$H$1201,Tabla213[[#Headers],[Rhizoctonia]], $G$4:$G$1201,Tabla213[[#This Row],[Organo]], $B$4:$B$1201,M19)</f>
        <v>0</v>
      </c>
      <c r="V19">
        <v>0</v>
      </c>
      <c r="W19">
        <f>COUNTIFS($H$4:$H$1201,Tabla213[[#Headers],[Alternaria]], $G$4:$G$1201,Tabla213[[#This Row],[Organo]], $B$4:$B$1201,M19)</f>
        <v>1</v>
      </c>
      <c r="X19">
        <f>COUNTIFS($H$4:$H$1201,Tabla213[[#Headers],[Botrytis]], $G$4:$G$1201,Tabla213[[#This Row],[Organo]], $B$4:$B$1201,M19)</f>
        <v>0</v>
      </c>
      <c r="Y19">
        <f>COUNTIFS($H$4:$H$1201,Tabla213[[#Headers],[Colletotrichum]], $G$4:$G$1201,Tabla213[[#This Row],[Organo]], $B$4:$B$1201,M19)</f>
        <v>0</v>
      </c>
      <c r="Z19">
        <f>COUNTIFS($H$4:$H$1201,Tabla213[[#Headers],[Aspergillus]], $G$4:$G$1201,Tabla213[[#This Row],[Organo]], $B$4:$B$1201,M19)</f>
        <v>0</v>
      </c>
      <c r="AA19">
        <f>COUNTIFS($H$4:$H$1201,Tabla213[[#Headers],[NO ID]], $G$4:$G$1201,Tabla213[[#This Row],[Organo]], $B$4:$B$1201,M19)</f>
        <v>0</v>
      </c>
      <c r="AB19">
        <f>COUNTIFS($H$4:$H$1201,Tabla213[[#Headers],[Trichoderma]], $G$4:$G$1201,Tabla213[[#This Row],[Organo]], $B$4:$B$1201,M19)</f>
        <v>0</v>
      </c>
      <c r="AC19">
        <f>COUNTIFS($H$4:$H$1201,Tabla213[[#Headers],[Rizophus]], $G$4:$G$1201,Tabla213[[#This Row],[Organo]], $B$4:$B$1201,M19)</f>
        <v>0</v>
      </c>
      <c r="AD19">
        <f>COUNTIFS($H$4:$H$1201,Tabla213[[#Headers],[FALTANTES]], $G$4:$G$1201,Tabla213[[#This Row],[Organo]], $B$4:$B$1201,M19)</f>
        <v>0</v>
      </c>
      <c r="AK19">
        <v>4.2</v>
      </c>
      <c r="AL19" t="s">
        <v>3</v>
      </c>
      <c r="AM19" t="s">
        <v>83</v>
      </c>
      <c r="AN19" t="s">
        <v>477</v>
      </c>
      <c r="BE19" t="s">
        <v>490</v>
      </c>
      <c r="BF19">
        <v>18</v>
      </c>
      <c r="BG19">
        <v>10</v>
      </c>
      <c r="BI19" t="s">
        <v>490</v>
      </c>
      <c r="BJ19">
        <v>18</v>
      </c>
      <c r="BK19">
        <v>10</v>
      </c>
    </row>
    <row r="20" spans="1:63" x14ac:dyDescent="0.2">
      <c r="A20" s="7">
        <v>16</v>
      </c>
      <c r="B20" s="7">
        <v>1.1000000000000001</v>
      </c>
      <c r="C20" s="1" t="str">
        <f t="shared" si="0"/>
        <v>EL PEJO 1</v>
      </c>
      <c r="D20" s="7" t="s">
        <v>127</v>
      </c>
      <c r="E20" s="1" t="str">
        <f t="shared" si="1"/>
        <v>SENSATION</v>
      </c>
      <c r="F20" s="7">
        <v>2</v>
      </c>
      <c r="G20" s="7" t="s">
        <v>477</v>
      </c>
      <c r="H20" s="7" t="s">
        <v>155</v>
      </c>
      <c r="I20" s="7" t="s">
        <v>223</v>
      </c>
      <c r="J20" s="7">
        <v>16</v>
      </c>
      <c r="K20" s="19" t="s">
        <v>638</v>
      </c>
      <c r="M20">
        <v>4.2</v>
      </c>
      <c r="N20" t="s">
        <v>654</v>
      </c>
      <c r="O20" t="s">
        <v>83</v>
      </c>
      <c r="P20" t="s">
        <v>477</v>
      </c>
      <c r="Q20">
        <f>COUNTIFS($H$4:$H$1201,Tabla213[[#Headers],[Neopestalotiopsis]], $G$4:$G$1201,Tabla213[[#This Row],[Organo]], $B$4:$B$1201,M20)</f>
        <v>1</v>
      </c>
      <c r="R20">
        <f>COUNTIFS($H$4:$H$1201,Tabla213[[#Headers],[Fusarium]], $G$4:$G$1201,Tabla213[[#This Row],[Organo]], $B$4:$B$1201,M20)</f>
        <v>3</v>
      </c>
      <c r="S20">
        <f>COUNTIFS($H$4:$H$1201,Tabla213[[#Headers],[Cylindrocarpon]], $G$4:$G$1201,Tabla213[[#This Row],[Organo]], $B$4:$B$1201,M20)</f>
        <v>0</v>
      </c>
      <c r="T20">
        <f>COUNTIFS($H$4:$H$1201,Tabla213[[#Headers],[Macrophomina]], $G$4:$G$1201,Tabla213[[#This Row],[Organo]], $B$4:$B$1201,M20)</f>
        <v>1</v>
      </c>
      <c r="U20">
        <f>COUNTIFS($H$4:$H$1201,Tabla213[[#Headers],[Rhizoctonia]], $G$4:$G$1201,Tabla213[[#This Row],[Organo]], $B$4:$B$1201,M20)</f>
        <v>0</v>
      </c>
      <c r="V20">
        <v>0</v>
      </c>
      <c r="W20">
        <f>COUNTIFS($H$4:$H$1201,Tabla213[[#Headers],[Alternaria]], $G$4:$G$1201,Tabla213[[#This Row],[Organo]], $B$4:$B$1201,M20)</f>
        <v>0</v>
      </c>
      <c r="X20">
        <f>COUNTIFS($H$4:$H$1201,Tabla213[[#Headers],[Botrytis]], $G$4:$G$1201,Tabla213[[#This Row],[Organo]], $B$4:$B$1201,M20)</f>
        <v>3</v>
      </c>
      <c r="Y20">
        <f>COUNTIFS($H$4:$H$1201,Tabla213[[#Headers],[Colletotrichum]], $G$4:$G$1201,Tabla213[[#This Row],[Organo]], $B$4:$B$1201,M20)</f>
        <v>0</v>
      </c>
      <c r="Z20">
        <f>COUNTIFS($H$4:$H$1201,Tabla213[[#Headers],[Aspergillus]], $G$4:$G$1201,Tabla213[[#This Row],[Organo]], $B$4:$B$1201,M20)</f>
        <v>0</v>
      </c>
      <c r="AA20">
        <f>COUNTIFS($H$4:$H$1201,Tabla213[[#Headers],[NO ID]], $G$4:$G$1201,Tabla213[[#This Row],[Organo]], $B$4:$B$1201,M20)</f>
        <v>2</v>
      </c>
      <c r="AB20">
        <f>COUNTIFS($H$4:$H$1201,Tabla213[[#Headers],[Trichoderma]], $G$4:$G$1201,Tabla213[[#This Row],[Organo]], $B$4:$B$1201,M20)</f>
        <v>0</v>
      </c>
      <c r="AC20">
        <f>COUNTIFS($H$4:$H$1201,Tabla213[[#Headers],[Rizophus]], $G$4:$G$1201,Tabla213[[#This Row],[Organo]], $B$4:$B$1201,M20)</f>
        <v>0</v>
      </c>
      <c r="AD20">
        <f>COUNTIFS($H$4:$H$1201,Tabla213[[#Headers],[FALTANTES]], $G$4:$G$1201,Tabla213[[#This Row],[Organo]], $B$4:$B$1201,M20)</f>
        <v>0</v>
      </c>
      <c r="AF20">
        <f t="shared" ref="AF20" si="14">SUM(Q19:AD20)</f>
        <v>16</v>
      </c>
      <c r="AG20">
        <f>COUNTIF($B$5:$B$1201, Tabla213[[#This Row],[Num. Parcela]])</f>
        <v>16</v>
      </c>
      <c r="AH20" t="b">
        <f t="shared" ref="AH20" si="15">IF(AF20=AG20, TRUE)</f>
        <v>1</v>
      </c>
      <c r="AK20">
        <v>4.2</v>
      </c>
      <c r="AL20" t="s">
        <v>3</v>
      </c>
      <c r="AM20" t="s">
        <v>83</v>
      </c>
      <c r="AN20" t="s">
        <v>476</v>
      </c>
      <c r="BE20" s="60" t="s">
        <v>475</v>
      </c>
      <c r="BF20">
        <v>9</v>
      </c>
      <c r="BG20">
        <v>20</v>
      </c>
      <c r="BI20" t="s">
        <v>475</v>
      </c>
      <c r="BJ20">
        <v>9</v>
      </c>
      <c r="BK20">
        <v>20</v>
      </c>
    </row>
    <row r="21" spans="1:63" x14ac:dyDescent="0.2">
      <c r="A21" s="7">
        <v>17</v>
      </c>
      <c r="B21" s="7">
        <v>1.1000000000000001</v>
      </c>
      <c r="C21" s="1" t="str">
        <f t="shared" si="0"/>
        <v>EL PEJO 1</v>
      </c>
      <c r="D21" s="7" t="s">
        <v>127</v>
      </c>
      <c r="E21" s="1" t="str">
        <f t="shared" si="1"/>
        <v>SENSATION</v>
      </c>
      <c r="F21" s="7">
        <v>2</v>
      </c>
      <c r="G21" s="7" t="s">
        <v>477</v>
      </c>
      <c r="H21" s="7" t="s">
        <v>155</v>
      </c>
      <c r="I21" s="7" t="s">
        <v>155</v>
      </c>
      <c r="J21" s="7">
        <v>17</v>
      </c>
      <c r="K21" s="7"/>
      <c r="M21">
        <v>4.3</v>
      </c>
      <c r="N21" t="s">
        <v>652</v>
      </c>
      <c r="O21" t="s">
        <v>122</v>
      </c>
      <c r="P21" t="s">
        <v>476</v>
      </c>
      <c r="Q21">
        <f>COUNTIFS($H$4:$H$1201,Tabla213[[#Headers],[Neopestalotiopsis]], $G$4:$G$1201,Tabla213[[#This Row],[Organo]], $B$4:$B$1201,M21)</f>
        <v>4</v>
      </c>
      <c r="R21">
        <f>COUNTIFS($H$4:$H$1201,Tabla213[[#Headers],[Fusarium]], $G$4:$G$1201,Tabla213[[#This Row],[Organo]], $B$4:$B$1201,M21)</f>
        <v>1</v>
      </c>
      <c r="S21">
        <f>COUNTIFS($H$4:$H$1201,Tabla213[[#Headers],[Cylindrocarpon]], $G$4:$G$1201,Tabla213[[#This Row],[Organo]], $B$4:$B$1201,M21)</f>
        <v>0</v>
      </c>
      <c r="T21">
        <f>COUNTIFS($H$4:$H$1201,Tabla213[[#Headers],[Macrophomina]], $G$4:$G$1201,Tabla213[[#This Row],[Organo]], $B$4:$B$1201,M21)</f>
        <v>0</v>
      </c>
      <c r="U21">
        <f>COUNTIFS($H$4:$H$1201,Tabla213[[#Headers],[Rhizoctonia]], $G$4:$G$1201,Tabla213[[#This Row],[Organo]], $B$4:$B$1201,M21)</f>
        <v>0</v>
      </c>
      <c r="V21">
        <v>0</v>
      </c>
      <c r="W21">
        <f>COUNTIFS($H$4:$H$1201,Tabla213[[#Headers],[Alternaria]], $G$4:$G$1201,Tabla213[[#This Row],[Organo]], $B$4:$B$1201,M21)</f>
        <v>0</v>
      </c>
      <c r="X21">
        <f>COUNTIFS($H$4:$H$1201,Tabla213[[#Headers],[Botrytis]], $G$4:$G$1201,Tabla213[[#This Row],[Organo]], $B$4:$B$1201,M21)</f>
        <v>1</v>
      </c>
      <c r="Y21">
        <f>COUNTIFS($H$4:$H$1201,Tabla213[[#Headers],[Colletotrichum]], $G$4:$G$1201,Tabla213[[#This Row],[Organo]], $B$4:$B$1201,M21)</f>
        <v>0</v>
      </c>
      <c r="Z21">
        <f>COUNTIFS($H$4:$H$1201,Tabla213[[#Headers],[Aspergillus]], $G$4:$G$1201,Tabla213[[#This Row],[Organo]], $B$4:$B$1201,M21)</f>
        <v>0</v>
      </c>
      <c r="AA21">
        <f>COUNTIFS($H$4:$H$1201,Tabla213[[#Headers],[NO ID]], $G$4:$G$1201,Tabla213[[#This Row],[Organo]], $B$4:$B$1201,M21)</f>
        <v>0</v>
      </c>
      <c r="AB21">
        <f>COUNTIFS($H$4:$H$1201,Tabla213[[#Headers],[Trichoderma]], $G$4:$G$1201,Tabla213[[#This Row],[Organo]], $B$4:$B$1201,M21)</f>
        <v>0</v>
      </c>
      <c r="AC21">
        <f>COUNTIFS($H$4:$H$1201,Tabla213[[#Headers],[Rizophus]], $G$4:$G$1201,Tabla213[[#This Row],[Organo]], $B$4:$B$1201,M21)</f>
        <v>0</v>
      </c>
      <c r="AD21">
        <f>COUNTIFS($H$4:$H$1201,Tabla213[[#Headers],[FALTANTES]], $G$4:$G$1201,Tabla213[[#This Row],[Organo]], $B$4:$B$1201,M21)</f>
        <v>0</v>
      </c>
      <c r="AK21">
        <v>4.3</v>
      </c>
      <c r="AL21" t="s">
        <v>3</v>
      </c>
      <c r="AM21" t="s">
        <v>122</v>
      </c>
      <c r="AN21" t="s">
        <v>477</v>
      </c>
      <c r="BE21" s="60" t="s">
        <v>754</v>
      </c>
      <c r="BF21">
        <v>10</v>
      </c>
      <c r="BG21">
        <v>29</v>
      </c>
      <c r="BI21" t="s">
        <v>753</v>
      </c>
      <c r="BJ21">
        <v>10</v>
      </c>
      <c r="BK21">
        <v>29</v>
      </c>
    </row>
    <row r="22" spans="1:63" x14ac:dyDescent="0.2">
      <c r="A22" s="7">
        <v>18</v>
      </c>
      <c r="B22" s="7">
        <v>1.1000000000000001</v>
      </c>
      <c r="C22" s="1" t="str">
        <f t="shared" si="0"/>
        <v>EL PEJO 1</v>
      </c>
      <c r="D22" s="7" t="s">
        <v>127</v>
      </c>
      <c r="E22" s="1" t="str">
        <f t="shared" si="1"/>
        <v>SENSATION</v>
      </c>
      <c r="F22" s="7">
        <v>1</v>
      </c>
      <c r="G22" s="7" t="s">
        <v>481</v>
      </c>
      <c r="H22" s="7" t="s">
        <v>228</v>
      </c>
      <c r="I22" s="9" t="s">
        <v>482</v>
      </c>
      <c r="J22" s="9">
        <v>18</v>
      </c>
      <c r="K22" s="7"/>
      <c r="M22">
        <v>4.3</v>
      </c>
      <c r="N22" t="s">
        <v>652</v>
      </c>
      <c r="O22" t="s">
        <v>122</v>
      </c>
      <c r="P22" t="s">
        <v>477</v>
      </c>
      <c r="Q22">
        <f>COUNTIFS($H$4:$H$1201,Tabla213[[#Headers],[Neopestalotiopsis]], $G$4:$G$1201,Tabla213[[#This Row],[Organo]], $B$4:$B$1201,M22)</f>
        <v>0</v>
      </c>
      <c r="R22">
        <f>COUNTIFS($H$4:$H$1201,Tabla213[[#Headers],[Fusarium]], $G$4:$G$1201,Tabla213[[#This Row],[Organo]], $B$4:$B$1201,M22)</f>
        <v>6</v>
      </c>
      <c r="S22">
        <f>COUNTIFS($H$4:$H$1201,Tabla213[[#Headers],[Cylindrocarpon]], $G$4:$G$1201,Tabla213[[#This Row],[Organo]], $B$4:$B$1201,M22)</f>
        <v>0</v>
      </c>
      <c r="T22">
        <f>COUNTIFS($H$4:$H$1201,Tabla213[[#Headers],[Macrophomina]], $G$4:$G$1201,Tabla213[[#This Row],[Organo]], $B$4:$B$1201,M22)</f>
        <v>0</v>
      </c>
      <c r="U22">
        <f>COUNTIFS($H$4:$H$1201,Tabla213[[#Headers],[Rhizoctonia]], $G$4:$G$1201,Tabla213[[#This Row],[Organo]], $B$4:$B$1201,M22)</f>
        <v>0</v>
      </c>
      <c r="V22">
        <v>0</v>
      </c>
      <c r="W22">
        <f>COUNTIFS($H$4:$H$1201,Tabla213[[#Headers],[Alternaria]], $G$4:$G$1201,Tabla213[[#This Row],[Organo]], $B$4:$B$1201,M22)</f>
        <v>0</v>
      </c>
      <c r="X22">
        <f>COUNTIFS($H$4:$H$1201,Tabla213[[#Headers],[Botrytis]], $G$4:$G$1201,Tabla213[[#This Row],[Organo]], $B$4:$B$1201,M22)</f>
        <v>1</v>
      </c>
      <c r="Y22">
        <f>COUNTIFS($H$4:$H$1201,Tabla213[[#Headers],[Colletotrichum]], $G$4:$G$1201,Tabla213[[#This Row],[Organo]], $B$4:$B$1201,M22)</f>
        <v>0</v>
      </c>
      <c r="Z22">
        <f>COUNTIFS($H$4:$H$1201,Tabla213[[#Headers],[Aspergillus]], $G$4:$G$1201,Tabla213[[#This Row],[Organo]], $B$4:$B$1201,M22)</f>
        <v>0</v>
      </c>
      <c r="AA22">
        <f>COUNTIFS($H$4:$H$1201,Tabla213[[#Headers],[NO ID]], $G$4:$G$1201,Tabla213[[#This Row],[Organo]], $B$4:$B$1201,M22)</f>
        <v>0</v>
      </c>
      <c r="AB22">
        <f>COUNTIFS($H$4:$H$1201,Tabla213[[#Headers],[Trichoderma]], $G$4:$G$1201,Tabla213[[#This Row],[Organo]], $B$4:$B$1201,M22)</f>
        <v>0</v>
      </c>
      <c r="AC22">
        <f>COUNTIFS($H$4:$H$1201,Tabla213[[#Headers],[Rizophus]], $G$4:$G$1201,Tabla213[[#This Row],[Organo]], $B$4:$B$1201,M22)</f>
        <v>0</v>
      </c>
      <c r="AD22">
        <f>COUNTIFS($H$4:$H$1201,Tabla213[[#Headers],[FALTANTES]], $G$4:$G$1201,Tabla213[[#This Row],[Organo]], $B$4:$B$1201,M22)</f>
        <v>0</v>
      </c>
      <c r="AF22">
        <f t="shared" ref="AF22" si="16">SUM(Q21:AD22)</f>
        <v>13</v>
      </c>
      <c r="AG22">
        <f>COUNTIF($B$5:$B$1201, Tabla213[[#This Row],[Num. Parcela]])</f>
        <v>13</v>
      </c>
      <c r="AH22" t="b">
        <f t="shared" ref="AH22" si="17">IF(AF22=AG22, TRUE)</f>
        <v>1</v>
      </c>
      <c r="AK22">
        <v>4.3</v>
      </c>
      <c r="AL22" t="s">
        <v>3</v>
      </c>
      <c r="AM22" t="s">
        <v>122</v>
      </c>
      <c r="AN22" t="s">
        <v>476</v>
      </c>
      <c r="BE22" s="60" t="s">
        <v>228</v>
      </c>
      <c r="BF22">
        <v>11</v>
      </c>
      <c r="BG22">
        <v>49</v>
      </c>
      <c r="BI22" t="s">
        <v>228</v>
      </c>
      <c r="BJ22">
        <v>11</v>
      </c>
      <c r="BK22">
        <v>49</v>
      </c>
    </row>
    <row r="23" spans="1:63" x14ac:dyDescent="0.2">
      <c r="A23" s="7">
        <v>19</v>
      </c>
      <c r="B23" s="7">
        <v>1.1000000000000001</v>
      </c>
      <c r="C23" s="1" t="str">
        <f t="shared" si="0"/>
        <v>EL PEJO 1</v>
      </c>
      <c r="D23" s="7" t="s">
        <v>127</v>
      </c>
      <c r="E23" s="1" t="str">
        <f t="shared" si="1"/>
        <v>SENSATION</v>
      </c>
      <c r="F23" s="7">
        <v>1</v>
      </c>
      <c r="G23" s="7" t="s">
        <v>481</v>
      </c>
      <c r="H23" s="7" t="s">
        <v>228</v>
      </c>
      <c r="I23" s="9" t="s">
        <v>482</v>
      </c>
      <c r="J23" s="9">
        <v>19</v>
      </c>
      <c r="K23" s="7"/>
      <c r="M23">
        <v>5.0999999999999996</v>
      </c>
      <c r="N23" t="s">
        <v>655</v>
      </c>
      <c r="O23" t="s">
        <v>116</v>
      </c>
      <c r="P23" t="s">
        <v>476</v>
      </c>
      <c r="Q23">
        <f>COUNTIFS($H$4:$H$1201,Tabla213[[#Headers],[Neopestalotiopsis]], $G$4:$G$1201,Tabla213[[#This Row],[Organo]], $B$4:$B$1201,M23)</f>
        <v>4</v>
      </c>
      <c r="R23">
        <f>COUNTIFS($H$4:$H$1201,Tabla213[[#Headers],[Fusarium]], $G$4:$G$1201,Tabla213[[#This Row],[Organo]], $B$4:$B$1201,M23)</f>
        <v>1</v>
      </c>
      <c r="S23">
        <f>COUNTIFS($H$4:$H$1201,Tabla213[[#Headers],[Cylindrocarpon]], $G$4:$G$1201,Tabla213[[#This Row],[Organo]], $B$4:$B$1201,M23)</f>
        <v>0</v>
      </c>
      <c r="T23">
        <f>COUNTIFS($H$4:$H$1201,Tabla213[[#Headers],[Macrophomina]], $G$4:$G$1201,Tabla213[[#This Row],[Organo]], $B$4:$B$1201,M23)</f>
        <v>0</v>
      </c>
      <c r="U23">
        <f>COUNTIFS($H$4:$H$1201,Tabla213[[#Headers],[Rhizoctonia]], $G$4:$G$1201,Tabla213[[#This Row],[Organo]], $B$4:$B$1201,M23)</f>
        <v>0</v>
      </c>
      <c r="V23">
        <v>0</v>
      </c>
      <c r="W23">
        <f>COUNTIFS($H$4:$H$1201,Tabla213[[#Headers],[Alternaria]], $G$4:$G$1201,Tabla213[[#This Row],[Organo]], $B$4:$B$1201,M23)</f>
        <v>0</v>
      </c>
      <c r="X23">
        <f>COUNTIFS($H$4:$H$1201,Tabla213[[#Headers],[Botrytis]], $G$4:$G$1201,Tabla213[[#This Row],[Organo]], $B$4:$B$1201,M23)</f>
        <v>0</v>
      </c>
      <c r="Y23">
        <f>COUNTIFS($H$4:$H$1201,Tabla213[[#Headers],[Colletotrichum]], $G$4:$G$1201,Tabla213[[#This Row],[Organo]], $B$4:$B$1201,M23)</f>
        <v>0</v>
      </c>
      <c r="Z23">
        <f>COUNTIFS($H$4:$H$1201,Tabla213[[#Headers],[Aspergillus]], $G$4:$G$1201,Tabla213[[#This Row],[Organo]], $B$4:$B$1201,M23)</f>
        <v>0</v>
      </c>
      <c r="AA23">
        <f>COUNTIFS($H$4:$H$1201,Tabla213[[#Headers],[NO ID]], $G$4:$G$1201,Tabla213[[#This Row],[Organo]], $B$4:$B$1201,M23)</f>
        <v>0</v>
      </c>
      <c r="AB23">
        <f>COUNTIFS($H$4:$H$1201,Tabla213[[#Headers],[Trichoderma]], $G$4:$G$1201,Tabla213[[#This Row],[Organo]], $B$4:$B$1201,M23)</f>
        <v>0</v>
      </c>
      <c r="AC23">
        <f>COUNTIFS($H$4:$H$1201,Tabla213[[#Headers],[Rizophus]], $G$4:$G$1201,Tabla213[[#This Row],[Organo]], $B$4:$B$1201,M23)</f>
        <v>0</v>
      </c>
      <c r="AD23">
        <f>COUNTIFS($H$4:$H$1201,Tabla213[[#Headers],[FALTANTES]], $G$4:$G$1201,Tabla213[[#This Row],[Organo]], $B$4:$B$1201,M23)</f>
        <v>0</v>
      </c>
      <c r="AK23">
        <v>5.0999999999999996</v>
      </c>
      <c r="AL23" t="s">
        <v>4</v>
      </c>
      <c r="AM23" t="s">
        <v>116</v>
      </c>
      <c r="AN23" t="s">
        <v>477</v>
      </c>
      <c r="BE23" t="s">
        <v>485</v>
      </c>
      <c r="BF23">
        <v>20</v>
      </c>
      <c r="BG23">
        <v>57</v>
      </c>
      <c r="BI23" t="s">
        <v>485</v>
      </c>
      <c r="BJ23">
        <v>20</v>
      </c>
      <c r="BK23">
        <v>57</v>
      </c>
    </row>
    <row r="24" spans="1:63" x14ac:dyDescent="0.2">
      <c r="A24" s="7">
        <v>20</v>
      </c>
      <c r="B24" s="7">
        <v>1.1000000000000001</v>
      </c>
      <c r="C24" s="1" t="str">
        <f t="shared" si="0"/>
        <v>EL PEJO 1</v>
      </c>
      <c r="D24" s="7" t="s">
        <v>127</v>
      </c>
      <c r="E24" s="1" t="str">
        <f t="shared" si="1"/>
        <v>SENSATION</v>
      </c>
      <c r="F24" s="7">
        <v>1</v>
      </c>
      <c r="G24" s="7" t="s">
        <v>481</v>
      </c>
      <c r="H24" s="7" t="s">
        <v>228</v>
      </c>
      <c r="I24" s="9" t="s">
        <v>482</v>
      </c>
      <c r="J24" s="9">
        <v>20</v>
      </c>
      <c r="K24" s="7"/>
      <c r="M24">
        <v>5.0999999999999996</v>
      </c>
      <c r="N24" t="s">
        <v>655</v>
      </c>
      <c r="O24" t="s">
        <v>116</v>
      </c>
      <c r="P24" t="s">
        <v>477</v>
      </c>
      <c r="Q24">
        <f>COUNTIFS($H$4:$H$1201,Tabla213[[#Headers],[Neopestalotiopsis]], $G$4:$G$1201,Tabla213[[#This Row],[Organo]], $B$4:$B$1201,M24)</f>
        <v>5</v>
      </c>
      <c r="R24">
        <f>COUNTIFS($H$4:$H$1201,Tabla213[[#Headers],[Fusarium]], $G$4:$G$1201,Tabla213[[#This Row],[Organo]], $B$4:$B$1201,M24)</f>
        <v>5</v>
      </c>
      <c r="S24">
        <f>COUNTIFS($H$4:$H$1201,Tabla213[[#Headers],[Cylindrocarpon]], $G$4:$G$1201,Tabla213[[#This Row],[Organo]], $B$4:$B$1201,M24)</f>
        <v>1</v>
      </c>
      <c r="T24">
        <f>COUNTIFS($H$4:$H$1201,Tabla213[[#Headers],[Macrophomina]], $G$4:$G$1201,Tabla213[[#This Row],[Organo]], $B$4:$B$1201,M24)</f>
        <v>0</v>
      </c>
      <c r="U24">
        <f>COUNTIFS($H$4:$H$1201,Tabla213[[#Headers],[Rhizoctonia]], $G$4:$G$1201,Tabla213[[#This Row],[Organo]], $B$4:$B$1201,M24)</f>
        <v>0</v>
      </c>
      <c r="V24">
        <v>1</v>
      </c>
      <c r="W24">
        <f>COUNTIFS($H$4:$H$1201,Tabla213[[#Headers],[Alternaria]], $G$4:$G$1201,Tabla213[[#This Row],[Organo]], $B$4:$B$1201,M24)</f>
        <v>1</v>
      </c>
      <c r="X24">
        <f>COUNTIFS($H$4:$H$1201,Tabla213[[#Headers],[Botrytis]], $G$4:$G$1201,Tabla213[[#This Row],[Organo]], $B$4:$B$1201,M24)</f>
        <v>0</v>
      </c>
      <c r="Y24">
        <f>COUNTIFS($H$4:$H$1201,Tabla213[[#Headers],[Colletotrichum]], $G$4:$G$1201,Tabla213[[#This Row],[Organo]], $B$4:$B$1201,M24)</f>
        <v>0</v>
      </c>
      <c r="Z24">
        <f>COUNTIFS($H$4:$H$1201,Tabla213[[#Headers],[Aspergillus]], $G$4:$G$1201,Tabla213[[#This Row],[Organo]], $B$4:$B$1201,M24)</f>
        <v>0</v>
      </c>
      <c r="AA24">
        <f>COUNTIFS($H$4:$H$1201,Tabla213[[#Headers],[NO ID]], $G$4:$G$1201,Tabla213[[#This Row],[Organo]], $B$4:$B$1201,M24)</f>
        <v>0</v>
      </c>
      <c r="AB24">
        <f>COUNTIFS($H$4:$H$1201,Tabla213[[#Headers],[Trichoderma]], $G$4:$G$1201,Tabla213[[#This Row],[Organo]], $B$4:$B$1201,M24)</f>
        <v>0</v>
      </c>
      <c r="AC24">
        <f>COUNTIFS($H$4:$H$1201,Tabla213[[#Headers],[Rizophus]], $G$4:$G$1201,Tabla213[[#This Row],[Organo]], $B$4:$B$1201,M24)</f>
        <v>0</v>
      </c>
      <c r="AD24">
        <f>COUNTIFS($H$4:$H$1201,Tabla213[[#Headers],[FALTANTES]], $G$4:$G$1201,Tabla213[[#This Row],[Organo]], $B$4:$B$1201,M24)</f>
        <v>0</v>
      </c>
      <c r="AF24">
        <f t="shared" ref="AF24" si="18">SUM(Q23:AD24)</f>
        <v>18</v>
      </c>
      <c r="AG24">
        <f>COUNTIF($B$5:$B$1201, Tabla213[[#This Row],[Num. Parcela]])</f>
        <v>21</v>
      </c>
      <c r="AH24" t="b">
        <f t="shared" ref="AH24" si="19">IF(AF24=AG24, TRUE)</f>
        <v>0</v>
      </c>
      <c r="AK24">
        <v>5.0999999999999996</v>
      </c>
      <c r="AL24" t="s">
        <v>4</v>
      </c>
      <c r="AM24" t="s">
        <v>116</v>
      </c>
      <c r="AN24" t="s">
        <v>476</v>
      </c>
      <c r="BE24" s="60" t="s">
        <v>471</v>
      </c>
      <c r="BF24">
        <v>9</v>
      </c>
      <c r="BG24">
        <v>66</v>
      </c>
      <c r="BI24" t="s">
        <v>471</v>
      </c>
      <c r="BJ24">
        <v>9</v>
      </c>
      <c r="BK24">
        <v>66</v>
      </c>
    </row>
    <row r="25" spans="1:63" x14ac:dyDescent="0.2">
      <c r="A25" s="7">
        <v>21</v>
      </c>
      <c r="B25" s="7">
        <v>1.1000000000000001</v>
      </c>
      <c r="C25" s="1" t="str">
        <f t="shared" si="0"/>
        <v>EL PEJO 1</v>
      </c>
      <c r="D25" s="7" t="s">
        <v>127</v>
      </c>
      <c r="E25" s="1" t="str">
        <f t="shared" si="1"/>
        <v>SENSATION</v>
      </c>
      <c r="F25" s="7">
        <v>1</v>
      </c>
      <c r="G25" s="7" t="s">
        <v>481</v>
      </c>
      <c r="H25" s="7" t="s">
        <v>228</v>
      </c>
      <c r="I25" s="9" t="s">
        <v>482</v>
      </c>
      <c r="J25" s="9">
        <v>21</v>
      </c>
      <c r="K25" s="7"/>
      <c r="M25">
        <v>5.2</v>
      </c>
      <c r="N25" t="s">
        <v>656</v>
      </c>
      <c r="O25" t="s">
        <v>111</v>
      </c>
      <c r="P25" t="s">
        <v>476</v>
      </c>
      <c r="Q25">
        <f>COUNTIFS($H$4:$H$1201,Tabla213[[#Headers],[Neopestalotiopsis]], $G$4:$G$1201,Tabla213[[#This Row],[Organo]], $B$4:$B$1201,M25)</f>
        <v>3</v>
      </c>
      <c r="R25">
        <f>COUNTIFS($H$4:$H$1201,Tabla213[[#Headers],[Fusarium]], $G$4:$G$1201,Tabla213[[#This Row],[Organo]], $B$4:$B$1201,M25)</f>
        <v>0</v>
      </c>
      <c r="S25">
        <f>COUNTIFS($H$4:$H$1201,Tabla213[[#Headers],[Cylindrocarpon]], $G$4:$G$1201,Tabla213[[#This Row],[Organo]], $B$4:$B$1201,M25)</f>
        <v>0</v>
      </c>
      <c r="T25">
        <f>COUNTIFS($H$4:$H$1201,Tabla213[[#Headers],[Macrophomina]], $G$4:$G$1201,Tabla213[[#This Row],[Organo]], $B$4:$B$1201,M25)</f>
        <v>0</v>
      </c>
      <c r="U25">
        <f>COUNTIFS($H$4:$H$1201,Tabla213[[#Headers],[Rhizoctonia]], $G$4:$G$1201,Tabla213[[#This Row],[Organo]], $B$4:$B$1201,M25)</f>
        <v>0</v>
      </c>
      <c r="V25">
        <v>0</v>
      </c>
      <c r="W25">
        <f>COUNTIFS($H$4:$H$1201,Tabla213[[#Headers],[Alternaria]], $G$4:$G$1201,Tabla213[[#This Row],[Organo]], $B$4:$B$1201,M25)</f>
        <v>0</v>
      </c>
      <c r="X25">
        <f>COUNTIFS($H$4:$H$1201,Tabla213[[#Headers],[Botrytis]], $G$4:$G$1201,Tabla213[[#This Row],[Organo]], $B$4:$B$1201,M25)</f>
        <v>0</v>
      </c>
      <c r="Y25">
        <f>COUNTIFS($H$4:$H$1201,Tabla213[[#Headers],[Colletotrichum]], $G$4:$G$1201,Tabla213[[#This Row],[Organo]], $B$4:$B$1201,M25)</f>
        <v>0</v>
      </c>
      <c r="Z25">
        <f>COUNTIFS($H$4:$H$1201,Tabla213[[#Headers],[Aspergillus]], $G$4:$G$1201,Tabla213[[#This Row],[Organo]], $B$4:$B$1201,M25)</f>
        <v>0</v>
      </c>
      <c r="AA25">
        <f>COUNTIFS($H$4:$H$1201,Tabla213[[#Headers],[NO ID]], $G$4:$G$1201,Tabla213[[#This Row],[Organo]], $B$4:$B$1201,M25)</f>
        <v>0</v>
      </c>
      <c r="AB25">
        <f>COUNTIFS($H$4:$H$1201,Tabla213[[#Headers],[Trichoderma]], $G$4:$G$1201,Tabla213[[#This Row],[Organo]], $B$4:$B$1201,M25)</f>
        <v>0</v>
      </c>
      <c r="AC25">
        <f>COUNTIFS($H$4:$H$1201,Tabla213[[#Headers],[Rizophus]], $G$4:$G$1201,Tabla213[[#This Row],[Organo]], $B$4:$B$1201,M25)</f>
        <v>0</v>
      </c>
      <c r="AD25">
        <f>COUNTIFS($H$4:$H$1201,Tabla213[[#Headers],[FALTANTES]], $G$4:$G$1201,Tabla213[[#This Row],[Organo]], $B$4:$B$1201,M25)</f>
        <v>0</v>
      </c>
      <c r="AK25">
        <v>5.2</v>
      </c>
      <c r="AL25" t="s">
        <v>4</v>
      </c>
      <c r="AM25" t="s">
        <v>111</v>
      </c>
      <c r="AN25" t="s">
        <v>477</v>
      </c>
      <c r="BE25" s="60" t="s">
        <v>473</v>
      </c>
      <c r="BF25">
        <v>15</v>
      </c>
      <c r="BG25">
        <v>85</v>
      </c>
      <c r="BI25" t="s">
        <v>473</v>
      </c>
      <c r="BJ25">
        <v>15</v>
      </c>
      <c r="BK25">
        <v>85</v>
      </c>
    </row>
    <row r="26" spans="1:63" x14ac:dyDescent="0.2">
      <c r="A26" s="7">
        <v>22</v>
      </c>
      <c r="B26" s="7">
        <v>1.1000000000000001</v>
      </c>
      <c r="C26" s="1" t="str">
        <f t="shared" si="0"/>
        <v>EL PEJO 1</v>
      </c>
      <c r="D26" s="7" t="s">
        <v>127</v>
      </c>
      <c r="E26" s="1" t="str">
        <f t="shared" si="1"/>
        <v>SENSATION</v>
      </c>
      <c r="F26" s="7">
        <v>1</v>
      </c>
      <c r="G26" s="7" t="s">
        <v>481</v>
      </c>
      <c r="H26" s="7" t="s">
        <v>228</v>
      </c>
      <c r="I26" s="9" t="s">
        <v>482</v>
      </c>
      <c r="J26" s="9">
        <v>22</v>
      </c>
      <c r="K26" s="7"/>
      <c r="M26">
        <v>5.2</v>
      </c>
      <c r="N26" t="s">
        <v>656</v>
      </c>
      <c r="O26" t="s">
        <v>111</v>
      </c>
      <c r="P26" t="s">
        <v>477</v>
      </c>
      <c r="Q26">
        <f>COUNTIFS($H$4:$H$1201,Tabla213[[#Headers],[Neopestalotiopsis]], $G$4:$G$1201,Tabla213[[#This Row],[Organo]], $B$4:$B$1201,M26)</f>
        <v>0</v>
      </c>
      <c r="R26">
        <f>COUNTIFS($H$4:$H$1201,Tabla213[[#Headers],[Fusarium]], $G$4:$G$1201,Tabla213[[#This Row],[Organo]], $B$4:$B$1201,M26)</f>
        <v>2</v>
      </c>
      <c r="S26">
        <f>COUNTIFS($H$4:$H$1201,Tabla213[[#Headers],[Cylindrocarpon]], $G$4:$G$1201,Tabla213[[#This Row],[Organo]], $B$4:$B$1201,M26)</f>
        <v>0</v>
      </c>
      <c r="T26">
        <f>COUNTIFS($H$4:$H$1201,Tabla213[[#Headers],[Macrophomina]], $G$4:$G$1201,Tabla213[[#This Row],[Organo]], $B$4:$B$1201,M26)</f>
        <v>0</v>
      </c>
      <c r="U26">
        <f>COUNTIFS($H$4:$H$1201,Tabla213[[#Headers],[Rhizoctonia]], $G$4:$G$1201,Tabla213[[#This Row],[Organo]], $B$4:$B$1201,M26)</f>
        <v>0</v>
      </c>
      <c r="V26">
        <v>0</v>
      </c>
      <c r="W26">
        <f>COUNTIFS($H$4:$H$1201,Tabla213[[#Headers],[Alternaria]], $G$4:$G$1201,Tabla213[[#This Row],[Organo]], $B$4:$B$1201,M26)</f>
        <v>0</v>
      </c>
      <c r="X26">
        <f>COUNTIFS($H$4:$H$1201,Tabla213[[#Headers],[Botrytis]], $G$4:$G$1201,Tabla213[[#This Row],[Organo]], $B$4:$B$1201,M26)</f>
        <v>0</v>
      </c>
      <c r="Y26">
        <f>COUNTIFS($H$4:$H$1201,Tabla213[[#Headers],[Colletotrichum]], $G$4:$G$1201,Tabla213[[#This Row],[Organo]], $B$4:$B$1201,M26)</f>
        <v>0</v>
      </c>
      <c r="Z26">
        <f>COUNTIFS($H$4:$H$1201,Tabla213[[#Headers],[Aspergillus]], $G$4:$G$1201,Tabla213[[#This Row],[Organo]], $B$4:$B$1201,M26)</f>
        <v>0</v>
      </c>
      <c r="AA26">
        <f>COUNTIFS($H$4:$H$1201,Tabla213[[#Headers],[NO ID]], $G$4:$G$1201,Tabla213[[#This Row],[Organo]], $B$4:$B$1201,M26)</f>
        <v>0</v>
      </c>
      <c r="AB26">
        <f>COUNTIFS($H$4:$H$1201,Tabla213[[#Headers],[Trichoderma]], $G$4:$G$1201,Tabla213[[#This Row],[Organo]], $B$4:$B$1201,M26)</f>
        <v>0</v>
      </c>
      <c r="AC26">
        <f>COUNTIFS($H$4:$H$1201,Tabla213[[#Headers],[Rizophus]], $G$4:$G$1201,Tabla213[[#This Row],[Organo]], $B$4:$B$1201,M26)</f>
        <v>0</v>
      </c>
      <c r="AD26">
        <f>COUNTIFS($H$4:$H$1201,Tabla213[[#Headers],[FALTANTES]], $G$4:$G$1201,Tabla213[[#This Row],[Organo]], $B$4:$B$1201,M26)</f>
        <v>0</v>
      </c>
      <c r="AF26">
        <f t="shared" ref="AF26" si="20">SUM(Q25:AD26)</f>
        <v>5</v>
      </c>
      <c r="AG26">
        <f>COUNTIF($B$5:$B$1201, Tabla213[[#This Row],[Num. Parcela]])</f>
        <v>5</v>
      </c>
      <c r="AH26" t="b">
        <f t="shared" ref="AH26" si="21">IF(AF26=AG26, TRUE)</f>
        <v>1</v>
      </c>
      <c r="AK26">
        <v>5.2</v>
      </c>
      <c r="AL26" t="s">
        <v>4</v>
      </c>
      <c r="AM26" t="s">
        <v>111</v>
      </c>
      <c r="AN26" t="s">
        <v>476</v>
      </c>
      <c r="BE26" s="60" t="s">
        <v>155</v>
      </c>
      <c r="BF26">
        <v>209</v>
      </c>
      <c r="BG26">
        <v>138</v>
      </c>
      <c r="BI26" t="s">
        <v>155</v>
      </c>
      <c r="BJ26">
        <v>209</v>
      </c>
      <c r="BK26">
        <v>138</v>
      </c>
    </row>
    <row r="27" spans="1:63" x14ac:dyDescent="0.2">
      <c r="A27" s="7">
        <v>23</v>
      </c>
      <c r="B27" s="7">
        <v>1.1000000000000001</v>
      </c>
      <c r="C27" s="1" t="str">
        <f t="shared" si="0"/>
        <v>EL PEJO 1</v>
      </c>
      <c r="D27" s="7" t="s">
        <v>127</v>
      </c>
      <c r="E27" s="1" t="str">
        <f t="shared" si="1"/>
        <v>SENSATION</v>
      </c>
      <c r="F27" s="7">
        <v>1</v>
      </c>
      <c r="G27" s="7" t="s">
        <v>483</v>
      </c>
      <c r="H27" s="7" t="s">
        <v>228</v>
      </c>
      <c r="I27" s="9" t="s">
        <v>482</v>
      </c>
      <c r="J27" s="9">
        <v>23</v>
      </c>
      <c r="K27" s="7"/>
      <c r="M27">
        <v>6</v>
      </c>
      <c r="N27" t="s">
        <v>5</v>
      </c>
      <c r="O27" t="s">
        <v>109</v>
      </c>
      <c r="P27" t="s">
        <v>476</v>
      </c>
      <c r="Q27">
        <f>COUNTIFS($H$4:$H$1201,Tabla213[[#Headers],[Neopestalotiopsis]], $G$4:$G$1201,Tabla213[[#This Row],[Organo]], $B$4:$B$1201,M27)</f>
        <v>3</v>
      </c>
      <c r="R27">
        <f>COUNTIFS($H$4:$H$1201,Tabla213[[#Headers],[Fusarium]], $G$4:$G$1201,Tabla213[[#This Row],[Organo]], $B$4:$B$1201,M27)</f>
        <v>4</v>
      </c>
      <c r="S27">
        <f>COUNTIFS($H$4:$H$1201,Tabla213[[#Headers],[Cylindrocarpon]], $G$4:$G$1201,Tabla213[[#This Row],[Organo]], $B$4:$B$1201,M27)</f>
        <v>0</v>
      </c>
      <c r="T27">
        <f>COUNTIFS($H$4:$H$1201,Tabla213[[#Headers],[Macrophomina]], $G$4:$G$1201,Tabla213[[#This Row],[Organo]], $B$4:$B$1201,M27)</f>
        <v>0</v>
      </c>
      <c r="U27">
        <f>COUNTIFS($H$4:$H$1201,Tabla213[[#Headers],[Rhizoctonia]], $G$4:$G$1201,Tabla213[[#This Row],[Organo]], $B$4:$B$1201,M27)</f>
        <v>0</v>
      </c>
      <c r="V27">
        <v>0</v>
      </c>
      <c r="W27">
        <f>COUNTIFS($H$4:$H$1201,Tabla213[[#Headers],[Alternaria]], $G$4:$G$1201,Tabla213[[#This Row],[Organo]], $B$4:$B$1201,M27)</f>
        <v>0</v>
      </c>
      <c r="X27">
        <f>COUNTIFS($H$4:$H$1201,Tabla213[[#Headers],[Botrytis]], $G$4:$G$1201,Tabla213[[#This Row],[Organo]], $B$4:$B$1201,M27)</f>
        <v>2</v>
      </c>
      <c r="Y27">
        <f>COUNTIFS($H$4:$H$1201,Tabla213[[#Headers],[Colletotrichum]], $G$4:$G$1201,Tabla213[[#This Row],[Organo]], $B$4:$B$1201,M27)</f>
        <v>0</v>
      </c>
      <c r="Z27">
        <f>COUNTIFS($H$4:$H$1201,Tabla213[[#Headers],[Aspergillus]], $G$4:$G$1201,Tabla213[[#This Row],[Organo]], $B$4:$B$1201,M27)</f>
        <v>0</v>
      </c>
      <c r="AA27">
        <f>COUNTIFS($H$4:$H$1201,Tabla213[[#Headers],[NO ID]], $G$4:$G$1201,Tabla213[[#This Row],[Organo]], $B$4:$B$1201,M27)</f>
        <v>0</v>
      </c>
      <c r="AB27">
        <f>COUNTIFS($H$4:$H$1201,Tabla213[[#Headers],[Trichoderma]], $G$4:$G$1201,Tabla213[[#This Row],[Organo]], $B$4:$B$1201,M27)</f>
        <v>0</v>
      </c>
      <c r="AC27">
        <f>COUNTIFS($H$4:$H$1201,Tabla213[[#Headers],[Rizophus]], $G$4:$G$1201,Tabla213[[#This Row],[Organo]], $B$4:$B$1201,M27)</f>
        <v>0</v>
      </c>
      <c r="AD27">
        <f>COUNTIFS($H$4:$H$1201,Tabla213[[#Headers],[FALTANTES]], $G$4:$G$1201,Tabla213[[#This Row],[Organo]], $B$4:$B$1201,M27)</f>
        <v>0</v>
      </c>
      <c r="AK27">
        <v>6</v>
      </c>
      <c r="AL27" t="s">
        <v>5</v>
      </c>
      <c r="AM27" t="s">
        <v>109</v>
      </c>
      <c r="AN27" t="s">
        <v>477</v>
      </c>
      <c r="BE27" s="60" t="s">
        <v>149</v>
      </c>
      <c r="BF27">
        <v>99</v>
      </c>
      <c r="BG27">
        <v>285</v>
      </c>
      <c r="BI27" t="s">
        <v>149</v>
      </c>
      <c r="BJ27">
        <v>99</v>
      </c>
      <c r="BK27">
        <v>285</v>
      </c>
    </row>
    <row r="28" spans="1:63" x14ac:dyDescent="0.2">
      <c r="A28" s="7">
        <v>24</v>
      </c>
      <c r="B28" s="7">
        <v>1.1000000000000001</v>
      </c>
      <c r="C28" s="1" t="str">
        <f t="shared" si="0"/>
        <v>EL PEJO 1</v>
      </c>
      <c r="D28" s="7" t="s">
        <v>127</v>
      </c>
      <c r="E28" s="1" t="str">
        <f t="shared" si="1"/>
        <v>SENSATION</v>
      </c>
      <c r="F28" s="7">
        <v>1</v>
      </c>
      <c r="G28" s="7" t="s">
        <v>483</v>
      </c>
      <c r="H28" s="7" t="s">
        <v>228</v>
      </c>
      <c r="I28" s="9" t="s">
        <v>482</v>
      </c>
      <c r="J28" s="9">
        <v>24</v>
      </c>
      <c r="K28" s="7"/>
      <c r="M28">
        <v>6</v>
      </c>
      <c r="N28" t="s">
        <v>5</v>
      </c>
      <c r="O28" t="s">
        <v>109</v>
      </c>
      <c r="P28" t="s">
        <v>477</v>
      </c>
      <c r="Q28">
        <f>COUNTIFS($H$4:$H$1201,Tabla213[[#Headers],[Neopestalotiopsis]], $G$4:$G$1201,Tabla213[[#This Row],[Organo]], $B$4:$B$1201,M28)</f>
        <v>1</v>
      </c>
      <c r="R28">
        <f>COUNTIFS($H$4:$H$1201,Tabla213[[#Headers],[Fusarium]], $G$4:$G$1201,Tabla213[[#This Row],[Organo]], $B$4:$B$1201,M28)</f>
        <v>5</v>
      </c>
      <c r="S28">
        <f>COUNTIFS($H$4:$H$1201,Tabla213[[#Headers],[Cylindrocarpon]], $G$4:$G$1201,Tabla213[[#This Row],[Organo]], $B$4:$B$1201,M28)</f>
        <v>3</v>
      </c>
      <c r="T28">
        <f>COUNTIFS($H$4:$H$1201,Tabla213[[#Headers],[Macrophomina]], $G$4:$G$1201,Tabla213[[#This Row],[Organo]], $B$4:$B$1201,M28)</f>
        <v>0</v>
      </c>
      <c r="U28">
        <f>COUNTIFS($H$4:$H$1201,Tabla213[[#Headers],[Rhizoctonia]], $G$4:$G$1201,Tabla213[[#This Row],[Organo]], $B$4:$B$1201,M28)</f>
        <v>0</v>
      </c>
      <c r="V28">
        <v>1</v>
      </c>
      <c r="W28">
        <f>COUNTIFS($H$4:$H$1201,Tabla213[[#Headers],[Alternaria]], $G$4:$G$1201,Tabla213[[#This Row],[Organo]], $B$4:$B$1201,M28)</f>
        <v>0</v>
      </c>
      <c r="X28">
        <f>COUNTIFS($H$4:$H$1201,Tabla213[[#Headers],[Botrytis]], $G$4:$G$1201,Tabla213[[#This Row],[Organo]], $B$4:$B$1201,M28)</f>
        <v>0</v>
      </c>
      <c r="Y28">
        <f>COUNTIFS($H$4:$H$1201,Tabla213[[#Headers],[Colletotrichum]], $G$4:$G$1201,Tabla213[[#This Row],[Organo]], $B$4:$B$1201,M28)</f>
        <v>0</v>
      </c>
      <c r="Z28">
        <f>COUNTIFS($H$4:$H$1201,Tabla213[[#Headers],[Aspergillus]], $G$4:$G$1201,Tabla213[[#This Row],[Organo]], $B$4:$B$1201,M28)</f>
        <v>0</v>
      </c>
      <c r="AA28">
        <f>COUNTIFS($H$4:$H$1201,Tabla213[[#Headers],[NO ID]], $G$4:$G$1201,Tabla213[[#This Row],[Organo]], $B$4:$B$1201,M28)</f>
        <v>3</v>
      </c>
      <c r="AB28">
        <f>COUNTIFS($H$4:$H$1201,Tabla213[[#Headers],[Trichoderma]], $G$4:$G$1201,Tabla213[[#This Row],[Organo]], $B$4:$B$1201,M28)</f>
        <v>0</v>
      </c>
      <c r="AC28">
        <f>COUNTIFS($H$4:$H$1201,Tabla213[[#Headers],[Rizophus]], $G$4:$G$1201,Tabla213[[#This Row],[Organo]], $B$4:$B$1201,M28)</f>
        <v>0</v>
      </c>
      <c r="AD28">
        <f>COUNTIFS($H$4:$H$1201,Tabla213[[#Headers],[FALTANTES]], $G$4:$G$1201,Tabla213[[#This Row],[Organo]], $B$4:$B$1201,M28)</f>
        <v>0</v>
      </c>
      <c r="AF28">
        <f t="shared" ref="AF28" si="22">SUM(Q27:AD28)</f>
        <v>22</v>
      </c>
      <c r="AG28">
        <f>COUNTIF($B$5:$B$1201, Tabla213[[#This Row],[Num. Parcela]])</f>
        <v>22</v>
      </c>
      <c r="AH28" t="b">
        <f t="shared" ref="AH28" si="23">IF(AF28=AG28, TRUE)</f>
        <v>1</v>
      </c>
      <c r="AK28">
        <v>6</v>
      </c>
      <c r="AL28" t="s">
        <v>5</v>
      </c>
      <c r="AM28" t="s">
        <v>109</v>
      </c>
      <c r="AN28" t="s">
        <v>476</v>
      </c>
    </row>
    <row r="29" spans="1:63" x14ac:dyDescent="0.2">
      <c r="A29" s="7">
        <v>25</v>
      </c>
      <c r="B29" s="7">
        <v>1.1000000000000001</v>
      </c>
      <c r="C29" s="1" t="str">
        <f t="shared" si="0"/>
        <v>EL PEJO 1</v>
      </c>
      <c r="D29" s="7" t="s">
        <v>127</v>
      </c>
      <c r="E29" s="1" t="str">
        <f t="shared" si="1"/>
        <v>SENSATION</v>
      </c>
      <c r="F29" s="7">
        <v>1</v>
      </c>
      <c r="G29" s="7" t="s">
        <v>483</v>
      </c>
      <c r="H29" s="7" t="s">
        <v>228</v>
      </c>
      <c r="I29" s="9" t="s">
        <v>482</v>
      </c>
      <c r="J29" s="9">
        <v>25</v>
      </c>
      <c r="K29" s="7"/>
      <c r="M29">
        <v>7</v>
      </c>
      <c r="N29" t="s">
        <v>6</v>
      </c>
      <c r="O29" t="s">
        <v>111</v>
      </c>
      <c r="P29" t="s">
        <v>476</v>
      </c>
      <c r="Q29">
        <f>COUNTIFS($H$4:$H$1201,Tabla213[[#Headers],[Neopestalotiopsis]], $G$4:$G$1201,Tabla213[[#This Row],[Organo]], $B$4:$B$1201,M29)</f>
        <v>2</v>
      </c>
      <c r="R29">
        <f>COUNTIFS($H$4:$H$1201,Tabla213[[#Headers],[Fusarium]], $G$4:$G$1201,Tabla213[[#This Row],[Organo]], $B$4:$B$1201,M29)</f>
        <v>2</v>
      </c>
      <c r="S29">
        <f>COUNTIFS($H$4:$H$1201,Tabla213[[#Headers],[Cylindrocarpon]], $G$4:$G$1201,Tabla213[[#This Row],[Organo]], $B$4:$B$1201,M29)</f>
        <v>0</v>
      </c>
      <c r="T29">
        <f>COUNTIFS($H$4:$H$1201,Tabla213[[#Headers],[Macrophomina]], $G$4:$G$1201,Tabla213[[#This Row],[Organo]], $B$4:$B$1201,M29)</f>
        <v>1</v>
      </c>
      <c r="U29">
        <f>COUNTIFS($H$4:$H$1201,Tabla213[[#Headers],[Rhizoctonia]], $G$4:$G$1201,Tabla213[[#This Row],[Organo]], $B$4:$B$1201,M29)</f>
        <v>0</v>
      </c>
      <c r="V29">
        <v>2</v>
      </c>
      <c r="W29">
        <f>COUNTIFS($H$4:$H$1201,Tabla213[[#Headers],[Alternaria]], $G$4:$G$1201,Tabla213[[#This Row],[Organo]], $B$4:$B$1201,M29)</f>
        <v>0</v>
      </c>
      <c r="X29">
        <f>COUNTIFS($H$4:$H$1201,Tabla213[[#Headers],[Botrytis]], $G$4:$G$1201,Tabla213[[#This Row],[Organo]], $B$4:$B$1201,M29)</f>
        <v>0</v>
      </c>
      <c r="Y29">
        <f>COUNTIFS($H$4:$H$1201,Tabla213[[#Headers],[Colletotrichum]], $G$4:$G$1201,Tabla213[[#This Row],[Organo]], $B$4:$B$1201,M29)</f>
        <v>0</v>
      </c>
      <c r="Z29">
        <f>COUNTIFS($H$4:$H$1201,Tabla213[[#Headers],[Aspergillus]], $G$4:$G$1201,Tabla213[[#This Row],[Organo]], $B$4:$B$1201,M29)</f>
        <v>0</v>
      </c>
      <c r="AA29">
        <f>COUNTIFS($H$4:$H$1201,Tabla213[[#Headers],[NO ID]], $G$4:$G$1201,Tabla213[[#This Row],[Organo]], $B$4:$B$1201,M29)</f>
        <v>0</v>
      </c>
      <c r="AB29">
        <f>COUNTIFS($H$4:$H$1201,Tabla213[[#Headers],[Trichoderma]], $G$4:$G$1201,Tabla213[[#This Row],[Organo]], $B$4:$B$1201,M29)</f>
        <v>0</v>
      </c>
      <c r="AC29">
        <f>COUNTIFS($H$4:$H$1201,Tabla213[[#Headers],[Rizophus]], $G$4:$G$1201,Tabla213[[#This Row],[Organo]], $B$4:$B$1201,M29)</f>
        <v>0</v>
      </c>
      <c r="AD29">
        <f>COUNTIFS($H$4:$H$1201,Tabla213[[#Headers],[FALTANTES]], $G$4:$G$1201,Tabla213[[#This Row],[Organo]], $B$4:$B$1201,M29)</f>
        <v>0</v>
      </c>
      <c r="AK29">
        <v>7</v>
      </c>
      <c r="AL29" t="s">
        <v>6</v>
      </c>
      <c r="AM29" t="s">
        <v>111</v>
      </c>
      <c r="AN29" t="s">
        <v>477</v>
      </c>
    </row>
    <row r="30" spans="1:63" x14ac:dyDescent="0.2">
      <c r="A30" s="7">
        <v>26</v>
      </c>
      <c r="B30" s="7">
        <v>1.1000000000000001</v>
      </c>
      <c r="C30" s="1" t="str">
        <f t="shared" si="0"/>
        <v>EL PEJO 1</v>
      </c>
      <c r="D30" s="7" t="s">
        <v>127</v>
      </c>
      <c r="E30" s="1" t="str">
        <f t="shared" si="1"/>
        <v>SENSATION</v>
      </c>
      <c r="F30" s="7">
        <v>1</v>
      </c>
      <c r="G30" s="7" t="s">
        <v>483</v>
      </c>
      <c r="H30" s="7" t="s">
        <v>228</v>
      </c>
      <c r="I30" s="9" t="s">
        <v>482</v>
      </c>
      <c r="J30" s="9">
        <v>26</v>
      </c>
      <c r="K30" s="7"/>
      <c r="M30">
        <v>7</v>
      </c>
      <c r="N30" t="s">
        <v>6</v>
      </c>
      <c r="O30" t="s">
        <v>111</v>
      </c>
      <c r="P30" t="s">
        <v>477</v>
      </c>
      <c r="Q30">
        <f>COUNTIFS($H$4:$H$1201,Tabla213[[#Headers],[Neopestalotiopsis]], $G$4:$G$1201,Tabla213[[#This Row],[Organo]], $B$4:$B$1201,M30)</f>
        <v>1</v>
      </c>
      <c r="R30">
        <f>COUNTIFS($H$4:$H$1201,Tabla213[[#Headers],[Fusarium]], $G$4:$G$1201,Tabla213[[#This Row],[Organo]], $B$4:$B$1201,M30)</f>
        <v>2</v>
      </c>
      <c r="S30">
        <f>COUNTIFS($H$4:$H$1201,Tabla213[[#Headers],[Cylindrocarpon]], $G$4:$G$1201,Tabla213[[#This Row],[Organo]], $B$4:$B$1201,M30)</f>
        <v>1</v>
      </c>
      <c r="T30">
        <f>COUNTIFS($H$4:$H$1201,Tabla213[[#Headers],[Macrophomina]], $G$4:$G$1201,Tabla213[[#This Row],[Organo]], $B$4:$B$1201,M30)</f>
        <v>0</v>
      </c>
      <c r="U30">
        <f>COUNTIFS($H$4:$H$1201,Tabla213[[#Headers],[Rhizoctonia]], $G$4:$G$1201,Tabla213[[#This Row],[Organo]], $B$4:$B$1201,M30)</f>
        <v>0</v>
      </c>
      <c r="V30">
        <v>3</v>
      </c>
      <c r="W30">
        <f>COUNTIFS($H$4:$H$1201,Tabla213[[#Headers],[Alternaria]], $G$4:$G$1201,Tabla213[[#This Row],[Organo]], $B$4:$B$1201,M30)</f>
        <v>0</v>
      </c>
      <c r="X30">
        <f>COUNTIFS($H$4:$H$1201,Tabla213[[#Headers],[Botrytis]], $G$4:$G$1201,Tabla213[[#This Row],[Organo]], $B$4:$B$1201,M30)</f>
        <v>4</v>
      </c>
      <c r="Y30">
        <f>COUNTIFS($H$4:$H$1201,Tabla213[[#Headers],[Colletotrichum]], $G$4:$G$1201,Tabla213[[#This Row],[Organo]], $B$4:$B$1201,M30)</f>
        <v>0</v>
      </c>
      <c r="Z30">
        <f>COUNTIFS($H$4:$H$1201,Tabla213[[#Headers],[Aspergillus]], $G$4:$G$1201,Tabla213[[#This Row],[Organo]], $B$4:$B$1201,M30)</f>
        <v>0</v>
      </c>
      <c r="AA30">
        <f>COUNTIFS($H$4:$H$1201,Tabla213[[#Headers],[NO ID]], $G$4:$G$1201,Tabla213[[#This Row],[Organo]], $B$4:$B$1201,M30)</f>
        <v>5</v>
      </c>
      <c r="AB30">
        <f>COUNTIFS($H$4:$H$1201,Tabla213[[#Headers],[Trichoderma]], $G$4:$G$1201,Tabla213[[#This Row],[Organo]], $B$4:$B$1201,M30)</f>
        <v>0</v>
      </c>
      <c r="AC30">
        <f>COUNTIFS($H$4:$H$1201,Tabla213[[#Headers],[Rizophus]], $G$4:$G$1201,Tabla213[[#This Row],[Organo]], $B$4:$B$1201,M30)</f>
        <v>1</v>
      </c>
      <c r="AD30">
        <f>COUNTIFS($H$4:$H$1201,Tabla213[[#Headers],[FALTANTES]], $G$4:$G$1201,Tabla213[[#This Row],[Organo]], $B$4:$B$1201,M30)</f>
        <v>0</v>
      </c>
      <c r="AF30">
        <f t="shared" ref="AF30" si="24">SUM(Q29:AD30)</f>
        <v>24</v>
      </c>
      <c r="AG30">
        <f>COUNTIF($B$5:$B$1201, Tabla213[[#This Row],[Num. Parcela]])</f>
        <v>24</v>
      </c>
      <c r="AH30" t="b">
        <f t="shared" ref="AH30" si="25">IF(AF30=AG30, TRUE)</f>
        <v>1</v>
      </c>
      <c r="AK30">
        <v>7</v>
      </c>
      <c r="AL30" t="s">
        <v>6</v>
      </c>
      <c r="AM30" t="s">
        <v>111</v>
      </c>
      <c r="AN30" t="s">
        <v>476</v>
      </c>
    </row>
    <row r="31" spans="1:63" x14ac:dyDescent="0.2">
      <c r="A31" s="7">
        <v>27</v>
      </c>
      <c r="B31" s="7">
        <v>2</v>
      </c>
      <c r="C31" s="1" t="str">
        <f t="shared" si="0"/>
        <v>LA MAGUELLERA</v>
      </c>
      <c r="D31" s="7" t="s">
        <v>127</v>
      </c>
      <c r="E31" s="1" t="str">
        <f t="shared" si="1"/>
        <v>SAYULA</v>
      </c>
      <c r="F31" s="7">
        <v>1</v>
      </c>
      <c r="G31" s="7" t="s">
        <v>476</v>
      </c>
      <c r="H31" s="7" t="s">
        <v>155</v>
      </c>
      <c r="I31" s="7" t="s">
        <v>223</v>
      </c>
      <c r="J31" s="7">
        <v>27</v>
      </c>
      <c r="K31" s="19" t="s">
        <v>638</v>
      </c>
      <c r="M31">
        <v>8.1</v>
      </c>
      <c r="N31" t="s">
        <v>659</v>
      </c>
      <c r="O31" t="s">
        <v>109</v>
      </c>
      <c r="P31" t="s">
        <v>476</v>
      </c>
      <c r="Q31">
        <f>COUNTIFS($H$4:$H$1201,Tabla213[[#Headers],[Neopestalotiopsis]], $G$4:$G$1201,Tabla213[[#This Row],[Organo]], $B$4:$B$1201,M31)</f>
        <v>2</v>
      </c>
      <c r="R31">
        <f>COUNTIFS($H$4:$H$1201,Tabla213[[#Headers],[Fusarium]], $G$4:$G$1201,Tabla213[[#This Row],[Organo]], $B$4:$B$1201,M31)</f>
        <v>4</v>
      </c>
      <c r="S31">
        <f>COUNTIFS($H$4:$H$1201,Tabla213[[#Headers],[Cylindrocarpon]], $G$4:$G$1201,Tabla213[[#This Row],[Organo]], $B$4:$B$1201,M31)</f>
        <v>0</v>
      </c>
      <c r="T31">
        <f>COUNTIFS($H$4:$H$1201,Tabla213[[#Headers],[Macrophomina]], $G$4:$G$1201,Tabla213[[#This Row],[Organo]], $B$4:$B$1201,M31)</f>
        <v>2</v>
      </c>
      <c r="U31">
        <f>COUNTIFS($H$4:$H$1201,Tabla213[[#Headers],[Rhizoctonia]], $G$4:$G$1201,Tabla213[[#This Row],[Organo]], $B$4:$B$1201,M31)</f>
        <v>0</v>
      </c>
      <c r="V31">
        <v>1</v>
      </c>
      <c r="W31">
        <f>COUNTIFS($H$4:$H$1201,Tabla213[[#Headers],[Alternaria]], $G$4:$G$1201,Tabla213[[#This Row],[Organo]], $B$4:$B$1201,M31)</f>
        <v>0</v>
      </c>
      <c r="X31">
        <f>COUNTIFS($H$4:$H$1201,Tabla213[[#Headers],[Botrytis]], $G$4:$G$1201,Tabla213[[#This Row],[Organo]], $B$4:$B$1201,M31)</f>
        <v>0</v>
      </c>
      <c r="Y31">
        <f>COUNTIFS($H$4:$H$1201,Tabla213[[#Headers],[Colletotrichum]], $G$4:$G$1201,Tabla213[[#This Row],[Organo]], $B$4:$B$1201,M31)</f>
        <v>0</v>
      </c>
      <c r="Z31">
        <f>COUNTIFS($H$4:$H$1201,Tabla213[[#Headers],[Aspergillus]], $G$4:$G$1201,Tabla213[[#This Row],[Organo]], $B$4:$B$1201,M31)</f>
        <v>0</v>
      </c>
      <c r="AA31">
        <f>COUNTIFS($H$4:$H$1201,Tabla213[[#Headers],[NO ID]], $G$4:$G$1201,Tabla213[[#This Row],[Organo]], $B$4:$B$1201,M31)</f>
        <v>0</v>
      </c>
      <c r="AB31">
        <f>COUNTIFS($H$4:$H$1201,Tabla213[[#Headers],[Trichoderma]], $G$4:$G$1201,Tabla213[[#This Row],[Organo]], $B$4:$B$1201,M31)</f>
        <v>0</v>
      </c>
      <c r="AC31">
        <f>COUNTIFS($H$4:$H$1201,Tabla213[[#Headers],[Rizophus]], $G$4:$G$1201,Tabla213[[#This Row],[Organo]], $B$4:$B$1201,M31)</f>
        <v>0</v>
      </c>
      <c r="AD31">
        <f>COUNTIFS($H$4:$H$1201,Tabla213[[#Headers],[FALTANTES]], $G$4:$G$1201,Tabla213[[#This Row],[Organo]], $B$4:$B$1201,M31)</f>
        <v>0</v>
      </c>
      <c r="AK31">
        <v>8.1</v>
      </c>
      <c r="AL31" t="s">
        <v>7</v>
      </c>
      <c r="AM31" t="s">
        <v>109</v>
      </c>
      <c r="AN31" t="s">
        <v>477</v>
      </c>
    </row>
    <row r="32" spans="1:63" x14ac:dyDescent="0.2">
      <c r="A32" s="7">
        <v>28</v>
      </c>
      <c r="B32" s="7">
        <v>2</v>
      </c>
      <c r="C32" s="1" t="str">
        <f t="shared" si="0"/>
        <v>LA MAGUELLERA</v>
      </c>
      <c r="D32" s="7" t="s">
        <v>127</v>
      </c>
      <c r="E32" s="1" t="str">
        <f t="shared" si="1"/>
        <v>SAYULA</v>
      </c>
      <c r="F32" s="7">
        <v>1</v>
      </c>
      <c r="G32" s="7" t="s">
        <v>476</v>
      </c>
      <c r="H32" s="7" t="s">
        <v>155</v>
      </c>
      <c r="I32" s="7" t="s">
        <v>155</v>
      </c>
      <c r="J32" s="7">
        <v>28</v>
      </c>
      <c r="K32" s="7"/>
      <c r="M32">
        <v>8.1</v>
      </c>
      <c r="N32" t="s">
        <v>659</v>
      </c>
      <c r="O32" t="s">
        <v>109</v>
      </c>
      <c r="P32" t="s">
        <v>477</v>
      </c>
      <c r="Q32">
        <f>COUNTIFS($H$4:$H$1201,Tabla213[[#Headers],[Neopestalotiopsis]], $G$4:$G$1201,Tabla213[[#This Row],[Organo]], $B$4:$B$1201,M32)</f>
        <v>0</v>
      </c>
      <c r="R32">
        <f>COUNTIFS($H$4:$H$1201,Tabla213[[#Headers],[Fusarium]], $G$4:$G$1201,Tabla213[[#This Row],[Organo]], $B$4:$B$1201,M32)</f>
        <v>7</v>
      </c>
      <c r="S32">
        <f>COUNTIFS($H$4:$H$1201,Tabla213[[#Headers],[Cylindrocarpon]], $G$4:$G$1201,Tabla213[[#This Row],[Organo]], $B$4:$B$1201,M32)</f>
        <v>3</v>
      </c>
      <c r="T32">
        <f>COUNTIFS($H$4:$H$1201,Tabla213[[#Headers],[Macrophomina]], $G$4:$G$1201,Tabla213[[#This Row],[Organo]], $B$4:$B$1201,M32)</f>
        <v>0</v>
      </c>
      <c r="U32">
        <f>COUNTIFS($H$4:$H$1201,Tabla213[[#Headers],[Rhizoctonia]], $G$4:$G$1201,Tabla213[[#This Row],[Organo]], $B$4:$B$1201,M32)</f>
        <v>0</v>
      </c>
      <c r="V32">
        <v>1</v>
      </c>
      <c r="W32">
        <f>COUNTIFS($H$4:$H$1201,Tabla213[[#Headers],[Alternaria]], $G$4:$G$1201,Tabla213[[#This Row],[Organo]], $B$4:$B$1201,M32)</f>
        <v>0</v>
      </c>
      <c r="X32">
        <f>COUNTIFS($H$4:$H$1201,Tabla213[[#Headers],[Botrytis]], $G$4:$G$1201,Tabla213[[#This Row],[Organo]], $B$4:$B$1201,M32)</f>
        <v>5</v>
      </c>
      <c r="Y32">
        <f>COUNTIFS($H$4:$H$1201,Tabla213[[#Headers],[Colletotrichum]], $G$4:$G$1201,Tabla213[[#This Row],[Organo]], $B$4:$B$1201,M32)</f>
        <v>0</v>
      </c>
      <c r="Z32">
        <f>COUNTIFS($H$4:$H$1201,Tabla213[[#Headers],[Aspergillus]], $G$4:$G$1201,Tabla213[[#This Row],[Organo]], $B$4:$B$1201,M32)</f>
        <v>3</v>
      </c>
      <c r="AA32">
        <f>COUNTIFS($H$4:$H$1201,Tabla213[[#Headers],[NO ID]], $G$4:$G$1201,Tabla213[[#This Row],[Organo]], $B$4:$B$1201,M32)</f>
        <v>2</v>
      </c>
      <c r="AB32">
        <f>COUNTIFS($H$4:$H$1201,Tabla213[[#Headers],[Trichoderma]], $G$4:$G$1201,Tabla213[[#This Row],[Organo]], $B$4:$B$1201,M32)</f>
        <v>1</v>
      </c>
      <c r="AC32">
        <f>COUNTIFS($H$4:$H$1201,Tabla213[[#Headers],[Rizophus]], $G$4:$G$1201,Tabla213[[#This Row],[Organo]], $B$4:$B$1201,M32)</f>
        <v>0</v>
      </c>
      <c r="AD32">
        <f>COUNTIFS($H$4:$H$1201,Tabla213[[#Headers],[FALTANTES]], $G$4:$G$1201,Tabla213[[#This Row],[Organo]], $B$4:$B$1201,M32)</f>
        <v>0</v>
      </c>
      <c r="AF32">
        <f t="shared" ref="AF32" si="26">SUM(Q31:AD32)</f>
        <v>31</v>
      </c>
      <c r="AG32">
        <f>COUNTIF($B$5:$B$1201, Tabla213[[#This Row],[Num. Parcela]])</f>
        <v>31</v>
      </c>
      <c r="AH32" t="b">
        <f t="shared" ref="AH32" si="27">IF(AF32=AG32, TRUE)</f>
        <v>1</v>
      </c>
      <c r="AK32">
        <v>8.1</v>
      </c>
      <c r="AL32" t="s">
        <v>7</v>
      </c>
      <c r="AM32" t="s">
        <v>109</v>
      </c>
      <c r="AN32" t="s">
        <v>476</v>
      </c>
    </row>
    <row r="33" spans="1:40" x14ac:dyDescent="0.2">
      <c r="A33" s="7">
        <v>29</v>
      </c>
      <c r="B33" s="7">
        <v>2</v>
      </c>
      <c r="C33" s="1" t="str">
        <f t="shared" si="0"/>
        <v>LA MAGUELLERA</v>
      </c>
      <c r="D33" s="7" t="s">
        <v>127</v>
      </c>
      <c r="E33" s="1" t="str">
        <f t="shared" si="1"/>
        <v>SAYULA</v>
      </c>
      <c r="F33" s="7">
        <v>2</v>
      </c>
      <c r="G33" s="7" t="s">
        <v>476</v>
      </c>
      <c r="H33" s="7" t="s">
        <v>155</v>
      </c>
      <c r="I33" s="7" t="s">
        <v>223</v>
      </c>
      <c r="J33" s="7">
        <v>29</v>
      </c>
      <c r="K33" s="19" t="s">
        <v>638</v>
      </c>
      <c r="M33">
        <v>8.1999999999999993</v>
      </c>
      <c r="N33" t="s">
        <v>660</v>
      </c>
      <c r="O33" t="s">
        <v>112</v>
      </c>
      <c r="P33" t="s">
        <v>476</v>
      </c>
      <c r="Q33">
        <f>COUNTIFS($H$4:$H$1201,Tabla213[[#Headers],[Neopestalotiopsis]], $G$4:$G$1201,Tabla213[[#This Row],[Organo]], $B$4:$B$1201,M33)</f>
        <v>0</v>
      </c>
      <c r="R33">
        <f>COUNTIFS($H$4:$H$1201,Tabla213[[#Headers],[Fusarium]], $G$4:$G$1201,Tabla213[[#This Row],[Organo]], $B$4:$B$1201,M33)</f>
        <v>1</v>
      </c>
      <c r="S33">
        <f>COUNTIFS($H$4:$H$1201,Tabla213[[#Headers],[Cylindrocarpon]], $G$4:$G$1201,Tabla213[[#This Row],[Organo]], $B$4:$B$1201,M33)</f>
        <v>0</v>
      </c>
      <c r="T33">
        <f>COUNTIFS($H$4:$H$1201,Tabla213[[#Headers],[Macrophomina]], $G$4:$G$1201,Tabla213[[#This Row],[Organo]], $B$4:$B$1201,M33)</f>
        <v>2</v>
      </c>
      <c r="U33">
        <f>COUNTIFS($H$4:$H$1201,Tabla213[[#Headers],[Rhizoctonia]], $G$4:$G$1201,Tabla213[[#This Row],[Organo]], $B$4:$B$1201,M33)</f>
        <v>0</v>
      </c>
      <c r="V33">
        <v>0</v>
      </c>
      <c r="W33">
        <f>COUNTIFS($H$4:$H$1201,Tabla213[[#Headers],[Alternaria]], $G$4:$G$1201,Tabla213[[#This Row],[Organo]], $B$4:$B$1201,M33)</f>
        <v>0</v>
      </c>
      <c r="X33">
        <f>COUNTIFS($H$4:$H$1201,Tabla213[[#Headers],[Botrytis]], $G$4:$G$1201,Tabla213[[#This Row],[Organo]], $B$4:$B$1201,M33)</f>
        <v>1</v>
      </c>
      <c r="Y33">
        <f>COUNTIFS($H$4:$H$1201,Tabla213[[#Headers],[Colletotrichum]], $G$4:$G$1201,Tabla213[[#This Row],[Organo]], $B$4:$B$1201,M33)</f>
        <v>0</v>
      </c>
      <c r="Z33">
        <f>COUNTIFS($H$4:$H$1201,Tabla213[[#Headers],[Aspergillus]], $G$4:$G$1201,Tabla213[[#This Row],[Organo]], $B$4:$B$1201,M33)</f>
        <v>0</v>
      </c>
      <c r="AA33">
        <f>COUNTIFS($H$4:$H$1201,Tabla213[[#Headers],[NO ID]], $G$4:$G$1201,Tabla213[[#This Row],[Organo]], $B$4:$B$1201,M33)</f>
        <v>0</v>
      </c>
      <c r="AB33">
        <f>COUNTIFS($H$4:$H$1201,Tabla213[[#Headers],[Trichoderma]], $G$4:$G$1201,Tabla213[[#This Row],[Organo]], $B$4:$B$1201,M33)</f>
        <v>0</v>
      </c>
      <c r="AC33">
        <f>COUNTIFS($H$4:$H$1201,Tabla213[[#Headers],[Rizophus]], $G$4:$G$1201,Tabla213[[#This Row],[Organo]], $B$4:$B$1201,M33)</f>
        <v>0</v>
      </c>
      <c r="AD33">
        <f>COUNTIFS($H$4:$H$1201,Tabla213[[#Headers],[FALTANTES]], $G$4:$G$1201,Tabla213[[#This Row],[Organo]], $B$4:$B$1201,M33)</f>
        <v>0</v>
      </c>
      <c r="AK33">
        <v>8.1999999999999993</v>
      </c>
      <c r="AL33" t="s">
        <v>7</v>
      </c>
      <c r="AM33" t="s">
        <v>112</v>
      </c>
      <c r="AN33" t="s">
        <v>477</v>
      </c>
    </row>
    <row r="34" spans="1:40" x14ac:dyDescent="0.2">
      <c r="A34" s="7">
        <v>30</v>
      </c>
      <c r="B34" s="7">
        <v>2</v>
      </c>
      <c r="C34" s="1" t="str">
        <f t="shared" si="0"/>
        <v>LA MAGUELLERA</v>
      </c>
      <c r="D34" s="7" t="s">
        <v>127</v>
      </c>
      <c r="E34" s="1" t="str">
        <f t="shared" si="1"/>
        <v>SAYULA</v>
      </c>
      <c r="F34" s="7">
        <v>2</v>
      </c>
      <c r="G34" s="7" t="s">
        <v>476</v>
      </c>
      <c r="H34" s="7" t="s">
        <v>472</v>
      </c>
      <c r="I34" s="7" t="s">
        <v>472</v>
      </c>
      <c r="J34" s="7">
        <v>30</v>
      </c>
      <c r="K34" s="19" t="s">
        <v>638</v>
      </c>
      <c r="M34">
        <v>8.1999999999999993</v>
      </c>
      <c r="N34" t="s">
        <v>660</v>
      </c>
      <c r="O34" t="s">
        <v>112</v>
      </c>
      <c r="P34" t="s">
        <v>477</v>
      </c>
      <c r="Q34">
        <f>COUNTIFS($H$4:$H$1201,Tabla213[[#Headers],[Neopestalotiopsis]], $G$4:$G$1201,Tabla213[[#This Row],[Organo]], $B$4:$B$1201,M34)</f>
        <v>0</v>
      </c>
      <c r="R34">
        <f>COUNTIFS($H$4:$H$1201,Tabla213[[#Headers],[Fusarium]], $G$4:$G$1201,Tabla213[[#This Row],[Organo]], $B$4:$B$1201,M34)</f>
        <v>4</v>
      </c>
      <c r="S34">
        <f>COUNTIFS($H$4:$H$1201,Tabla213[[#Headers],[Cylindrocarpon]], $G$4:$G$1201,Tabla213[[#This Row],[Organo]], $B$4:$B$1201,M34)</f>
        <v>3</v>
      </c>
      <c r="T34">
        <f>COUNTIFS($H$4:$H$1201,Tabla213[[#Headers],[Macrophomina]], $G$4:$G$1201,Tabla213[[#This Row],[Organo]], $B$4:$B$1201,M34)</f>
        <v>0</v>
      </c>
      <c r="U34">
        <f>COUNTIFS($H$4:$H$1201,Tabla213[[#Headers],[Rhizoctonia]], $G$4:$G$1201,Tabla213[[#This Row],[Organo]], $B$4:$B$1201,M34)</f>
        <v>0</v>
      </c>
      <c r="V34">
        <v>1</v>
      </c>
      <c r="W34">
        <f>COUNTIFS($H$4:$H$1201,Tabla213[[#Headers],[Alternaria]], $G$4:$G$1201,Tabla213[[#This Row],[Organo]], $B$4:$B$1201,M34)</f>
        <v>1</v>
      </c>
      <c r="X34">
        <f>COUNTIFS($H$4:$H$1201,Tabla213[[#Headers],[Botrytis]], $G$4:$G$1201,Tabla213[[#This Row],[Organo]], $B$4:$B$1201,M34)</f>
        <v>3</v>
      </c>
      <c r="Y34">
        <f>COUNTIFS($H$4:$H$1201,Tabla213[[#Headers],[Colletotrichum]], $G$4:$G$1201,Tabla213[[#This Row],[Organo]], $B$4:$B$1201,M34)</f>
        <v>0</v>
      </c>
      <c r="Z34">
        <f>COUNTIFS($H$4:$H$1201,Tabla213[[#Headers],[Aspergillus]], $G$4:$G$1201,Tabla213[[#This Row],[Organo]], $B$4:$B$1201,M34)</f>
        <v>0</v>
      </c>
      <c r="AA34">
        <f>COUNTIFS($H$4:$H$1201,Tabla213[[#Headers],[NO ID]], $G$4:$G$1201,Tabla213[[#This Row],[Organo]], $B$4:$B$1201,M34)</f>
        <v>1</v>
      </c>
      <c r="AB34">
        <f>COUNTIFS($H$4:$H$1201,Tabla213[[#Headers],[Trichoderma]], $G$4:$G$1201,Tabla213[[#This Row],[Organo]], $B$4:$B$1201,M34)</f>
        <v>0</v>
      </c>
      <c r="AC34">
        <f>COUNTIFS($H$4:$H$1201,Tabla213[[#Headers],[Rizophus]], $G$4:$G$1201,Tabla213[[#This Row],[Organo]], $B$4:$B$1201,M34)</f>
        <v>0</v>
      </c>
      <c r="AD34">
        <f>COUNTIFS($H$4:$H$1201,Tabla213[[#Headers],[FALTANTES]], $G$4:$G$1201,Tabla213[[#This Row],[Organo]], $B$4:$B$1201,M34)</f>
        <v>0</v>
      </c>
      <c r="AF34">
        <f t="shared" ref="AF34" si="28">SUM(Q33:AD34)</f>
        <v>17</v>
      </c>
      <c r="AG34">
        <f>COUNTIF($B$5:$B$1201, Tabla213[[#This Row],[Num. Parcela]])</f>
        <v>17</v>
      </c>
      <c r="AH34" t="b">
        <f t="shared" ref="AH34" si="29">IF(AF34=AG34, TRUE)</f>
        <v>1</v>
      </c>
      <c r="AK34">
        <v>8.1999999999999993</v>
      </c>
      <c r="AL34" t="s">
        <v>7</v>
      </c>
      <c r="AM34" t="s">
        <v>112</v>
      </c>
      <c r="AN34" t="s">
        <v>476</v>
      </c>
    </row>
    <row r="35" spans="1:40" x14ac:dyDescent="0.2">
      <c r="A35" s="7">
        <v>31</v>
      </c>
      <c r="B35" s="7">
        <v>2</v>
      </c>
      <c r="C35" s="1" t="str">
        <f t="shared" si="0"/>
        <v>LA MAGUELLERA</v>
      </c>
      <c r="D35" s="7" t="s">
        <v>127</v>
      </c>
      <c r="E35" s="1" t="str">
        <f t="shared" si="1"/>
        <v>SAYULA</v>
      </c>
      <c r="F35" s="7">
        <v>1</v>
      </c>
      <c r="G35" s="7" t="s">
        <v>477</v>
      </c>
      <c r="H35" s="7" t="s">
        <v>471</v>
      </c>
      <c r="I35" s="7" t="s">
        <v>471</v>
      </c>
      <c r="J35" s="7">
        <v>31</v>
      </c>
      <c r="K35" s="7"/>
      <c r="M35">
        <v>9.1</v>
      </c>
      <c r="N35" t="s">
        <v>657</v>
      </c>
      <c r="O35" t="s">
        <v>113</v>
      </c>
      <c r="P35" t="s">
        <v>476</v>
      </c>
      <c r="Q35">
        <f>COUNTIFS($H$4:$H$1201,Tabla213[[#Headers],[Neopestalotiopsis]], $G$4:$G$1201,Tabla213[[#This Row],[Organo]], $B$4:$B$1201,M35)</f>
        <v>3</v>
      </c>
      <c r="R35">
        <f>COUNTIFS($H$4:$H$1201,Tabla213[[#Headers],[Fusarium]], $G$4:$G$1201,Tabla213[[#This Row],[Organo]], $B$4:$B$1201,M35)</f>
        <v>1</v>
      </c>
      <c r="S35">
        <f>COUNTIFS($H$4:$H$1201,Tabla213[[#Headers],[Cylindrocarpon]], $G$4:$G$1201,Tabla213[[#This Row],[Organo]], $B$4:$B$1201,M35)</f>
        <v>0</v>
      </c>
      <c r="T35">
        <f>COUNTIFS($H$4:$H$1201,Tabla213[[#Headers],[Macrophomina]], $G$4:$G$1201,Tabla213[[#This Row],[Organo]], $B$4:$B$1201,M35)</f>
        <v>1</v>
      </c>
      <c r="U35">
        <f>COUNTIFS($H$4:$H$1201,Tabla213[[#Headers],[Rhizoctonia]], $G$4:$G$1201,Tabla213[[#This Row],[Organo]], $B$4:$B$1201,M35)</f>
        <v>0</v>
      </c>
      <c r="V35">
        <v>0</v>
      </c>
      <c r="W35">
        <f>COUNTIFS($H$4:$H$1201,Tabla213[[#Headers],[Alternaria]], $G$4:$G$1201,Tabla213[[#This Row],[Organo]], $B$4:$B$1201,M35)</f>
        <v>0</v>
      </c>
      <c r="X35">
        <f>COUNTIFS($H$4:$H$1201,Tabla213[[#Headers],[Botrytis]], $G$4:$G$1201,Tabla213[[#This Row],[Organo]], $B$4:$B$1201,M35)</f>
        <v>1</v>
      </c>
      <c r="Y35">
        <f>COUNTIFS($H$4:$H$1201,Tabla213[[#Headers],[Colletotrichum]], $G$4:$G$1201,Tabla213[[#This Row],[Organo]], $B$4:$B$1201,M35)</f>
        <v>0</v>
      </c>
      <c r="Z35">
        <f>COUNTIFS($H$4:$H$1201,Tabla213[[#Headers],[Aspergillus]], $G$4:$G$1201,Tabla213[[#This Row],[Organo]], $B$4:$B$1201,M35)</f>
        <v>0</v>
      </c>
      <c r="AA35">
        <f>COUNTIFS($H$4:$H$1201,Tabla213[[#Headers],[NO ID]], $G$4:$G$1201,Tabla213[[#This Row],[Organo]], $B$4:$B$1201,M35)</f>
        <v>0</v>
      </c>
      <c r="AB35">
        <f>COUNTIFS($H$4:$H$1201,Tabla213[[#Headers],[Trichoderma]], $G$4:$G$1201,Tabla213[[#This Row],[Organo]], $B$4:$B$1201,M35)</f>
        <v>3</v>
      </c>
      <c r="AC35">
        <f>COUNTIFS($H$4:$H$1201,Tabla213[[#Headers],[Rizophus]], $G$4:$G$1201,Tabla213[[#This Row],[Organo]], $B$4:$B$1201,M35)</f>
        <v>0</v>
      </c>
      <c r="AD35">
        <f>COUNTIFS($H$4:$H$1201,Tabla213[[#Headers],[FALTANTES]], $G$4:$G$1201,Tabla213[[#This Row],[Organo]], $B$4:$B$1201,M35)</f>
        <v>0</v>
      </c>
      <c r="AK35">
        <v>9.1</v>
      </c>
      <c r="AL35" t="s">
        <v>8</v>
      </c>
      <c r="AM35" t="s">
        <v>113</v>
      </c>
      <c r="AN35" t="s">
        <v>477</v>
      </c>
    </row>
    <row r="36" spans="1:40" x14ac:dyDescent="0.2">
      <c r="A36" s="7">
        <v>32</v>
      </c>
      <c r="B36" s="7">
        <v>2</v>
      </c>
      <c r="C36" s="1" t="str">
        <f t="shared" si="0"/>
        <v>LA MAGUELLERA</v>
      </c>
      <c r="D36" s="7" t="s">
        <v>127</v>
      </c>
      <c r="E36" s="1" t="str">
        <f t="shared" si="1"/>
        <v>SAYULA</v>
      </c>
      <c r="F36" s="7">
        <v>1</v>
      </c>
      <c r="G36" s="7" t="s">
        <v>477</v>
      </c>
      <c r="H36" s="7" t="s">
        <v>475</v>
      </c>
      <c r="I36" s="9" t="s">
        <v>475</v>
      </c>
      <c r="J36" s="9">
        <v>32</v>
      </c>
      <c r="K36" s="7"/>
      <c r="M36">
        <v>9.1</v>
      </c>
      <c r="N36" t="s">
        <v>657</v>
      </c>
      <c r="O36" t="s">
        <v>113</v>
      </c>
      <c r="P36" t="s">
        <v>477</v>
      </c>
      <c r="Q36">
        <f>COUNTIFS($H$4:$H$1201,Tabla213[[#Headers],[Neopestalotiopsis]], $G$4:$G$1201,Tabla213[[#This Row],[Organo]], $B$4:$B$1201,M36)</f>
        <v>1</v>
      </c>
      <c r="R36">
        <f>COUNTIFS($H$4:$H$1201,Tabla213[[#Headers],[Fusarium]], $G$4:$G$1201,Tabla213[[#This Row],[Organo]], $B$4:$B$1201,M36)</f>
        <v>11</v>
      </c>
      <c r="S36">
        <f>COUNTIFS($H$4:$H$1201,Tabla213[[#Headers],[Cylindrocarpon]], $G$4:$G$1201,Tabla213[[#This Row],[Organo]], $B$4:$B$1201,M36)</f>
        <v>1</v>
      </c>
      <c r="T36">
        <f>COUNTIFS($H$4:$H$1201,Tabla213[[#Headers],[Macrophomina]], $G$4:$G$1201,Tabla213[[#This Row],[Organo]], $B$4:$B$1201,M36)</f>
        <v>0</v>
      </c>
      <c r="U36">
        <f>COUNTIFS($H$4:$H$1201,Tabla213[[#Headers],[Rhizoctonia]], $G$4:$G$1201,Tabla213[[#This Row],[Organo]], $B$4:$B$1201,M36)</f>
        <v>0</v>
      </c>
      <c r="V36">
        <v>1</v>
      </c>
      <c r="W36">
        <f>COUNTIFS($H$4:$H$1201,Tabla213[[#Headers],[Alternaria]], $G$4:$G$1201,Tabla213[[#This Row],[Organo]], $B$4:$B$1201,M36)</f>
        <v>0</v>
      </c>
      <c r="X36">
        <f>COUNTIFS($H$4:$H$1201,Tabla213[[#Headers],[Botrytis]], $G$4:$G$1201,Tabla213[[#This Row],[Organo]], $B$4:$B$1201,M36)</f>
        <v>0</v>
      </c>
      <c r="Y36">
        <f>COUNTIFS($H$4:$H$1201,Tabla213[[#Headers],[Colletotrichum]], $G$4:$G$1201,Tabla213[[#This Row],[Organo]], $B$4:$B$1201,M36)</f>
        <v>0</v>
      </c>
      <c r="Z36">
        <f>COUNTIFS($H$4:$H$1201,Tabla213[[#Headers],[Aspergillus]], $G$4:$G$1201,Tabla213[[#This Row],[Organo]], $B$4:$B$1201,M36)</f>
        <v>0</v>
      </c>
      <c r="AA36">
        <f>COUNTIFS($H$4:$H$1201,Tabla213[[#Headers],[NO ID]], $G$4:$G$1201,Tabla213[[#This Row],[Organo]], $B$4:$B$1201,M36)</f>
        <v>4</v>
      </c>
      <c r="AB36">
        <f>COUNTIFS($H$4:$H$1201,Tabla213[[#Headers],[Trichoderma]], $G$4:$G$1201,Tabla213[[#This Row],[Organo]], $B$4:$B$1201,M36)</f>
        <v>0</v>
      </c>
      <c r="AC36">
        <f>COUNTIFS($H$4:$H$1201,Tabla213[[#Headers],[Rizophus]], $G$4:$G$1201,Tabla213[[#This Row],[Organo]], $B$4:$B$1201,M36)</f>
        <v>0</v>
      </c>
      <c r="AD36">
        <f>COUNTIFS($H$4:$H$1201,Tabla213[[#Headers],[FALTANTES]], $G$4:$G$1201,Tabla213[[#This Row],[Organo]], $B$4:$B$1201,M36)</f>
        <v>0</v>
      </c>
      <c r="AF36">
        <f t="shared" ref="AF36" si="30">SUM(Q35:AD36)</f>
        <v>27</v>
      </c>
      <c r="AG36">
        <f>COUNTIF($B$5:$B$1201, Tabla213[[#This Row],[Num. Parcela]])</f>
        <v>27</v>
      </c>
      <c r="AH36" t="b">
        <f t="shared" ref="AH36" si="31">IF(AF36=AG36, TRUE)</f>
        <v>1</v>
      </c>
      <c r="AK36">
        <v>9.1</v>
      </c>
      <c r="AL36" t="s">
        <v>8</v>
      </c>
      <c r="AM36" t="s">
        <v>113</v>
      </c>
      <c r="AN36" t="s">
        <v>476</v>
      </c>
    </row>
    <row r="37" spans="1:40" x14ac:dyDescent="0.2">
      <c r="A37" s="7">
        <v>33</v>
      </c>
      <c r="B37" s="7">
        <v>2</v>
      </c>
      <c r="C37" s="1" t="str">
        <f t="shared" si="0"/>
        <v>LA MAGUELLERA</v>
      </c>
      <c r="D37" s="7" t="s">
        <v>127</v>
      </c>
      <c r="E37" s="1" t="str">
        <f t="shared" si="1"/>
        <v>SAYULA</v>
      </c>
      <c r="F37" s="7">
        <v>1</v>
      </c>
      <c r="G37" s="7" t="s">
        <v>477</v>
      </c>
      <c r="H37" s="7" t="s">
        <v>149</v>
      </c>
      <c r="I37" s="8" t="s">
        <v>478</v>
      </c>
      <c r="J37" s="7">
        <v>33</v>
      </c>
      <c r="K37" s="19" t="s">
        <v>638</v>
      </c>
      <c r="M37">
        <v>9.1999999999999993</v>
      </c>
      <c r="N37" t="s">
        <v>658</v>
      </c>
      <c r="O37" t="s">
        <v>83</v>
      </c>
      <c r="P37" t="s">
        <v>476</v>
      </c>
      <c r="Q37">
        <f>COUNTIFS($H$4:$H$1201,Tabla213[[#Headers],[Neopestalotiopsis]], $G$4:$G$1201,Tabla213[[#This Row],[Organo]], $B$4:$B$1201,M37)</f>
        <v>1</v>
      </c>
      <c r="R37">
        <f>COUNTIFS($H$4:$H$1201,Tabla213[[#Headers],[Fusarium]], $G$4:$G$1201,Tabla213[[#This Row],[Organo]], $B$4:$B$1201,M37)</f>
        <v>5</v>
      </c>
      <c r="S37">
        <f>COUNTIFS($H$4:$H$1201,Tabla213[[#Headers],[Cylindrocarpon]], $G$4:$G$1201,Tabla213[[#This Row],[Organo]], $B$4:$B$1201,M37)</f>
        <v>0</v>
      </c>
      <c r="T37">
        <f>COUNTIFS($H$4:$H$1201,Tabla213[[#Headers],[Macrophomina]], $G$4:$G$1201,Tabla213[[#This Row],[Organo]], $B$4:$B$1201,M37)</f>
        <v>0</v>
      </c>
      <c r="U37">
        <f>COUNTIFS($H$4:$H$1201,Tabla213[[#Headers],[Rhizoctonia]], $G$4:$G$1201,Tabla213[[#This Row],[Organo]], $B$4:$B$1201,M37)</f>
        <v>0</v>
      </c>
      <c r="V37">
        <v>0</v>
      </c>
      <c r="W37">
        <f>COUNTIFS($H$4:$H$1201,Tabla213[[#Headers],[Alternaria]], $G$4:$G$1201,Tabla213[[#This Row],[Organo]], $B$4:$B$1201,M37)</f>
        <v>0</v>
      </c>
      <c r="X37">
        <f>COUNTIFS($H$4:$H$1201,Tabla213[[#Headers],[Botrytis]], $G$4:$G$1201,Tabla213[[#This Row],[Organo]], $B$4:$B$1201,M37)</f>
        <v>0</v>
      </c>
      <c r="Y37">
        <f>COUNTIFS($H$4:$H$1201,Tabla213[[#Headers],[Colletotrichum]], $G$4:$G$1201,Tabla213[[#This Row],[Organo]], $B$4:$B$1201,M37)</f>
        <v>0</v>
      </c>
      <c r="Z37">
        <f>COUNTIFS($H$4:$H$1201,Tabla213[[#Headers],[Aspergillus]], $G$4:$G$1201,Tabla213[[#This Row],[Organo]], $B$4:$B$1201,M37)</f>
        <v>0</v>
      </c>
      <c r="AA37">
        <f>COUNTIFS($H$4:$H$1201,Tabla213[[#Headers],[NO ID]], $G$4:$G$1201,Tabla213[[#This Row],[Organo]], $B$4:$B$1201,M37)</f>
        <v>0</v>
      </c>
      <c r="AB37">
        <f>COUNTIFS($H$4:$H$1201,Tabla213[[#Headers],[Trichoderma]], $G$4:$G$1201,Tabla213[[#This Row],[Organo]], $B$4:$B$1201,M37)</f>
        <v>0</v>
      </c>
      <c r="AC37">
        <f>COUNTIFS($H$4:$H$1201,Tabla213[[#Headers],[Rizophus]], $G$4:$G$1201,Tabla213[[#This Row],[Organo]], $B$4:$B$1201,M37)</f>
        <v>0</v>
      </c>
      <c r="AD37">
        <f>COUNTIFS($H$4:$H$1201,Tabla213[[#Headers],[FALTANTES]], $G$4:$G$1201,Tabla213[[#This Row],[Organo]], $B$4:$B$1201,M37)</f>
        <v>0</v>
      </c>
      <c r="AK37">
        <v>9.1999999999999993</v>
      </c>
      <c r="AL37" t="s">
        <v>8</v>
      </c>
      <c r="AM37" t="s">
        <v>83</v>
      </c>
      <c r="AN37" t="s">
        <v>477</v>
      </c>
    </row>
    <row r="38" spans="1:40" x14ac:dyDescent="0.2">
      <c r="A38" s="7">
        <v>34</v>
      </c>
      <c r="B38" s="7">
        <v>2</v>
      </c>
      <c r="C38" s="1" t="str">
        <f t="shared" si="0"/>
        <v>LA MAGUELLERA</v>
      </c>
      <c r="D38" s="7" t="s">
        <v>127</v>
      </c>
      <c r="E38" s="1" t="str">
        <f t="shared" si="1"/>
        <v>SAYULA</v>
      </c>
      <c r="F38" s="7">
        <v>2</v>
      </c>
      <c r="G38" s="7" t="s">
        <v>477</v>
      </c>
      <c r="H38" s="7" t="s">
        <v>149</v>
      </c>
      <c r="I38" s="8" t="s">
        <v>478</v>
      </c>
      <c r="J38" s="7">
        <v>34</v>
      </c>
      <c r="K38" s="7"/>
      <c r="M38">
        <v>9.1999999999999993</v>
      </c>
      <c r="N38" t="s">
        <v>658</v>
      </c>
      <c r="O38" t="s">
        <v>83</v>
      </c>
      <c r="P38" t="s">
        <v>477</v>
      </c>
      <c r="Q38">
        <f>COUNTIFS($H$4:$H$1201,Tabla213[[#Headers],[Neopestalotiopsis]], $G$4:$G$1201,Tabla213[[#This Row],[Organo]], $B$4:$B$1201,M38)</f>
        <v>1</v>
      </c>
      <c r="R38">
        <f>COUNTIFS($H$4:$H$1201,Tabla213[[#Headers],[Fusarium]], $G$4:$G$1201,Tabla213[[#This Row],[Organo]], $B$4:$B$1201,M38)</f>
        <v>6</v>
      </c>
      <c r="S38">
        <f>COUNTIFS($H$4:$H$1201,Tabla213[[#Headers],[Cylindrocarpon]], $G$4:$G$1201,Tabla213[[#This Row],[Organo]], $B$4:$B$1201,M38)</f>
        <v>0</v>
      </c>
      <c r="T38">
        <f>COUNTIFS($H$4:$H$1201,Tabla213[[#Headers],[Macrophomina]], $G$4:$G$1201,Tabla213[[#This Row],[Organo]], $B$4:$B$1201,M38)</f>
        <v>0</v>
      </c>
      <c r="U38">
        <f>COUNTIFS($H$4:$H$1201,Tabla213[[#Headers],[Rhizoctonia]], $G$4:$G$1201,Tabla213[[#This Row],[Organo]], $B$4:$B$1201,M38)</f>
        <v>0</v>
      </c>
      <c r="V38">
        <v>0</v>
      </c>
      <c r="W38">
        <f>COUNTIFS($H$4:$H$1201,Tabla213[[#Headers],[Alternaria]], $G$4:$G$1201,Tabla213[[#This Row],[Organo]], $B$4:$B$1201,M38)</f>
        <v>1</v>
      </c>
      <c r="X38">
        <f>COUNTIFS($H$4:$H$1201,Tabla213[[#Headers],[Botrytis]], $G$4:$G$1201,Tabla213[[#This Row],[Organo]], $B$4:$B$1201,M38)</f>
        <v>2</v>
      </c>
      <c r="Y38">
        <f>COUNTIFS($H$4:$H$1201,Tabla213[[#Headers],[Colletotrichum]], $G$4:$G$1201,Tabla213[[#This Row],[Organo]], $B$4:$B$1201,M38)</f>
        <v>0</v>
      </c>
      <c r="Z38">
        <f>COUNTIFS($H$4:$H$1201,Tabla213[[#Headers],[Aspergillus]], $G$4:$G$1201,Tabla213[[#This Row],[Organo]], $B$4:$B$1201,M38)</f>
        <v>0</v>
      </c>
      <c r="AA38">
        <f>COUNTIFS($H$4:$H$1201,Tabla213[[#Headers],[NO ID]], $G$4:$G$1201,Tabla213[[#This Row],[Organo]], $B$4:$B$1201,M38)</f>
        <v>0</v>
      </c>
      <c r="AB38">
        <f>COUNTIFS($H$4:$H$1201,Tabla213[[#Headers],[Trichoderma]], $G$4:$G$1201,Tabla213[[#This Row],[Organo]], $B$4:$B$1201,M38)</f>
        <v>0</v>
      </c>
      <c r="AC38">
        <f>COUNTIFS($H$4:$H$1201,Tabla213[[#Headers],[Rizophus]], $G$4:$G$1201,Tabla213[[#This Row],[Organo]], $B$4:$B$1201,M38)</f>
        <v>0</v>
      </c>
      <c r="AD38">
        <f>COUNTIFS($H$4:$H$1201,Tabla213[[#Headers],[FALTANTES]], $G$4:$G$1201,Tabla213[[#This Row],[Organo]], $B$4:$B$1201,M38)</f>
        <v>0</v>
      </c>
      <c r="AF38">
        <f t="shared" ref="AF38" si="32">SUM(Q37:AD38)</f>
        <v>16</v>
      </c>
      <c r="AG38">
        <f>COUNTIF($B$5:$B$1201, Tabla213[[#This Row],[Num. Parcela]])</f>
        <v>16</v>
      </c>
      <c r="AH38" t="b">
        <f t="shared" ref="AH38" si="33">IF(AF38=AG38, TRUE)</f>
        <v>1</v>
      </c>
      <c r="AK38">
        <v>9.1999999999999993</v>
      </c>
      <c r="AL38" t="s">
        <v>8</v>
      </c>
      <c r="AM38" t="s">
        <v>83</v>
      </c>
      <c r="AN38" t="s">
        <v>476</v>
      </c>
    </row>
    <row r="39" spans="1:40" x14ac:dyDescent="0.2">
      <c r="A39" s="7">
        <v>35</v>
      </c>
      <c r="B39" s="7">
        <v>2</v>
      </c>
      <c r="C39" s="1" t="str">
        <f t="shared" si="0"/>
        <v>LA MAGUELLERA</v>
      </c>
      <c r="D39" s="7" t="s">
        <v>127</v>
      </c>
      <c r="E39" s="1" t="str">
        <f t="shared" si="1"/>
        <v>SAYULA</v>
      </c>
      <c r="F39" s="7">
        <v>2</v>
      </c>
      <c r="G39" s="7" t="s">
        <v>477</v>
      </c>
      <c r="H39" s="7" t="s">
        <v>228</v>
      </c>
      <c r="I39" s="9" t="s">
        <v>482</v>
      </c>
      <c r="J39" s="9">
        <v>35</v>
      </c>
      <c r="K39" s="7"/>
      <c r="M39">
        <v>10</v>
      </c>
      <c r="N39" t="s">
        <v>9</v>
      </c>
      <c r="O39" t="s">
        <v>109</v>
      </c>
      <c r="P39" t="s">
        <v>476</v>
      </c>
      <c r="Q39">
        <f>COUNTIFS($H$4:$H$1201,Tabla213[[#Headers],[Neopestalotiopsis]], $G$4:$G$1201,Tabla213[[#This Row],[Organo]], $B$4:$B$1201,M39)</f>
        <v>0</v>
      </c>
      <c r="R39">
        <f>COUNTIFS($H$4:$H$1201,Tabla213[[#Headers],[Fusarium]], $G$4:$G$1201,Tabla213[[#This Row],[Organo]], $B$4:$B$1201,M39)</f>
        <v>4</v>
      </c>
      <c r="S39">
        <f>COUNTIFS($H$4:$H$1201,Tabla213[[#Headers],[Cylindrocarpon]], $G$4:$G$1201,Tabla213[[#This Row],[Organo]], $B$4:$B$1201,M39)</f>
        <v>0</v>
      </c>
      <c r="T39">
        <f>COUNTIFS($H$4:$H$1201,Tabla213[[#Headers],[Macrophomina]], $G$4:$G$1201,Tabla213[[#This Row],[Organo]], $B$4:$B$1201,M39)</f>
        <v>0</v>
      </c>
      <c r="U39">
        <f>COUNTIFS($H$4:$H$1201,Tabla213[[#Headers],[Rhizoctonia]], $G$4:$G$1201,Tabla213[[#This Row],[Organo]], $B$4:$B$1201,M39)</f>
        <v>0</v>
      </c>
      <c r="V39">
        <v>0</v>
      </c>
      <c r="W39">
        <f>COUNTIFS($H$4:$H$1201,Tabla213[[#Headers],[Alternaria]], $G$4:$G$1201,Tabla213[[#This Row],[Organo]], $B$4:$B$1201,M39)</f>
        <v>0</v>
      </c>
      <c r="X39">
        <f>COUNTIFS($H$4:$H$1201,Tabla213[[#Headers],[Botrytis]], $G$4:$G$1201,Tabla213[[#This Row],[Organo]], $B$4:$B$1201,M39)</f>
        <v>0</v>
      </c>
      <c r="Y39">
        <f>COUNTIFS($H$4:$H$1201,Tabla213[[#Headers],[Colletotrichum]], $G$4:$G$1201,Tabla213[[#This Row],[Organo]], $B$4:$B$1201,M39)</f>
        <v>0</v>
      </c>
      <c r="Z39">
        <f>COUNTIFS($H$4:$H$1201,Tabla213[[#Headers],[Aspergillus]], $G$4:$G$1201,Tabla213[[#This Row],[Organo]], $B$4:$B$1201,M39)</f>
        <v>0</v>
      </c>
      <c r="AA39">
        <f>COUNTIFS($H$4:$H$1201,Tabla213[[#Headers],[NO ID]], $G$4:$G$1201,Tabla213[[#This Row],[Organo]], $B$4:$B$1201,M39)</f>
        <v>0</v>
      </c>
      <c r="AB39">
        <f>COUNTIFS($H$4:$H$1201,Tabla213[[#Headers],[Trichoderma]], $G$4:$G$1201,Tabla213[[#This Row],[Organo]], $B$4:$B$1201,M39)</f>
        <v>0</v>
      </c>
      <c r="AC39">
        <f>COUNTIFS($H$4:$H$1201,Tabla213[[#Headers],[Rizophus]], $G$4:$G$1201,Tabla213[[#This Row],[Organo]], $B$4:$B$1201,M39)</f>
        <v>0</v>
      </c>
      <c r="AD39">
        <f>COUNTIFS($H$4:$H$1201,Tabla213[[#Headers],[FALTANTES]], $G$4:$G$1201,Tabla213[[#This Row],[Organo]], $B$4:$B$1201,M39)</f>
        <v>0</v>
      </c>
      <c r="AK39">
        <v>10</v>
      </c>
      <c r="AL39" t="s">
        <v>9</v>
      </c>
      <c r="AM39" t="s">
        <v>109</v>
      </c>
      <c r="AN39" t="s">
        <v>477</v>
      </c>
    </row>
    <row r="40" spans="1:40" x14ac:dyDescent="0.2">
      <c r="A40" s="7">
        <v>36</v>
      </c>
      <c r="B40" s="7">
        <v>2</v>
      </c>
      <c r="C40" s="1" t="str">
        <f t="shared" si="0"/>
        <v>LA MAGUELLERA</v>
      </c>
      <c r="D40" s="7" t="s">
        <v>127</v>
      </c>
      <c r="E40" s="1" t="str">
        <f t="shared" si="1"/>
        <v>SAYULA</v>
      </c>
      <c r="F40" s="7">
        <v>1</v>
      </c>
      <c r="G40" s="7" t="s">
        <v>477</v>
      </c>
      <c r="H40" s="7" t="s">
        <v>149</v>
      </c>
      <c r="I40" s="8" t="s">
        <v>478</v>
      </c>
      <c r="J40" s="7">
        <v>36</v>
      </c>
      <c r="K40" s="19" t="s">
        <v>638</v>
      </c>
      <c r="M40">
        <v>10</v>
      </c>
      <c r="N40" t="s">
        <v>9</v>
      </c>
      <c r="O40" t="s">
        <v>109</v>
      </c>
      <c r="P40" t="s">
        <v>477</v>
      </c>
      <c r="Q40">
        <f>COUNTIFS($H$4:$H$1201,Tabla213[[#Headers],[Neopestalotiopsis]], $G$4:$G$1201,Tabla213[[#This Row],[Organo]], $B$4:$B$1201,M40)</f>
        <v>0</v>
      </c>
      <c r="R40">
        <f>COUNTIFS($H$4:$H$1201,Tabla213[[#Headers],[Fusarium]], $G$4:$G$1201,Tabla213[[#This Row],[Organo]], $B$4:$B$1201,M40)</f>
        <v>4</v>
      </c>
      <c r="S40">
        <f>COUNTIFS($H$4:$H$1201,Tabla213[[#Headers],[Cylindrocarpon]], $G$4:$G$1201,Tabla213[[#This Row],[Organo]], $B$4:$B$1201,M40)</f>
        <v>2</v>
      </c>
      <c r="T40">
        <f>COUNTIFS($H$4:$H$1201,Tabla213[[#Headers],[Macrophomina]], $G$4:$G$1201,Tabla213[[#This Row],[Organo]], $B$4:$B$1201,M40)</f>
        <v>0</v>
      </c>
      <c r="U40">
        <f>COUNTIFS($H$4:$H$1201,Tabla213[[#Headers],[Rhizoctonia]], $G$4:$G$1201,Tabla213[[#This Row],[Organo]], $B$4:$B$1201,M40)</f>
        <v>0</v>
      </c>
      <c r="V40">
        <v>0</v>
      </c>
      <c r="W40">
        <f>COUNTIFS($H$4:$H$1201,Tabla213[[#Headers],[Alternaria]], $G$4:$G$1201,Tabla213[[#This Row],[Organo]], $B$4:$B$1201,M40)</f>
        <v>0</v>
      </c>
      <c r="X40">
        <f>COUNTIFS($H$4:$H$1201,Tabla213[[#Headers],[Botrytis]], $G$4:$G$1201,Tabla213[[#This Row],[Organo]], $B$4:$B$1201,M40)</f>
        <v>1</v>
      </c>
      <c r="Y40">
        <f>COUNTIFS($H$4:$H$1201,Tabla213[[#Headers],[Colletotrichum]], $G$4:$G$1201,Tabla213[[#This Row],[Organo]], $B$4:$B$1201,M40)</f>
        <v>0</v>
      </c>
      <c r="Z40">
        <f>COUNTIFS($H$4:$H$1201,Tabla213[[#Headers],[Aspergillus]], $G$4:$G$1201,Tabla213[[#This Row],[Organo]], $B$4:$B$1201,M40)</f>
        <v>0</v>
      </c>
      <c r="AA40">
        <f>COUNTIFS($H$4:$H$1201,Tabla213[[#Headers],[NO ID]], $G$4:$G$1201,Tabla213[[#This Row],[Organo]], $B$4:$B$1201,M40)</f>
        <v>1</v>
      </c>
      <c r="AB40">
        <f>COUNTIFS($H$4:$H$1201,Tabla213[[#Headers],[Trichoderma]], $G$4:$G$1201,Tabla213[[#This Row],[Organo]], $B$4:$B$1201,M40)</f>
        <v>0</v>
      </c>
      <c r="AC40">
        <f>COUNTIFS($H$4:$H$1201,Tabla213[[#Headers],[Rizophus]], $G$4:$G$1201,Tabla213[[#This Row],[Organo]], $B$4:$B$1201,M40)</f>
        <v>0</v>
      </c>
      <c r="AD40">
        <f>COUNTIFS($H$4:$H$1201,Tabla213[[#Headers],[FALTANTES]], $G$4:$G$1201,Tabla213[[#This Row],[Organo]], $B$4:$B$1201,M40)</f>
        <v>1</v>
      </c>
      <c r="AF40">
        <f t="shared" ref="AF40" si="34">SUM(Q39:AD40)</f>
        <v>13</v>
      </c>
      <c r="AG40">
        <f>COUNTIF($B$5:$B$1201, Tabla213[[#This Row],[Num. Parcela]])</f>
        <v>13</v>
      </c>
      <c r="AH40" t="b">
        <f t="shared" ref="AH40" si="35">IF(AF40=AG40, TRUE)</f>
        <v>1</v>
      </c>
      <c r="AK40">
        <v>10</v>
      </c>
      <c r="AL40" t="s">
        <v>9</v>
      </c>
      <c r="AM40" t="s">
        <v>109</v>
      </c>
      <c r="AN40" t="s">
        <v>476</v>
      </c>
    </row>
    <row r="41" spans="1:40" x14ac:dyDescent="0.2">
      <c r="A41" s="7">
        <v>37</v>
      </c>
      <c r="B41" s="7">
        <v>2</v>
      </c>
      <c r="C41" s="1" t="str">
        <f t="shared" si="0"/>
        <v>LA MAGUELLERA</v>
      </c>
      <c r="D41" s="7" t="s">
        <v>127</v>
      </c>
      <c r="E41" s="1" t="str">
        <f t="shared" si="1"/>
        <v>SAYULA</v>
      </c>
      <c r="F41" s="7">
        <v>1</v>
      </c>
      <c r="G41" s="7" t="s">
        <v>477</v>
      </c>
      <c r="H41" s="7" t="s">
        <v>149</v>
      </c>
      <c r="I41" s="7" t="s">
        <v>484</v>
      </c>
      <c r="J41" s="7">
        <v>37</v>
      </c>
      <c r="K41" s="7"/>
      <c r="M41">
        <v>11</v>
      </c>
      <c r="N41" t="s">
        <v>492</v>
      </c>
      <c r="O41" t="s">
        <v>111</v>
      </c>
      <c r="P41" t="s">
        <v>476</v>
      </c>
      <c r="Q41">
        <f>COUNTIFS($H$4:$H$1201,Tabla213[[#Headers],[Neopestalotiopsis]], $G$4:$G$1201,Tabla213[[#This Row],[Organo]], $B$4:$B$1201,M41)</f>
        <v>1</v>
      </c>
      <c r="R41">
        <f>COUNTIFS($H$4:$H$1201,Tabla213[[#Headers],[Fusarium]], $G$4:$G$1201,Tabla213[[#This Row],[Organo]], $B$4:$B$1201,M41)</f>
        <v>2</v>
      </c>
      <c r="S41">
        <f>COUNTIFS($H$4:$H$1201,Tabla213[[#Headers],[Cylindrocarpon]], $G$4:$G$1201,Tabla213[[#This Row],[Organo]], $B$4:$B$1201,M41)</f>
        <v>0</v>
      </c>
      <c r="T41">
        <f>COUNTIFS($H$4:$H$1201,Tabla213[[#Headers],[Macrophomina]], $G$4:$G$1201,Tabla213[[#This Row],[Organo]], $B$4:$B$1201,M41)</f>
        <v>0</v>
      </c>
      <c r="U41">
        <f>COUNTIFS($H$4:$H$1201,Tabla213[[#Headers],[Rhizoctonia]], $G$4:$G$1201,Tabla213[[#This Row],[Organo]], $B$4:$B$1201,M41)</f>
        <v>0</v>
      </c>
      <c r="V41">
        <v>0</v>
      </c>
      <c r="W41">
        <f>COUNTIFS($H$4:$H$1201,Tabla213[[#Headers],[Alternaria]], $G$4:$G$1201,Tabla213[[#This Row],[Organo]], $B$4:$B$1201,M41)</f>
        <v>0</v>
      </c>
      <c r="X41">
        <f>COUNTIFS($H$4:$H$1201,Tabla213[[#Headers],[Botrytis]], $G$4:$G$1201,Tabla213[[#This Row],[Organo]], $B$4:$B$1201,M41)</f>
        <v>0</v>
      </c>
      <c r="Y41">
        <f>COUNTIFS($H$4:$H$1201,Tabla213[[#Headers],[Colletotrichum]], $G$4:$G$1201,Tabla213[[#This Row],[Organo]], $B$4:$B$1201,M41)</f>
        <v>0</v>
      </c>
      <c r="Z41">
        <f>COUNTIFS($H$4:$H$1201,Tabla213[[#Headers],[Aspergillus]], $G$4:$G$1201,Tabla213[[#This Row],[Organo]], $B$4:$B$1201,M41)</f>
        <v>0</v>
      </c>
      <c r="AA41">
        <f>COUNTIFS($H$4:$H$1201,Tabla213[[#Headers],[NO ID]], $G$4:$G$1201,Tabla213[[#This Row],[Organo]], $B$4:$B$1201,M41)</f>
        <v>0</v>
      </c>
      <c r="AB41">
        <f>COUNTIFS($H$4:$H$1201,Tabla213[[#Headers],[Trichoderma]], $G$4:$G$1201,Tabla213[[#This Row],[Organo]], $B$4:$B$1201,M41)</f>
        <v>0</v>
      </c>
      <c r="AC41">
        <f>COUNTIFS($H$4:$H$1201,Tabla213[[#Headers],[Rizophus]], $G$4:$G$1201,Tabla213[[#This Row],[Organo]], $B$4:$B$1201,M41)</f>
        <v>0</v>
      </c>
      <c r="AD41">
        <f>COUNTIFS($H$4:$H$1201,Tabla213[[#Headers],[FALTANTES]], $G$4:$G$1201,Tabla213[[#This Row],[Organo]], $B$4:$B$1201,M41)</f>
        <v>0</v>
      </c>
      <c r="AK41">
        <v>11</v>
      </c>
      <c r="AL41" t="s">
        <v>10</v>
      </c>
      <c r="AM41" t="s">
        <v>111</v>
      </c>
      <c r="AN41" t="s">
        <v>477</v>
      </c>
    </row>
    <row r="42" spans="1:40" x14ac:dyDescent="0.2">
      <c r="A42" s="7">
        <v>38</v>
      </c>
      <c r="B42" s="7">
        <v>2</v>
      </c>
      <c r="C42" s="1" t="str">
        <f t="shared" si="0"/>
        <v>LA MAGUELLERA</v>
      </c>
      <c r="D42" s="7" t="s">
        <v>127</v>
      </c>
      <c r="E42" s="1" t="str">
        <f t="shared" si="1"/>
        <v>SAYULA</v>
      </c>
      <c r="F42" s="7">
        <v>1</v>
      </c>
      <c r="G42" s="7" t="s">
        <v>477</v>
      </c>
      <c r="H42" s="7" t="s">
        <v>149</v>
      </c>
      <c r="I42" s="8" t="s">
        <v>478</v>
      </c>
      <c r="J42" s="7">
        <v>38</v>
      </c>
      <c r="K42" s="19" t="s">
        <v>638</v>
      </c>
      <c r="M42">
        <v>11</v>
      </c>
      <c r="N42" t="s">
        <v>492</v>
      </c>
      <c r="O42" t="s">
        <v>111</v>
      </c>
      <c r="P42" t="s">
        <v>477</v>
      </c>
      <c r="Q42">
        <f>COUNTIFS($H$4:$H$1201,Tabla213[[#Headers],[Neopestalotiopsis]], $G$4:$G$1201,Tabla213[[#This Row],[Organo]], $B$4:$B$1201,M42)</f>
        <v>0</v>
      </c>
      <c r="R42">
        <f>COUNTIFS($H$4:$H$1201,Tabla213[[#Headers],[Fusarium]], $G$4:$G$1201,Tabla213[[#This Row],[Organo]], $B$4:$B$1201,M42)</f>
        <v>5</v>
      </c>
      <c r="S42">
        <f>COUNTIFS($H$4:$H$1201,Tabla213[[#Headers],[Cylindrocarpon]], $G$4:$G$1201,Tabla213[[#This Row],[Organo]], $B$4:$B$1201,M42)</f>
        <v>0</v>
      </c>
      <c r="T42">
        <f>COUNTIFS($H$4:$H$1201,Tabla213[[#Headers],[Macrophomina]], $G$4:$G$1201,Tabla213[[#This Row],[Organo]], $B$4:$B$1201,M42)</f>
        <v>0</v>
      </c>
      <c r="U42">
        <f>COUNTIFS($H$4:$H$1201,Tabla213[[#Headers],[Rhizoctonia]], $G$4:$G$1201,Tabla213[[#This Row],[Organo]], $B$4:$B$1201,M42)</f>
        <v>0</v>
      </c>
      <c r="V42">
        <v>0</v>
      </c>
      <c r="W42">
        <f>COUNTIFS($H$4:$H$1201,Tabla213[[#Headers],[Alternaria]], $G$4:$G$1201,Tabla213[[#This Row],[Organo]], $B$4:$B$1201,M42)</f>
        <v>0</v>
      </c>
      <c r="X42">
        <f>COUNTIFS($H$4:$H$1201,Tabla213[[#Headers],[Botrytis]], $G$4:$G$1201,Tabla213[[#This Row],[Organo]], $B$4:$B$1201,M42)</f>
        <v>0</v>
      </c>
      <c r="Y42">
        <f>COUNTIFS($H$4:$H$1201,Tabla213[[#Headers],[Colletotrichum]], $G$4:$G$1201,Tabla213[[#This Row],[Organo]], $B$4:$B$1201,M42)</f>
        <v>0</v>
      </c>
      <c r="Z42">
        <f>COUNTIFS($H$4:$H$1201,Tabla213[[#Headers],[Aspergillus]], $G$4:$G$1201,Tabla213[[#This Row],[Organo]], $B$4:$B$1201,M42)</f>
        <v>0</v>
      </c>
      <c r="AA42">
        <f>COUNTIFS($H$4:$H$1201,Tabla213[[#Headers],[NO ID]], $G$4:$G$1201,Tabla213[[#This Row],[Organo]], $B$4:$B$1201,M42)</f>
        <v>0</v>
      </c>
      <c r="AB42">
        <f>COUNTIFS($H$4:$H$1201,Tabla213[[#Headers],[Trichoderma]], $G$4:$G$1201,Tabla213[[#This Row],[Organo]], $B$4:$B$1201,M42)</f>
        <v>0</v>
      </c>
      <c r="AC42">
        <f>COUNTIFS($H$4:$H$1201,Tabla213[[#Headers],[Rizophus]], $G$4:$G$1201,Tabla213[[#This Row],[Organo]], $B$4:$B$1201,M42)</f>
        <v>0</v>
      </c>
      <c r="AD42">
        <f>COUNTIFS($H$4:$H$1201,Tabla213[[#Headers],[FALTANTES]], $G$4:$G$1201,Tabla213[[#This Row],[Organo]], $B$4:$B$1201,M42)</f>
        <v>0</v>
      </c>
      <c r="AF42">
        <f t="shared" ref="AF42" si="36">SUM(Q41:AD42)</f>
        <v>8</v>
      </c>
      <c r="AG42">
        <f>COUNTIF($B$5:$B$1201, Tabla213[[#This Row],[Num. Parcela]])</f>
        <v>8</v>
      </c>
      <c r="AH42" t="b">
        <f t="shared" ref="AH42" si="37">IF(AF42=AG42, TRUE)</f>
        <v>1</v>
      </c>
      <c r="AK42">
        <v>11</v>
      </c>
      <c r="AL42" t="s">
        <v>10</v>
      </c>
      <c r="AM42" t="s">
        <v>111</v>
      </c>
      <c r="AN42" t="s">
        <v>476</v>
      </c>
    </row>
    <row r="43" spans="1:40" x14ac:dyDescent="0.2">
      <c r="A43" s="7">
        <v>39</v>
      </c>
      <c r="B43" s="7">
        <v>2</v>
      </c>
      <c r="C43" s="1" t="str">
        <f t="shared" si="0"/>
        <v>LA MAGUELLERA</v>
      </c>
      <c r="D43" s="7" t="s">
        <v>127</v>
      </c>
      <c r="E43" s="1" t="str">
        <f t="shared" si="1"/>
        <v>SAYULA</v>
      </c>
      <c r="F43" s="7">
        <v>1</v>
      </c>
      <c r="G43" s="7" t="s">
        <v>477</v>
      </c>
      <c r="H43" s="7" t="s">
        <v>471</v>
      </c>
      <c r="I43" s="7" t="s">
        <v>471</v>
      </c>
      <c r="J43" s="7">
        <v>39</v>
      </c>
      <c r="K43" s="7"/>
      <c r="M43">
        <v>12</v>
      </c>
      <c r="N43" t="s">
        <v>11</v>
      </c>
      <c r="O43" t="s">
        <v>111</v>
      </c>
      <c r="P43" t="s">
        <v>476</v>
      </c>
      <c r="Q43">
        <f>COUNTIFS($H$4:$H$1201,Tabla213[[#Headers],[Neopestalotiopsis]], $G$4:$G$1201,Tabla213[[#This Row],[Organo]], $B$4:$B$1201,M43)</f>
        <v>4</v>
      </c>
      <c r="R43">
        <f>COUNTIFS($H$4:$H$1201,Tabla213[[#Headers],[Fusarium]], $G$4:$G$1201,Tabla213[[#This Row],[Organo]], $B$4:$B$1201,M43)</f>
        <v>3</v>
      </c>
      <c r="S43">
        <f>COUNTIFS($H$4:$H$1201,Tabla213[[#Headers],[Cylindrocarpon]], $G$4:$G$1201,Tabla213[[#This Row],[Organo]], $B$4:$B$1201,M43)</f>
        <v>0</v>
      </c>
      <c r="T43">
        <f>COUNTIFS($H$4:$H$1201,Tabla213[[#Headers],[Macrophomina]], $G$4:$G$1201,Tabla213[[#This Row],[Organo]], $B$4:$B$1201,M43)</f>
        <v>0</v>
      </c>
      <c r="U43">
        <f>COUNTIFS($H$4:$H$1201,Tabla213[[#Headers],[Rhizoctonia]], $G$4:$G$1201,Tabla213[[#This Row],[Organo]], $B$4:$B$1201,M43)</f>
        <v>0</v>
      </c>
      <c r="V43">
        <v>0</v>
      </c>
      <c r="W43">
        <f>COUNTIFS($H$4:$H$1201,Tabla213[[#Headers],[Alternaria]], $G$4:$G$1201,Tabla213[[#This Row],[Organo]], $B$4:$B$1201,M43)</f>
        <v>0</v>
      </c>
      <c r="X43">
        <f>COUNTIFS($H$4:$H$1201,Tabla213[[#Headers],[Botrytis]], $G$4:$G$1201,Tabla213[[#This Row],[Organo]], $B$4:$B$1201,M43)</f>
        <v>1</v>
      </c>
      <c r="Y43">
        <f>COUNTIFS($H$4:$H$1201,Tabla213[[#Headers],[Colletotrichum]], $G$4:$G$1201,Tabla213[[#This Row],[Organo]], $B$4:$B$1201,M43)</f>
        <v>0</v>
      </c>
      <c r="Z43">
        <f>COUNTIFS($H$4:$H$1201,Tabla213[[#Headers],[Aspergillus]], $G$4:$G$1201,Tabla213[[#This Row],[Organo]], $B$4:$B$1201,M43)</f>
        <v>0</v>
      </c>
      <c r="AA43">
        <f>COUNTIFS($H$4:$H$1201,Tabla213[[#Headers],[NO ID]], $G$4:$G$1201,Tabla213[[#This Row],[Organo]], $B$4:$B$1201,M43)</f>
        <v>0</v>
      </c>
      <c r="AB43">
        <f>COUNTIFS($H$4:$H$1201,Tabla213[[#Headers],[Trichoderma]], $G$4:$G$1201,Tabla213[[#This Row],[Organo]], $B$4:$B$1201,M43)</f>
        <v>0</v>
      </c>
      <c r="AC43">
        <f>COUNTIFS($H$4:$H$1201,Tabla213[[#Headers],[Rizophus]], $G$4:$G$1201,Tabla213[[#This Row],[Organo]], $B$4:$B$1201,M43)</f>
        <v>0</v>
      </c>
      <c r="AD43">
        <f>COUNTIFS($H$4:$H$1201,Tabla213[[#Headers],[FALTANTES]], $G$4:$G$1201,Tabla213[[#This Row],[Organo]], $B$4:$B$1201,M43)</f>
        <v>0</v>
      </c>
      <c r="AK43">
        <v>12</v>
      </c>
      <c r="AL43" t="s">
        <v>11</v>
      </c>
      <c r="AM43" t="s">
        <v>111</v>
      </c>
      <c r="AN43" t="s">
        <v>477</v>
      </c>
    </row>
    <row r="44" spans="1:40" x14ac:dyDescent="0.2">
      <c r="A44" s="7">
        <v>40</v>
      </c>
      <c r="B44" s="7">
        <v>2</v>
      </c>
      <c r="C44" s="1" t="str">
        <f t="shared" si="0"/>
        <v>LA MAGUELLERA</v>
      </c>
      <c r="D44" s="7" t="s">
        <v>127</v>
      </c>
      <c r="E44" s="1" t="str">
        <f t="shared" si="1"/>
        <v>SAYULA</v>
      </c>
      <c r="F44" s="7">
        <v>2</v>
      </c>
      <c r="G44" s="7" t="s">
        <v>477</v>
      </c>
      <c r="H44" s="7" t="s">
        <v>149</v>
      </c>
      <c r="I44" s="7" t="s">
        <v>480</v>
      </c>
      <c r="J44" s="7">
        <v>40</v>
      </c>
      <c r="K44" s="7" t="s">
        <v>638</v>
      </c>
      <c r="M44">
        <v>12</v>
      </c>
      <c r="N44" t="s">
        <v>11</v>
      </c>
      <c r="O44" t="s">
        <v>111</v>
      </c>
      <c r="P44" t="s">
        <v>477</v>
      </c>
      <c r="Q44">
        <f>COUNTIFS($H$4:$H$1201,Tabla213[[#Headers],[Neopestalotiopsis]], $G$4:$G$1201,Tabla213[[#This Row],[Organo]], $B$4:$B$1201,M44)</f>
        <v>1</v>
      </c>
      <c r="R44">
        <f>COUNTIFS($H$4:$H$1201,Tabla213[[#Headers],[Fusarium]], $G$4:$G$1201,Tabla213[[#This Row],[Organo]], $B$4:$B$1201,M44)</f>
        <v>2</v>
      </c>
      <c r="S44">
        <f>COUNTIFS($H$4:$H$1201,Tabla213[[#Headers],[Cylindrocarpon]], $G$4:$G$1201,Tabla213[[#This Row],[Organo]], $B$4:$B$1201,M44)</f>
        <v>0</v>
      </c>
      <c r="T44">
        <f>COUNTIFS($H$4:$H$1201,Tabla213[[#Headers],[Macrophomina]], $G$4:$G$1201,Tabla213[[#This Row],[Organo]], $B$4:$B$1201,M44)</f>
        <v>0</v>
      </c>
      <c r="U44">
        <f>COUNTIFS($H$4:$H$1201,Tabla213[[#Headers],[Rhizoctonia]], $G$4:$G$1201,Tabla213[[#This Row],[Organo]], $B$4:$B$1201,M44)</f>
        <v>0</v>
      </c>
      <c r="V44">
        <v>0</v>
      </c>
      <c r="W44">
        <f>COUNTIFS($H$4:$H$1201,Tabla213[[#Headers],[Alternaria]], $G$4:$G$1201,Tabla213[[#This Row],[Organo]], $B$4:$B$1201,M44)</f>
        <v>0</v>
      </c>
      <c r="X44">
        <f>COUNTIFS($H$4:$H$1201,Tabla213[[#Headers],[Botrytis]], $G$4:$G$1201,Tabla213[[#This Row],[Organo]], $B$4:$B$1201,M44)</f>
        <v>0</v>
      </c>
      <c r="Y44">
        <f>COUNTIFS($H$4:$H$1201,Tabla213[[#Headers],[Colletotrichum]], $G$4:$G$1201,Tabla213[[#This Row],[Organo]], $B$4:$B$1201,M44)</f>
        <v>0</v>
      </c>
      <c r="Z44">
        <f>COUNTIFS($H$4:$H$1201,Tabla213[[#Headers],[Aspergillus]], $G$4:$G$1201,Tabla213[[#This Row],[Organo]], $B$4:$B$1201,M44)</f>
        <v>0</v>
      </c>
      <c r="AA44">
        <f>COUNTIFS($H$4:$H$1201,Tabla213[[#Headers],[NO ID]], $G$4:$G$1201,Tabla213[[#This Row],[Organo]], $B$4:$B$1201,M44)</f>
        <v>0</v>
      </c>
      <c r="AB44">
        <f>COUNTIFS($H$4:$H$1201,Tabla213[[#Headers],[Trichoderma]], $G$4:$G$1201,Tabla213[[#This Row],[Organo]], $B$4:$B$1201,M44)</f>
        <v>0</v>
      </c>
      <c r="AC44">
        <f>COUNTIFS($H$4:$H$1201,Tabla213[[#Headers],[Rizophus]], $G$4:$G$1201,Tabla213[[#This Row],[Organo]], $B$4:$B$1201,M44)</f>
        <v>0</v>
      </c>
      <c r="AD44">
        <f>COUNTIFS($H$4:$H$1201,Tabla213[[#Headers],[FALTANTES]], $G$4:$G$1201,Tabla213[[#This Row],[Organo]], $B$4:$B$1201,M44)</f>
        <v>0</v>
      </c>
      <c r="AF44">
        <f t="shared" ref="AF44" si="38">SUM(Q43:AD44)</f>
        <v>11</v>
      </c>
      <c r="AG44">
        <f>COUNTIF($B$5:$B$1201, Tabla213[[#This Row],[Num. Parcela]])</f>
        <v>11</v>
      </c>
      <c r="AH44" t="b">
        <f t="shared" ref="AH44" si="39">IF(AF44=AG44, TRUE)</f>
        <v>1</v>
      </c>
      <c r="AK44">
        <v>12</v>
      </c>
      <c r="AL44" t="s">
        <v>11</v>
      </c>
      <c r="AM44" t="s">
        <v>111</v>
      </c>
      <c r="AN44" t="s">
        <v>476</v>
      </c>
    </row>
    <row r="45" spans="1:40" x14ac:dyDescent="0.2">
      <c r="A45" s="7">
        <v>41</v>
      </c>
      <c r="B45" s="7">
        <v>2</v>
      </c>
      <c r="C45" s="1" t="str">
        <f t="shared" si="0"/>
        <v>LA MAGUELLERA</v>
      </c>
      <c r="D45" s="7" t="s">
        <v>127</v>
      </c>
      <c r="E45" s="1" t="str">
        <f t="shared" si="1"/>
        <v>SAYULA</v>
      </c>
      <c r="F45" s="7">
        <v>2</v>
      </c>
      <c r="G45" s="7" t="s">
        <v>477</v>
      </c>
      <c r="H45" s="7" t="s">
        <v>149</v>
      </c>
      <c r="I45" s="7" t="s">
        <v>480</v>
      </c>
      <c r="J45" s="7">
        <v>41</v>
      </c>
      <c r="K45" s="7"/>
      <c r="M45">
        <v>13</v>
      </c>
      <c r="N45" t="s">
        <v>12</v>
      </c>
      <c r="O45" t="s">
        <v>114</v>
      </c>
      <c r="P45" t="s">
        <v>476</v>
      </c>
      <c r="Q45">
        <f>COUNTIFS($H$4:$H$1201,Tabla213[[#Headers],[Neopestalotiopsis]], $G$4:$G$1201,Tabla213[[#This Row],[Organo]], $B$4:$B$1201,M45)</f>
        <v>1</v>
      </c>
      <c r="R45">
        <f>COUNTIFS($H$4:$H$1201,Tabla213[[#Headers],[Fusarium]], $G$4:$G$1201,Tabla213[[#This Row],[Organo]], $B$4:$B$1201,M45)</f>
        <v>2</v>
      </c>
      <c r="S45">
        <f>COUNTIFS($H$4:$H$1201,Tabla213[[#Headers],[Cylindrocarpon]], $G$4:$G$1201,Tabla213[[#This Row],[Organo]], $B$4:$B$1201,M45)</f>
        <v>0</v>
      </c>
      <c r="T45">
        <f>COUNTIFS($H$4:$H$1201,Tabla213[[#Headers],[Macrophomina]], $G$4:$G$1201,Tabla213[[#This Row],[Organo]], $B$4:$B$1201,M45)</f>
        <v>1</v>
      </c>
      <c r="U45">
        <f>COUNTIFS($H$4:$H$1201,Tabla213[[#Headers],[Rhizoctonia]], $G$4:$G$1201,Tabla213[[#This Row],[Organo]], $B$4:$B$1201,M45)</f>
        <v>0</v>
      </c>
      <c r="V45">
        <v>0</v>
      </c>
      <c r="W45">
        <f>COUNTIFS($H$4:$H$1201,Tabla213[[#Headers],[Alternaria]], $G$4:$G$1201,Tabla213[[#This Row],[Organo]], $B$4:$B$1201,M45)</f>
        <v>0</v>
      </c>
      <c r="X45">
        <f>COUNTIFS($H$4:$H$1201,Tabla213[[#Headers],[Botrytis]], $G$4:$G$1201,Tabla213[[#This Row],[Organo]], $B$4:$B$1201,M45)</f>
        <v>0</v>
      </c>
      <c r="Y45">
        <f>COUNTIFS($H$4:$H$1201,Tabla213[[#Headers],[Colletotrichum]], $G$4:$G$1201,Tabla213[[#This Row],[Organo]], $B$4:$B$1201,M45)</f>
        <v>0</v>
      </c>
      <c r="Z45">
        <f>COUNTIFS($H$4:$H$1201,Tabla213[[#Headers],[Aspergillus]], $G$4:$G$1201,Tabla213[[#This Row],[Organo]], $B$4:$B$1201,M45)</f>
        <v>0</v>
      </c>
      <c r="AA45">
        <f>COUNTIFS($H$4:$H$1201,Tabla213[[#Headers],[NO ID]], $G$4:$G$1201,Tabla213[[#This Row],[Organo]], $B$4:$B$1201,M45)</f>
        <v>0</v>
      </c>
      <c r="AB45">
        <f>COUNTIFS($H$4:$H$1201,Tabla213[[#Headers],[Trichoderma]], $G$4:$G$1201,Tabla213[[#This Row],[Organo]], $B$4:$B$1201,M45)</f>
        <v>0</v>
      </c>
      <c r="AC45">
        <f>COUNTIFS($H$4:$H$1201,Tabla213[[#Headers],[Rizophus]], $G$4:$G$1201,Tabla213[[#This Row],[Organo]], $B$4:$B$1201,M45)</f>
        <v>0</v>
      </c>
      <c r="AD45">
        <f>COUNTIFS($H$4:$H$1201,Tabla213[[#Headers],[FALTANTES]], $G$4:$G$1201,Tabla213[[#This Row],[Organo]], $B$4:$B$1201,M45)</f>
        <v>0</v>
      </c>
      <c r="AK45">
        <v>13</v>
      </c>
      <c r="AL45" t="s">
        <v>12</v>
      </c>
      <c r="AM45" t="s">
        <v>114</v>
      </c>
      <c r="AN45" t="s">
        <v>477</v>
      </c>
    </row>
    <row r="46" spans="1:40" x14ac:dyDescent="0.2">
      <c r="A46" s="7">
        <v>42</v>
      </c>
      <c r="B46" s="7">
        <v>2</v>
      </c>
      <c r="C46" s="1" t="str">
        <f t="shared" si="0"/>
        <v>LA MAGUELLERA</v>
      </c>
      <c r="D46" s="7" t="s">
        <v>127</v>
      </c>
      <c r="E46" s="1" t="str">
        <f t="shared" si="1"/>
        <v>SAYULA</v>
      </c>
      <c r="F46" s="7">
        <v>2</v>
      </c>
      <c r="G46" s="7" t="s">
        <v>477</v>
      </c>
      <c r="H46" s="7" t="s">
        <v>149</v>
      </c>
      <c r="I46" s="7" t="s">
        <v>484</v>
      </c>
      <c r="J46" s="7">
        <v>42</v>
      </c>
      <c r="K46" s="7"/>
      <c r="M46">
        <v>13</v>
      </c>
      <c r="N46" t="s">
        <v>12</v>
      </c>
      <c r="O46" t="s">
        <v>114</v>
      </c>
      <c r="P46" t="s">
        <v>477</v>
      </c>
      <c r="Q46">
        <f>COUNTIFS($H$4:$H$1201,Tabla213[[#Headers],[Neopestalotiopsis]], $G$4:$G$1201,Tabla213[[#This Row],[Organo]], $B$4:$B$1201,M46)</f>
        <v>4</v>
      </c>
      <c r="R46">
        <f>COUNTIFS($H$4:$H$1201,Tabla213[[#Headers],[Fusarium]], $G$4:$G$1201,Tabla213[[#This Row],[Organo]], $B$4:$B$1201,M46)</f>
        <v>1</v>
      </c>
      <c r="S46">
        <f>COUNTIFS($H$4:$H$1201,Tabla213[[#Headers],[Cylindrocarpon]], $G$4:$G$1201,Tabla213[[#This Row],[Organo]], $B$4:$B$1201,M46)</f>
        <v>4</v>
      </c>
      <c r="T46">
        <f>COUNTIFS($H$4:$H$1201,Tabla213[[#Headers],[Macrophomina]], $G$4:$G$1201,Tabla213[[#This Row],[Organo]], $B$4:$B$1201,M46)</f>
        <v>1</v>
      </c>
      <c r="U46">
        <f>COUNTIFS($H$4:$H$1201,Tabla213[[#Headers],[Rhizoctonia]], $G$4:$G$1201,Tabla213[[#This Row],[Organo]], $B$4:$B$1201,M46)</f>
        <v>0</v>
      </c>
      <c r="V46">
        <v>0</v>
      </c>
      <c r="W46">
        <f>COUNTIFS($H$4:$H$1201,Tabla213[[#Headers],[Alternaria]], $G$4:$G$1201,Tabla213[[#This Row],[Organo]], $B$4:$B$1201,M46)</f>
        <v>0</v>
      </c>
      <c r="X46">
        <f>COUNTIFS($H$4:$H$1201,Tabla213[[#Headers],[Botrytis]], $G$4:$G$1201,Tabla213[[#This Row],[Organo]], $B$4:$B$1201,M46)</f>
        <v>1</v>
      </c>
      <c r="Y46">
        <f>COUNTIFS($H$4:$H$1201,Tabla213[[#Headers],[Colletotrichum]], $G$4:$G$1201,Tabla213[[#This Row],[Organo]], $B$4:$B$1201,M46)</f>
        <v>0</v>
      </c>
      <c r="Z46">
        <f>COUNTIFS($H$4:$H$1201,Tabla213[[#Headers],[Aspergillus]], $G$4:$G$1201,Tabla213[[#This Row],[Organo]], $B$4:$B$1201,M46)</f>
        <v>0</v>
      </c>
      <c r="AA46">
        <f>COUNTIFS($H$4:$H$1201,Tabla213[[#Headers],[NO ID]], $G$4:$G$1201,Tabla213[[#This Row],[Organo]], $B$4:$B$1201,M46)</f>
        <v>2</v>
      </c>
      <c r="AB46">
        <f>COUNTIFS($H$4:$H$1201,Tabla213[[#Headers],[Trichoderma]], $G$4:$G$1201,Tabla213[[#This Row],[Organo]], $B$4:$B$1201,M46)</f>
        <v>0</v>
      </c>
      <c r="AC46">
        <f>COUNTIFS($H$4:$H$1201,Tabla213[[#Headers],[Rizophus]], $G$4:$G$1201,Tabla213[[#This Row],[Organo]], $B$4:$B$1201,M46)</f>
        <v>0</v>
      </c>
      <c r="AD46">
        <f>COUNTIFS($H$4:$H$1201,Tabla213[[#Headers],[FALTANTES]], $G$4:$G$1201,Tabla213[[#This Row],[Organo]], $B$4:$B$1201,M46)</f>
        <v>0</v>
      </c>
      <c r="AF46">
        <f t="shared" ref="AF46" si="40">SUM(Q45:AD46)</f>
        <v>17</v>
      </c>
      <c r="AG46">
        <f>COUNTIF($B$5:$B$1201, Tabla213[[#This Row],[Num. Parcela]])</f>
        <v>17</v>
      </c>
      <c r="AH46" t="b">
        <f t="shared" ref="AH46" si="41">IF(AF46=AG46, TRUE)</f>
        <v>1</v>
      </c>
      <c r="AK46">
        <v>13</v>
      </c>
      <c r="AL46" t="s">
        <v>12</v>
      </c>
      <c r="AM46" t="s">
        <v>114</v>
      </c>
      <c r="AN46" t="s">
        <v>476</v>
      </c>
    </row>
    <row r="47" spans="1:40" x14ac:dyDescent="0.2">
      <c r="A47" s="7">
        <v>43</v>
      </c>
      <c r="B47" s="7">
        <v>2</v>
      </c>
      <c r="C47" s="1" t="str">
        <f t="shared" si="0"/>
        <v>LA MAGUELLERA</v>
      </c>
      <c r="D47" s="7" t="s">
        <v>127</v>
      </c>
      <c r="E47" s="1" t="str">
        <f t="shared" si="1"/>
        <v>SAYULA</v>
      </c>
      <c r="F47" s="7">
        <v>2</v>
      </c>
      <c r="G47" s="7" t="s">
        <v>477</v>
      </c>
      <c r="H47" s="7" t="s">
        <v>149</v>
      </c>
      <c r="I47" s="8" t="s">
        <v>478</v>
      </c>
      <c r="J47" s="7">
        <v>43</v>
      </c>
      <c r="K47" s="20"/>
      <c r="M47">
        <v>14.1</v>
      </c>
      <c r="N47" t="s">
        <v>661</v>
      </c>
      <c r="O47" t="s">
        <v>111</v>
      </c>
      <c r="P47" t="s">
        <v>476</v>
      </c>
      <c r="Q47">
        <f>COUNTIFS($H$4:$H$1201,Tabla213[[#Headers],[Neopestalotiopsis]], $G$4:$G$1201,Tabla213[[#This Row],[Organo]], $B$4:$B$1201,M47)</f>
        <v>0</v>
      </c>
      <c r="R47">
        <f>COUNTIFS($H$4:$H$1201,Tabla213[[#Headers],[Fusarium]], $G$4:$G$1201,Tabla213[[#This Row],[Organo]], $B$4:$B$1201,M47)</f>
        <v>0</v>
      </c>
      <c r="S47">
        <f>COUNTIFS($H$4:$H$1201,Tabla213[[#Headers],[Cylindrocarpon]], $G$4:$G$1201,Tabla213[[#This Row],[Organo]], $B$4:$B$1201,M47)</f>
        <v>0</v>
      </c>
      <c r="T47">
        <f>COUNTIFS($H$4:$H$1201,Tabla213[[#Headers],[Macrophomina]], $G$4:$G$1201,Tabla213[[#This Row],[Organo]], $B$4:$B$1201,M47)</f>
        <v>0</v>
      </c>
      <c r="U47">
        <f>COUNTIFS($H$4:$H$1201,Tabla213[[#Headers],[Rhizoctonia]], $G$4:$G$1201,Tabla213[[#This Row],[Organo]], $B$4:$B$1201,M47)</f>
        <v>0</v>
      </c>
      <c r="V47">
        <v>0</v>
      </c>
      <c r="W47">
        <f>COUNTIFS($H$4:$H$1201,Tabla213[[#Headers],[Alternaria]], $G$4:$G$1201,Tabla213[[#This Row],[Organo]], $B$4:$B$1201,M47)</f>
        <v>0</v>
      </c>
      <c r="X47">
        <f>COUNTIFS($H$4:$H$1201,Tabla213[[#Headers],[Botrytis]], $G$4:$G$1201,Tabla213[[#This Row],[Organo]], $B$4:$B$1201,M47)</f>
        <v>0</v>
      </c>
      <c r="Y47">
        <f>COUNTIFS($H$4:$H$1201,Tabla213[[#Headers],[Colletotrichum]], $G$4:$G$1201,Tabla213[[#This Row],[Organo]], $B$4:$B$1201,M47)</f>
        <v>0</v>
      </c>
      <c r="Z47">
        <f>COUNTIFS($H$4:$H$1201,Tabla213[[#Headers],[Aspergillus]], $G$4:$G$1201,Tabla213[[#This Row],[Organo]], $B$4:$B$1201,M47)</f>
        <v>0</v>
      </c>
      <c r="AA47">
        <f>COUNTIFS($H$4:$H$1201,Tabla213[[#Headers],[NO ID]], $G$4:$G$1201,Tabla213[[#This Row],[Organo]], $B$4:$B$1201,M47)</f>
        <v>0</v>
      </c>
      <c r="AB47">
        <f>COUNTIFS($H$4:$H$1201,Tabla213[[#Headers],[Trichoderma]], $G$4:$G$1201,Tabla213[[#This Row],[Organo]], $B$4:$B$1201,M47)</f>
        <v>0</v>
      </c>
      <c r="AC47">
        <f>COUNTIFS($H$4:$H$1201,Tabla213[[#Headers],[Rizophus]], $G$4:$G$1201,Tabla213[[#This Row],[Organo]], $B$4:$B$1201,M47)</f>
        <v>0</v>
      </c>
      <c r="AD47">
        <f>COUNTIFS($H$4:$H$1201,Tabla213[[#Headers],[FALTANTES]], $G$4:$G$1201,Tabla213[[#This Row],[Organo]], $B$4:$B$1201,M47)</f>
        <v>0</v>
      </c>
      <c r="AK47">
        <v>14.1</v>
      </c>
      <c r="AL47" t="s">
        <v>13</v>
      </c>
      <c r="AM47" t="s">
        <v>111</v>
      </c>
      <c r="AN47" t="s">
        <v>477</v>
      </c>
    </row>
    <row r="48" spans="1:40" x14ac:dyDescent="0.2">
      <c r="A48" s="7">
        <v>44</v>
      </c>
      <c r="B48" s="7">
        <v>2</v>
      </c>
      <c r="C48" s="1" t="str">
        <f t="shared" si="0"/>
        <v>LA MAGUELLERA</v>
      </c>
      <c r="D48" s="7" t="s">
        <v>127</v>
      </c>
      <c r="E48" s="1" t="str">
        <f t="shared" si="1"/>
        <v>SAYULA</v>
      </c>
      <c r="F48" s="7">
        <v>1</v>
      </c>
      <c r="G48" s="7" t="s">
        <v>476</v>
      </c>
      <c r="H48" s="7" t="s">
        <v>155</v>
      </c>
      <c r="I48" s="7" t="s">
        <v>223</v>
      </c>
      <c r="J48" s="7">
        <v>44</v>
      </c>
      <c r="K48" s="19" t="s">
        <v>638</v>
      </c>
      <c r="M48">
        <v>14.1</v>
      </c>
      <c r="N48" t="s">
        <v>661</v>
      </c>
      <c r="O48" t="s">
        <v>111</v>
      </c>
      <c r="P48" t="s">
        <v>477</v>
      </c>
      <c r="Q48">
        <f>COUNTIFS($H$4:$H$1201,Tabla213[[#Headers],[Neopestalotiopsis]], $G$4:$G$1201,Tabla213[[#This Row],[Organo]], $B$4:$B$1201,M48)</f>
        <v>1</v>
      </c>
      <c r="R48">
        <f>COUNTIFS($H$4:$H$1201,Tabla213[[#Headers],[Fusarium]], $G$4:$G$1201,Tabla213[[#This Row],[Organo]], $B$4:$B$1201,M48)</f>
        <v>8</v>
      </c>
      <c r="S48">
        <f>COUNTIFS($H$4:$H$1201,Tabla213[[#Headers],[Cylindrocarpon]], $G$4:$G$1201,Tabla213[[#This Row],[Organo]], $B$4:$B$1201,M48)</f>
        <v>0</v>
      </c>
      <c r="T48">
        <f>COUNTIFS($H$4:$H$1201,Tabla213[[#Headers],[Macrophomina]], $G$4:$G$1201,Tabla213[[#This Row],[Organo]], $B$4:$B$1201,M48)</f>
        <v>0</v>
      </c>
      <c r="U48">
        <f>COUNTIFS($H$4:$H$1201,Tabla213[[#Headers],[Rhizoctonia]], $G$4:$G$1201,Tabla213[[#This Row],[Organo]], $B$4:$B$1201,M48)</f>
        <v>0</v>
      </c>
      <c r="V48">
        <v>0</v>
      </c>
      <c r="W48">
        <f>COUNTIFS($H$4:$H$1201,Tabla213[[#Headers],[Alternaria]], $G$4:$G$1201,Tabla213[[#This Row],[Organo]], $B$4:$B$1201,M48)</f>
        <v>0</v>
      </c>
      <c r="X48">
        <f>COUNTIFS($H$4:$H$1201,Tabla213[[#Headers],[Botrytis]], $G$4:$G$1201,Tabla213[[#This Row],[Organo]], $B$4:$B$1201,M48)</f>
        <v>0</v>
      </c>
      <c r="Y48">
        <f>COUNTIFS($H$4:$H$1201,Tabla213[[#Headers],[Colletotrichum]], $G$4:$G$1201,Tabla213[[#This Row],[Organo]], $B$4:$B$1201,M48)</f>
        <v>0</v>
      </c>
      <c r="Z48">
        <f>COUNTIFS($H$4:$H$1201,Tabla213[[#Headers],[Aspergillus]], $G$4:$G$1201,Tabla213[[#This Row],[Organo]], $B$4:$B$1201,M48)</f>
        <v>0</v>
      </c>
      <c r="AA48">
        <f>COUNTIFS($H$4:$H$1201,Tabla213[[#Headers],[NO ID]], $G$4:$G$1201,Tabla213[[#This Row],[Organo]], $B$4:$B$1201,M48)</f>
        <v>1</v>
      </c>
      <c r="AB48">
        <f>COUNTIFS($H$4:$H$1201,Tabla213[[#Headers],[Trichoderma]], $G$4:$G$1201,Tabla213[[#This Row],[Organo]], $B$4:$B$1201,M48)</f>
        <v>0</v>
      </c>
      <c r="AC48">
        <f>COUNTIFS($H$4:$H$1201,Tabla213[[#Headers],[Rizophus]], $G$4:$G$1201,Tabla213[[#This Row],[Organo]], $B$4:$B$1201,M48)</f>
        <v>0</v>
      </c>
      <c r="AD48">
        <f>COUNTIFS($H$4:$H$1201,Tabla213[[#Headers],[FALTANTES]], $G$4:$G$1201,Tabla213[[#This Row],[Organo]], $B$4:$B$1201,M48)</f>
        <v>0</v>
      </c>
      <c r="AF48">
        <f t="shared" ref="AF48" si="42">SUM(Q47:AD48)</f>
        <v>10</v>
      </c>
      <c r="AG48">
        <f>COUNTIF($B$5:$B$1201, Tabla213[[#This Row],[Num. Parcela]])</f>
        <v>10</v>
      </c>
      <c r="AH48" t="b">
        <f t="shared" ref="AH48" si="43">IF(AF48=AG48, TRUE)</f>
        <v>1</v>
      </c>
      <c r="AK48">
        <v>14.1</v>
      </c>
      <c r="AL48" t="s">
        <v>13</v>
      </c>
      <c r="AM48" t="s">
        <v>111</v>
      </c>
      <c r="AN48" t="s">
        <v>476</v>
      </c>
    </row>
    <row r="49" spans="1:40" x14ac:dyDescent="0.2">
      <c r="A49" s="7">
        <v>45</v>
      </c>
      <c r="B49" s="7">
        <v>2</v>
      </c>
      <c r="C49" s="1" t="str">
        <f t="shared" si="0"/>
        <v>LA MAGUELLERA</v>
      </c>
      <c r="D49" s="7" t="s">
        <v>127</v>
      </c>
      <c r="E49" s="1" t="str">
        <f t="shared" si="1"/>
        <v>SAYULA</v>
      </c>
      <c r="F49" s="7">
        <v>2</v>
      </c>
      <c r="G49" s="7" t="s">
        <v>476</v>
      </c>
      <c r="H49" s="7" t="s">
        <v>472</v>
      </c>
      <c r="I49" s="7" t="s">
        <v>472</v>
      </c>
      <c r="J49" s="7">
        <v>45</v>
      </c>
      <c r="K49" s="19" t="s">
        <v>638</v>
      </c>
      <c r="M49">
        <v>14.2</v>
      </c>
      <c r="N49" t="s">
        <v>662</v>
      </c>
      <c r="O49" t="s">
        <v>115</v>
      </c>
      <c r="P49" t="s">
        <v>476</v>
      </c>
      <c r="Q49">
        <f>COUNTIFS($H$4:$H$1201,Tabla213[[#Headers],[Neopestalotiopsis]], $G$4:$G$1201,Tabla213[[#This Row],[Organo]], $B$4:$B$1201,M49)</f>
        <v>2</v>
      </c>
      <c r="R49">
        <f>COUNTIFS($H$4:$H$1201,Tabla213[[#Headers],[Fusarium]], $G$4:$G$1201,Tabla213[[#This Row],[Organo]], $B$4:$B$1201,M49)</f>
        <v>5</v>
      </c>
      <c r="S49">
        <f>COUNTIFS($H$4:$H$1201,Tabla213[[#Headers],[Cylindrocarpon]], $G$4:$G$1201,Tabla213[[#This Row],[Organo]], $B$4:$B$1201,M49)</f>
        <v>0</v>
      </c>
      <c r="T49">
        <f>COUNTIFS($H$4:$H$1201,Tabla213[[#Headers],[Macrophomina]], $G$4:$G$1201,Tabla213[[#This Row],[Organo]], $B$4:$B$1201,M49)</f>
        <v>1</v>
      </c>
      <c r="U49">
        <f>COUNTIFS($H$4:$H$1201,Tabla213[[#Headers],[Rhizoctonia]], $G$4:$G$1201,Tabla213[[#This Row],[Organo]], $B$4:$B$1201,M49)</f>
        <v>0</v>
      </c>
      <c r="V49">
        <v>1</v>
      </c>
      <c r="W49">
        <f>COUNTIFS($H$4:$H$1201,Tabla213[[#Headers],[Alternaria]], $G$4:$G$1201,Tabla213[[#This Row],[Organo]], $B$4:$B$1201,M49)</f>
        <v>0</v>
      </c>
      <c r="X49">
        <f>COUNTIFS($H$4:$H$1201,Tabla213[[#Headers],[Botrytis]], $G$4:$G$1201,Tabla213[[#This Row],[Organo]], $B$4:$B$1201,M49)</f>
        <v>0</v>
      </c>
      <c r="Y49">
        <f>COUNTIFS($H$4:$H$1201,Tabla213[[#Headers],[Colletotrichum]], $G$4:$G$1201,Tabla213[[#This Row],[Organo]], $B$4:$B$1201,M49)</f>
        <v>0</v>
      </c>
      <c r="Z49">
        <f>COUNTIFS($H$4:$H$1201,Tabla213[[#Headers],[Aspergillus]], $G$4:$G$1201,Tabla213[[#This Row],[Organo]], $B$4:$B$1201,M49)</f>
        <v>0</v>
      </c>
      <c r="AA49">
        <f>COUNTIFS($H$4:$H$1201,Tabla213[[#Headers],[NO ID]], $G$4:$G$1201,Tabla213[[#This Row],[Organo]], $B$4:$B$1201,M49)</f>
        <v>0</v>
      </c>
      <c r="AB49">
        <f>COUNTIFS($H$4:$H$1201,Tabla213[[#Headers],[Trichoderma]], $G$4:$G$1201,Tabla213[[#This Row],[Organo]], $B$4:$B$1201,M49)</f>
        <v>0</v>
      </c>
      <c r="AC49">
        <f>COUNTIFS($H$4:$H$1201,Tabla213[[#Headers],[Rizophus]], $G$4:$G$1201,Tabla213[[#This Row],[Organo]], $B$4:$B$1201,M49)</f>
        <v>0</v>
      </c>
      <c r="AD49">
        <f>COUNTIFS($H$4:$H$1201,Tabla213[[#Headers],[FALTANTES]], $G$4:$G$1201,Tabla213[[#This Row],[Organo]], $B$4:$B$1201,M49)</f>
        <v>0</v>
      </c>
      <c r="AK49">
        <v>14.2</v>
      </c>
      <c r="AL49" t="s">
        <v>13</v>
      </c>
      <c r="AM49" t="s">
        <v>115</v>
      </c>
      <c r="AN49" t="s">
        <v>477</v>
      </c>
    </row>
    <row r="50" spans="1:40" x14ac:dyDescent="0.2">
      <c r="A50" s="7">
        <v>46</v>
      </c>
      <c r="B50" s="7">
        <v>2</v>
      </c>
      <c r="C50" s="1" t="str">
        <f t="shared" si="0"/>
        <v>LA MAGUELLERA</v>
      </c>
      <c r="D50" s="7" t="s">
        <v>127</v>
      </c>
      <c r="E50" s="1" t="str">
        <f t="shared" si="1"/>
        <v>SAYULA</v>
      </c>
      <c r="F50" s="7">
        <v>2</v>
      </c>
      <c r="G50" s="7" t="s">
        <v>476</v>
      </c>
      <c r="H50" s="7" t="s">
        <v>472</v>
      </c>
      <c r="I50" s="7" t="s">
        <v>472</v>
      </c>
      <c r="J50" s="7">
        <v>46</v>
      </c>
      <c r="K50" s="19" t="s">
        <v>638</v>
      </c>
      <c r="M50">
        <v>14.2</v>
      </c>
      <c r="N50" t="s">
        <v>662</v>
      </c>
      <c r="O50" t="s">
        <v>115</v>
      </c>
      <c r="P50" t="s">
        <v>477</v>
      </c>
      <c r="Q50">
        <f>COUNTIFS($H$4:$H$1201,Tabla213[[#Headers],[Neopestalotiopsis]], $G$4:$G$1201,Tabla213[[#This Row],[Organo]], $B$4:$B$1201,M50)</f>
        <v>0</v>
      </c>
      <c r="R50">
        <f>COUNTIFS($H$4:$H$1201,Tabla213[[#Headers],[Fusarium]], $G$4:$G$1201,Tabla213[[#This Row],[Organo]], $B$4:$B$1201,M50)</f>
        <v>0</v>
      </c>
      <c r="S50">
        <f>COUNTIFS($H$4:$H$1201,Tabla213[[#Headers],[Cylindrocarpon]], $G$4:$G$1201,Tabla213[[#This Row],[Organo]], $B$4:$B$1201,M50)</f>
        <v>0</v>
      </c>
      <c r="T50">
        <f>COUNTIFS($H$4:$H$1201,Tabla213[[#Headers],[Macrophomina]], $G$4:$G$1201,Tabla213[[#This Row],[Organo]], $B$4:$B$1201,M50)</f>
        <v>1</v>
      </c>
      <c r="U50">
        <f>COUNTIFS($H$4:$H$1201,Tabla213[[#Headers],[Rhizoctonia]], $G$4:$G$1201,Tabla213[[#This Row],[Organo]], $B$4:$B$1201,M50)</f>
        <v>0</v>
      </c>
      <c r="V50">
        <v>0</v>
      </c>
      <c r="W50">
        <f>COUNTIFS($H$4:$H$1201,Tabla213[[#Headers],[Alternaria]], $G$4:$G$1201,Tabla213[[#This Row],[Organo]], $B$4:$B$1201,M50)</f>
        <v>0</v>
      </c>
      <c r="X50">
        <f>COUNTIFS($H$4:$H$1201,Tabla213[[#Headers],[Botrytis]], $G$4:$G$1201,Tabla213[[#This Row],[Organo]], $B$4:$B$1201,M50)</f>
        <v>0</v>
      </c>
      <c r="Y50">
        <f>COUNTIFS($H$4:$H$1201,Tabla213[[#Headers],[Colletotrichum]], $G$4:$G$1201,Tabla213[[#This Row],[Organo]], $B$4:$B$1201,M50)</f>
        <v>0</v>
      </c>
      <c r="Z50">
        <f>COUNTIFS($H$4:$H$1201,Tabla213[[#Headers],[Aspergillus]], $G$4:$G$1201,Tabla213[[#This Row],[Organo]], $B$4:$B$1201,M50)</f>
        <v>0</v>
      </c>
      <c r="AA50">
        <f>COUNTIFS($H$4:$H$1201,Tabla213[[#Headers],[NO ID]], $G$4:$G$1201,Tabla213[[#This Row],[Organo]], $B$4:$B$1201,M50)</f>
        <v>0</v>
      </c>
      <c r="AB50">
        <f>COUNTIFS($H$4:$H$1201,Tabla213[[#Headers],[Trichoderma]], $G$4:$G$1201,Tabla213[[#This Row],[Organo]], $B$4:$B$1201,M50)</f>
        <v>0</v>
      </c>
      <c r="AC50">
        <f>COUNTIFS($H$4:$H$1201,Tabla213[[#Headers],[Rizophus]], $G$4:$G$1201,Tabla213[[#This Row],[Organo]], $B$4:$B$1201,M50)</f>
        <v>0</v>
      </c>
      <c r="AD50">
        <f>COUNTIFS($H$4:$H$1201,Tabla213[[#Headers],[FALTANTES]], $G$4:$G$1201,Tabla213[[#This Row],[Organo]], $B$4:$B$1201,M50)</f>
        <v>0</v>
      </c>
      <c r="AF50">
        <f t="shared" ref="AF50" si="44">SUM(Q49:AD50)</f>
        <v>10</v>
      </c>
      <c r="AG50">
        <f>COUNTIF($B$5:$B$1201, Tabla213[[#This Row],[Num. Parcela]])</f>
        <v>10</v>
      </c>
      <c r="AH50" t="b">
        <f t="shared" ref="AH50" si="45">IF(AF50=AG50, TRUE)</f>
        <v>1</v>
      </c>
      <c r="AK50">
        <v>14.2</v>
      </c>
      <c r="AL50" t="s">
        <v>13</v>
      </c>
      <c r="AM50" t="s">
        <v>115</v>
      </c>
      <c r="AN50" t="s">
        <v>476</v>
      </c>
    </row>
    <row r="51" spans="1:40" x14ac:dyDescent="0.2">
      <c r="A51" s="7">
        <v>47</v>
      </c>
      <c r="B51" s="7">
        <v>2</v>
      </c>
      <c r="C51" s="1" t="str">
        <f t="shared" si="0"/>
        <v>LA MAGUELLERA</v>
      </c>
      <c r="D51" s="7" t="s">
        <v>127</v>
      </c>
      <c r="E51" s="1" t="str">
        <f t="shared" si="1"/>
        <v>SAYULA</v>
      </c>
      <c r="F51" s="7">
        <v>1</v>
      </c>
      <c r="G51" s="7" t="s">
        <v>477</v>
      </c>
      <c r="H51" s="7" t="s">
        <v>155</v>
      </c>
      <c r="I51" s="7" t="s">
        <v>223</v>
      </c>
      <c r="J51" s="7">
        <v>47</v>
      </c>
      <c r="K51" s="19" t="s">
        <v>638</v>
      </c>
      <c r="M51">
        <v>15.1</v>
      </c>
      <c r="N51" t="s">
        <v>663</v>
      </c>
      <c r="O51" t="s">
        <v>114</v>
      </c>
      <c r="P51" t="s">
        <v>476</v>
      </c>
      <c r="Q51">
        <f>COUNTIFS($H$4:$H$1201,Tabla213[[#Headers],[Neopestalotiopsis]], $G$4:$G$1201,Tabla213[[#This Row],[Organo]], $B$4:$B$1201,M51)</f>
        <v>0</v>
      </c>
      <c r="R51">
        <f>COUNTIFS($H$4:$H$1201,Tabla213[[#Headers],[Fusarium]], $G$4:$G$1201,Tabla213[[#This Row],[Organo]], $B$4:$B$1201,M51)</f>
        <v>2</v>
      </c>
      <c r="S51">
        <f>COUNTIFS($H$4:$H$1201,Tabla213[[#Headers],[Cylindrocarpon]], $G$4:$G$1201,Tabla213[[#This Row],[Organo]], $B$4:$B$1201,M51)</f>
        <v>0</v>
      </c>
      <c r="T51">
        <f>COUNTIFS($H$4:$H$1201,Tabla213[[#Headers],[Macrophomina]], $G$4:$G$1201,Tabla213[[#This Row],[Organo]], $B$4:$B$1201,M51)</f>
        <v>0</v>
      </c>
      <c r="U51">
        <f>COUNTIFS($H$4:$H$1201,Tabla213[[#Headers],[Rhizoctonia]], $G$4:$G$1201,Tabla213[[#This Row],[Organo]], $B$4:$B$1201,M51)</f>
        <v>0</v>
      </c>
      <c r="V51">
        <v>0</v>
      </c>
      <c r="W51">
        <f>COUNTIFS($H$4:$H$1201,Tabla213[[#Headers],[Alternaria]], $G$4:$G$1201,Tabla213[[#This Row],[Organo]], $B$4:$B$1201,M51)</f>
        <v>0</v>
      </c>
      <c r="X51">
        <f>COUNTIFS($H$4:$H$1201,Tabla213[[#Headers],[Botrytis]], $G$4:$G$1201,Tabla213[[#This Row],[Organo]], $B$4:$B$1201,M51)</f>
        <v>0</v>
      </c>
      <c r="Y51">
        <f>COUNTIFS($H$4:$H$1201,Tabla213[[#Headers],[Colletotrichum]], $G$4:$G$1201,Tabla213[[#This Row],[Organo]], $B$4:$B$1201,M51)</f>
        <v>0</v>
      </c>
      <c r="Z51">
        <f>COUNTIFS($H$4:$H$1201,Tabla213[[#Headers],[Aspergillus]], $G$4:$G$1201,Tabla213[[#This Row],[Organo]], $B$4:$B$1201,M51)</f>
        <v>0</v>
      </c>
      <c r="AA51">
        <f>COUNTIFS($H$4:$H$1201,Tabla213[[#Headers],[NO ID]], $G$4:$G$1201,Tabla213[[#This Row],[Organo]], $B$4:$B$1201,M51)</f>
        <v>0</v>
      </c>
      <c r="AB51">
        <f>COUNTIFS($H$4:$H$1201,Tabla213[[#Headers],[Trichoderma]], $G$4:$G$1201,Tabla213[[#This Row],[Organo]], $B$4:$B$1201,M51)</f>
        <v>0</v>
      </c>
      <c r="AC51">
        <f>COUNTIFS($H$4:$H$1201,Tabla213[[#Headers],[Rizophus]], $G$4:$G$1201,Tabla213[[#This Row],[Organo]], $B$4:$B$1201,M51)</f>
        <v>0</v>
      </c>
      <c r="AD51">
        <f>COUNTIFS($H$4:$H$1201,Tabla213[[#Headers],[FALTANTES]], $G$4:$G$1201,Tabla213[[#This Row],[Organo]], $B$4:$B$1201,M51)</f>
        <v>0</v>
      </c>
      <c r="AK51">
        <v>15.1</v>
      </c>
      <c r="AL51" t="s">
        <v>14</v>
      </c>
      <c r="AM51" t="s">
        <v>114</v>
      </c>
      <c r="AN51" t="s">
        <v>477</v>
      </c>
    </row>
    <row r="52" spans="1:40" x14ac:dyDescent="0.2">
      <c r="A52" s="7">
        <v>48</v>
      </c>
      <c r="B52" s="7">
        <v>2</v>
      </c>
      <c r="C52" s="1" t="str">
        <f t="shared" si="0"/>
        <v>LA MAGUELLERA</v>
      </c>
      <c r="D52" s="7" t="s">
        <v>127</v>
      </c>
      <c r="E52" s="1" t="str">
        <f t="shared" si="1"/>
        <v>SAYULA</v>
      </c>
      <c r="F52" s="7">
        <v>1</v>
      </c>
      <c r="G52" s="7" t="s">
        <v>477</v>
      </c>
      <c r="H52" s="7" t="s">
        <v>149</v>
      </c>
      <c r="I52" s="8" t="s">
        <v>478</v>
      </c>
      <c r="J52" s="7">
        <v>48</v>
      </c>
      <c r="K52" s="19" t="s">
        <v>638</v>
      </c>
      <c r="M52">
        <v>15.1</v>
      </c>
      <c r="N52" t="s">
        <v>663</v>
      </c>
      <c r="O52" t="s">
        <v>114</v>
      </c>
      <c r="P52" t="s">
        <v>477</v>
      </c>
      <c r="Q52">
        <f>COUNTIFS($H$4:$H$1201,Tabla213[[#Headers],[Neopestalotiopsis]], $G$4:$G$1201,Tabla213[[#This Row],[Organo]], $B$4:$B$1201,M52)</f>
        <v>1</v>
      </c>
      <c r="R52">
        <f>COUNTIFS($H$4:$H$1201,Tabla213[[#Headers],[Fusarium]], $G$4:$G$1201,Tabla213[[#This Row],[Organo]], $B$4:$B$1201,M52)</f>
        <v>2</v>
      </c>
      <c r="S52">
        <f>COUNTIFS($H$4:$H$1201,Tabla213[[#Headers],[Cylindrocarpon]], $G$4:$G$1201,Tabla213[[#This Row],[Organo]], $B$4:$B$1201,M52)</f>
        <v>0</v>
      </c>
      <c r="T52">
        <f>COUNTIFS($H$4:$H$1201,Tabla213[[#Headers],[Macrophomina]], $G$4:$G$1201,Tabla213[[#This Row],[Organo]], $B$4:$B$1201,M52)</f>
        <v>0</v>
      </c>
      <c r="U52">
        <f>COUNTIFS($H$4:$H$1201,Tabla213[[#Headers],[Rhizoctonia]], $G$4:$G$1201,Tabla213[[#This Row],[Organo]], $B$4:$B$1201,M52)</f>
        <v>0</v>
      </c>
      <c r="V52">
        <v>0</v>
      </c>
      <c r="W52">
        <f>COUNTIFS($H$4:$H$1201,Tabla213[[#Headers],[Alternaria]], $G$4:$G$1201,Tabla213[[#This Row],[Organo]], $B$4:$B$1201,M52)</f>
        <v>0</v>
      </c>
      <c r="X52">
        <f>COUNTIFS($H$4:$H$1201,Tabla213[[#Headers],[Botrytis]], $G$4:$G$1201,Tabla213[[#This Row],[Organo]], $B$4:$B$1201,M52)</f>
        <v>0</v>
      </c>
      <c r="Y52">
        <f>COUNTIFS($H$4:$H$1201,Tabla213[[#Headers],[Colletotrichum]], $G$4:$G$1201,Tabla213[[#This Row],[Organo]], $B$4:$B$1201,M52)</f>
        <v>0</v>
      </c>
      <c r="Z52">
        <f>COUNTIFS($H$4:$H$1201,Tabla213[[#Headers],[Aspergillus]], $G$4:$G$1201,Tabla213[[#This Row],[Organo]], $B$4:$B$1201,M52)</f>
        <v>0</v>
      </c>
      <c r="AA52">
        <f>COUNTIFS($H$4:$H$1201,Tabla213[[#Headers],[NO ID]], $G$4:$G$1201,Tabla213[[#This Row],[Organo]], $B$4:$B$1201,M52)</f>
        <v>1</v>
      </c>
      <c r="AB52">
        <f>COUNTIFS($H$4:$H$1201,Tabla213[[#Headers],[Trichoderma]], $G$4:$G$1201,Tabla213[[#This Row],[Organo]], $B$4:$B$1201,M52)</f>
        <v>0</v>
      </c>
      <c r="AC52">
        <f>COUNTIFS($H$4:$H$1201,Tabla213[[#Headers],[Rizophus]], $G$4:$G$1201,Tabla213[[#This Row],[Organo]], $B$4:$B$1201,M52)</f>
        <v>0</v>
      </c>
      <c r="AD52">
        <f>COUNTIFS($H$4:$H$1201,Tabla213[[#Headers],[FALTANTES]], $G$4:$G$1201,Tabla213[[#This Row],[Organo]], $B$4:$B$1201,M52)</f>
        <v>0</v>
      </c>
      <c r="AF52">
        <f t="shared" ref="AF52" si="46">SUM(Q51:AD52)</f>
        <v>6</v>
      </c>
      <c r="AG52">
        <f>COUNTIF($B$5:$B$1201, Tabla213[[#This Row],[Num. Parcela]])</f>
        <v>6</v>
      </c>
      <c r="AH52" t="b">
        <f t="shared" ref="AH52" si="47">IF(AF52=AG52, TRUE)</f>
        <v>1</v>
      </c>
      <c r="AK52">
        <v>15.1</v>
      </c>
      <c r="AL52" t="s">
        <v>14</v>
      </c>
      <c r="AM52" t="s">
        <v>114</v>
      </c>
      <c r="AN52" t="s">
        <v>476</v>
      </c>
    </row>
    <row r="53" spans="1:40" x14ac:dyDescent="0.2">
      <c r="A53" s="7">
        <v>49</v>
      </c>
      <c r="B53" s="7">
        <v>2</v>
      </c>
      <c r="C53" s="1" t="str">
        <f t="shared" si="0"/>
        <v>LA MAGUELLERA</v>
      </c>
      <c r="D53" s="7" t="s">
        <v>127</v>
      </c>
      <c r="E53" s="1" t="str">
        <f t="shared" si="1"/>
        <v>SAYULA</v>
      </c>
      <c r="F53" s="7">
        <v>1</v>
      </c>
      <c r="G53" s="7" t="s">
        <v>477</v>
      </c>
      <c r="H53" s="7" t="s">
        <v>149</v>
      </c>
      <c r="I53" s="7" t="s">
        <v>480</v>
      </c>
      <c r="J53" s="7">
        <v>49</v>
      </c>
      <c r="K53" s="7"/>
      <c r="M53">
        <v>15.2</v>
      </c>
      <c r="N53" t="s">
        <v>664</v>
      </c>
      <c r="O53" t="s">
        <v>116</v>
      </c>
      <c r="P53" t="s">
        <v>476</v>
      </c>
      <c r="Q53">
        <f>COUNTIFS($H$4:$H$1201,Tabla213[[#Headers],[Neopestalotiopsis]], $G$4:$G$1201,Tabla213[[#This Row],[Organo]], $B$4:$B$1201,M53)</f>
        <v>0</v>
      </c>
      <c r="R53">
        <f>COUNTIFS($H$4:$H$1201,Tabla213[[#Headers],[Fusarium]], $G$4:$G$1201,Tabla213[[#This Row],[Organo]], $B$4:$B$1201,M53)</f>
        <v>0</v>
      </c>
      <c r="S53">
        <f>COUNTIFS($H$4:$H$1201,Tabla213[[#Headers],[Cylindrocarpon]], $G$4:$G$1201,Tabla213[[#This Row],[Organo]], $B$4:$B$1201,M53)</f>
        <v>0</v>
      </c>
      <c r="T53">
        <f>COUNTIFS($H$4:$H$1201,Tabla213[[#Headers],[Macrophomina]], $G$4:$G$1201,Tabla213[[#This Row],[Organo]], $B$4:$B$1201,M53)</f>
        <v>0</v>
      </c>
      <c r="U53">
        <f>COUNTIFS($H$4:$H$1201,Tabla213[[#Headers],[Rhizoctonia]], $G$4:$G$1201,Tabla213[[#This Row],[Organo]], $B$4:$B$1201,M53)</f>
        <v>0</v>
      </c>
      <c r="V53">
        <v>0</v>
      </c>
      <c r="W53">
        <f>COUNTIFS($H$4:$H$1201,Tabla213[[#Headers],[Alternaria]], $G$4:$G$1201,Tabla213[[#This Row],[Organo]], $B$4:$B$1201,M53)</f>
        <v>0</v>
      </c>
      <c r="X53">
        <f>COUNTIFS($H$4:$H$1201,Tabla213[[#Headers],[Botrytis]], $G$4:$G$1201,Tabla213[[#This Row],[Organo]], $B$4:$B$1201,M53)</f>
        <v>0</v>
      </c>
      <c r="Y53">
        <f>COUNTIFS($H$4:$H$1201,Tabla213[[#Headers],[Colletotrichum]], $G$4:$G$1201,Tabla213[[#This Row],[Organo]], $B$4:$B$1201,M53)</f>
        <v>0</v>
      </c>
      <c r="Z53">
        <f>COUNTIFS($H$4:$H$1201,Tabla213[[#Headers],[Aspergillus]], $G$4:$G$1201,Tabla213[[#This Row],[Organo]], $B$4:$B$1201,M53)</f>
        <v>0</v>
      </c>
      <c r="AA53">
        <f>COUNTIFS($H$4:$H$1201,Tabla213[[#Headers],[NO ID]], $G$4:$G$1201,Tabla213[[#This Row],[Organo]], $B$4:$B$1201,M53)</f>
        <v>0</v>
      </c>
      <c r="AB53">
        <f>COUNTIFS($H$4:$H$1201,Tabla213[[#Headers],[Trichoderma]], $G$4:$G$1201,Tabla213[[#This Row],[Organo]], $B$4:$B$1201,M53)</f>
        <v>0</v>
      </c>
      <c r="AC53">
        <f>COUNTIFS($H$4:$H$1201,Tabla213[[#Headers],[Rizophus]], $G$4:$G$1201,Tabla213[[#This Row],[Organo]], $B$4:$B$1201,M53)</f>
        <v>0</v>
      </c>
      <c r="AD53">
        <f>COUNTIFS($H$4:$H$1201,Tabla213[[#Headers],[FALTANTES]], $G$4:$G$1201,Tabla213[[#This Row],[Organo]], $B$4:$B$1201,M53)</f>
        <v>0</v>
      </c>
      <c r="AK53">
        <v>15.2</v>
      </c>
      <c r="AL53" t="s">
        <v>14</v>
      </c>
      <c r="AM53" t="s">
        <v>116</v>
      </c>
      <c r="AN53" t="s">
        <v>477</v>
      </c>
    </row>
    <row r="54" spans="1:40" x14ac:dyDescent="0.2">
      <c r="A54" s="7">
        <v>50</v>
      </c>
      <c r="B54" s="7">
        <v>2</v>
      </c>
      <c r="C54" s="1" t="str">
        <f t="shared" si="0"/>
        <v>LA MAGUELLERA</v>
      </c>
      <c r="D54" s="7" t="s">
        <v>127</v>
      </c>
      <c r="E54" s="1" t="str">
        <f t="shared" si="1"/>
        <v>SAYULA</v>
      </c>
      <c r="F54" s="7">
        <v>1</v>
      </c>
      <c r="G54" s="7" t="s">
        <v>477</v>
      </c>
      <c r="H54" s="7" t="s">
        <v>228</v>
      </c>
      <c r="I54" s="9" t="s">
        <v>482</v>
      </c>
      <c r="J54" s="9">
        <v>50</v>
      </c>
      <c r="K54" s="7"/>
      <c r="M54">
        <v>15.2</v>
      </c>
      <c r="N54" t="s">
        <v>664</v>
      </c>
      <c r="O54" t="s">
        <v>116</v>
      </c>
      <c r="P54" t="s">
        <v>477</v>
      </c>
      <c r="Q54">
        <f>COUNTIFS($H$4:$H$1201,Tabla213[[#Headers],[Neopestalotiopsis]], $G$4:$G$1201,Tabla213[[#This Row],[Organo]], $B$4:$B$1201,M54)</f>
        <v>0</v>
      </c>
      <c r="R54">
        <f>COUNTIFS($H$4:$H$1201,Tabla213[[#Headers],[Fusarium]], $G$4:$G$1201,Tabla213[[#This Row],[Organo]], $B$4:$B$1201,M54)</f>
        <v>0</v>
      </c>
      <c r="S54">
        <f>COUNTIFS($H$4:$H$1201,Tabla213[[#Headers],[Cylindrocarpon]], $G$4:$G$1201,Tabla213[[#This Row],[Organo]], $B$4:$B$1201,M54)</f>
        <v>0</v>
      </c>
      <c r="T54">
        <f>COUNTIFS($H$4:$H$1201,Tabla213[[#Headers],[Macrophomina]], $G$4:$G$1201,Tabla213[[#This Row],[Organo]], $B$4:$B$1201,M54)</f>
        <v>0</v>
      </c>
      <c r="U54">
        <f>COUNTIFS($H$4:$H$1201,Tabla213[[#Headers],[Rhizoctonia]], $G$4:$G$1201,Tabla213[[#This Row],[Organo]], $B$4:$B$1201,M54)</f>
        <v>0</v>
      </c>
      <c r="V54">
        <v>0</v>
      </c>
      <c r="W54">
        <f>COUNTIFS($H$4:$H$1201,Tabla213[[#Headers],[Alternaria]], $G$4:$G$1201,Tabla213[[#This Row],[Organo]], $B$4:$B$1201,M54)</f>
        <v>0</v>
      </c>
      <c r="X54">
        <f>COUNTIFS($H$4:$H$1201,Tabla213[[#Headers],[Botrytis]], $G$4:$G$1201,Tabla213[[#This Row],[Organo]], $B$4:$B$1201,M54)</f>
        <v>0</v>
      </c>
      <c r="Y54">
        <f>COUNTIFS($H$4:$H$1201,Tabla213[[#Headers],[Colletotrichum]], $G$4:$G$1201,Tabla213[[#This Row],[Organo]], $B$4:$B$1201,M54)</f>
        <v>0</v>
      </c>
      <c r="Z54">
        <f>COUNTIFS($H$4:$H$1201,Tabla213[[#Headers],[Aspergillus]], $G$4:$G$1201,Tabla213[[#This Row],[Organo]], $B$4:$B$1201,M54)</f>
        <v>0</v>
      </c>
      <c r="AA54">
        <f>COUNTIFS($H$4:$H$1201,Tabla213[[#Headers],[NO ID]], $G$4:$G$1201,Tabla213[[#This Row],[Organo]], $B$4:$B$1201,M54)</f>
        <v>0</v>
      </c>
      <c r="AB54">
        <f>COUNTIFS($H$4:$H$1201,Tabla213[[#Headers],[Trichoderma]], $G$4:$G$1201,Tabla213[[#This Row],[Organo]], $B$4:$B$1201,M54)</f>
        <v>0</v>
      </c>
      <c r="AC54">
        <f>COUNTIFS($H$4:$H$1201,Tabla213[[#Headers],[Rizophus]], $G$4:$G$1201,Tabla213[[#This Row],[Organo]], $B$4:$B$1201,M54)</f>
        <v>0</v>
      </c>
      <c r="AD54">
        <f>COUNTIFS($H$4:$H$1201,Tabla213[[#Headers],[FALTANTES]], $G$4:$G$1201,Tabla213[[#This Row],[Organo]], $B$4:$B$1201,M54)</f>
        <v>0</v>
      </c>
      <c r="AF54">
        <f t="shared" ref="AF54" si="48">SUM(Q53:AD54)</f>
        <v>0</v>
      </c>
      <c r="AG54">
        <f>COUNTIF($B$5:$B$1201, Tabla213[[#This Row],[Num. Parcela]])</f>
        <v>0</v>
      </c>
      <c r="AH54" t="b">
        <f t="shared" ref="AH54" si="49">IF(AF54=AG54, TRUE)</f>
        <v>1</v>
      </c>
      <c r="AK54">
        <v>15.2</v>
      </c>
      <c r="AL54" t="s">
        <v>14</v>
      </c>
      <c r="AM54" t="s">
        <v>116</v>
      </c>
      <c r="AN54" t="s">
        <v>476</v>
      </c>
    </row>
    <row r="55" spans="1:40" x14ac:dyDescent="0.2">
      <c r="A55" s="7">
        <v>51</v>
      </c>
      <c r="B55" s="7">
        <v>2</v>
      </c>
      <c r="C55" s="1" t="str">
        <f t="shared" si="0"/>
        <v>LA MAGUELLERA</v>
      </c>
      <c r="D55" s="7" t="s">
        <v>127</v>
      </c>
      <c r="E55" s="1" t="str">
        <f t="shared" si="1"/>
        <v>SAYULA</v>
      </c>
      <c r="F55" s="7">
        <v>1</v>
      </c>
      <c r="G55" s="7" t="s">
        <v>477</v>
      </c>
      <c r="H55" s="7" t="s">
        <v>149</v>
      </c>
      <c r="I55" s="8" t="s">
        <v>478</v>
      </c>
      <c r="J55" s="7">
        <v>51</v>
      </c>
      <c r="K55" s="19" t="s">
        <v>638</v>
      </c>
      <c r="M55">
        <v>16.100000000000001</v>
      </c>
      <c r="N55" t="s">
        <v>665</v>
      </c>
      <c r="O55" t="s">
        <v>83</v>
      </c>
      <c r="P55" t="s">
        <v>476</v>
      </c>
      <c r="Q55">
        <f>COUNTIFS($H$4:$H$1201,Tabla213[[#Headers],[Neopestalotiopsis]], $G$4:$G$1201,Tabla213[[#This Row],[Organo]], $B$4:$B$1201,M55)</f>
        <v>0</v>
      </c>
      <c r="R55">
        <f>COUNTIFS($H$4:$H$1201,Tabla213[[#Headers],[Fusarium]], $G$4:$G$1201,Tabla213[[#This Row],[Organo]], $B$4:$B$1201,M55)</f>
        <v>0</v>
      </c>
      <c r="S55">
        <f>COUNTIFS($H$4:$H$1201,Tabla213[[#Headers],[Cylindrocarpon]], $G$4:$G$1201,Tabla213[[#This Row],[Organo]], $B$4:$B$1201,M55)</f>
        <v>0</v>
      </c>
      <c r="T55">
        <f>COUNTIFS($H$4:$H$1201,Tabla213[[#Headers],[Macrophomina]], $G$4:$G$1201,Tabla213[[#This Row],[Organo]], $B$4:$B$1201,M55)</f>
        <v>0</v>
      </c>
      <c r="U55">
        <f>COUNTIFS($H$4:$H$1201,Tabla213[[#Headers],[Rhizoctonia]], $G$4:$G$1201,Tabla213[[#This Row],[Organo]], $B$4:$B$1201,M55)</f>
        <v>0</v>
      </c>
      <c r="V55">
        <v>0</v>
      </c>
      <c r="W55">
        <f>COUNTIFS($H$4:$H$1201,Tabla213[[#Headers],[Alternaria]], $G$4:$G$1201,Tabla213[[#This Row],[Organo]], $B$4:$B$1201,M55)</f>
        <v>0</v>
      </c>
      <c r="X55">
        <f>COUNTIFS($H$4:$H$1201,Tabla213[[#Headers],[Botrytis]], $G$4:$G$1201,Tabla213[[#This Row],[Organo]], $B$4:$B$1201,M55)</f>
        <v>0</v>
      </c>
      <c r="Y55">
        <f>COUNTIFS($H$4:$H$1201,Tabla213[[#Headers],[Colletotrichum]], $G$4:$G$1201,Tabla213[[#This Row],[Organo]], $B$4:$B$1201,M55)</f>
        <v>0</v>
      </c>
      <c r="Z55">
        <f>COUNTIFS($H$4:$H$1201,Tabla213[[#Headers],[Aspergillus]], $G$4:$G$1201,Tabla213[[#This Row],[Organo]], $B$4:$B$1201,M55)</f>
        <v>0</v>
      </c>
      <c r="AA55">
        <f>COUNTIFS($H$4:$H$1201,Tabla213[[#Headers],[NO ID]], $G$4:$G$1201,Tabla213[[#This Row],[Organo]], $B$4:$B$1201,M55)</f>
        <v>1</v>
      </c>
      <c r="AB55">
        <f>COUNTIFS($H$4:$H$1201,Tabla213[[#Headers],[Trichoderma]], $G$4:$G$1201,Tabla213[[#This Row],[Organo]], $B$4:$B$1201,M55)</f>
        <v>0</v>
      </c>
      <c r="AC55">
        <f>COUNTIFS($H$4:$H$1201,Tabla213[[#Headers],[Rizophus]], $G$4:$G$1201,Tabla213[[#This Row],[Organo]], $B$4:$B$1201,M55)</f>
        <v>0</v>
      </c>
      <c r="AD55">
        <f>COUNTIFS($H$4:$H$1201,Tabla213[[#Headers],[FALTANTES]], $G$4:$G$1201,Tabla213[[#This Row],[Organo]], $B$4:$B$1201,M55)</f>
        <v>0</v>
      </c>
      <c r="AK55">
        <v>16.100000000000001</v>
      </c>
      <c r="AL55" t="s">
        <v>15</v>
      </c>
      <c r="AM55" t="s">
        <v>117</v>
      </c>
      <c r="AN55" t="s">
        <v>477</v>
      </c>
    </row>
    <row r="56" spans="1:40" x14ac:dyDescent="0.2">
      <c r="A56" s="7">
        <v>52</v>
      </c>
      <c r="B56" s="7">
        <v>2</v>
      </c>
      <c r="C56" s="1" t="str">
        <f t="shared" si="0"/>
        <v>LA MAGUELLERA</v>
      </c>
      <c r="D56" s="7" t="s">
        <v>127</v>
      </c>
      <c r="E56" s="1" t="str">
        <f t="shared" si="1"/>
        <v>SAYULA</v>
      </c>
      <c r="F56" s="7">
        <v>2</v>
      </c>
      <c r="G56" s="7" t="s">
        <v>477</v>
      </c>
      <c r="H56" s="7" t="s">
        <v>149</v>
      </c>
      <c r="I56" s="8" t="s">
        <v>478</v>
      </c>
      <c r="J56" s="7">
        <v>52</v>
      </c>
      <c r="K56" s="19" t="s">
        <v>638</v>
      </c>
      <c r="M56">
        <v>16.100000000000001</v>
      </c>
      <c r="N56" t="s">
        <v>665</v>
      </c>
      <c r="O56" t="s">
        <v>83</v>
      </c>
      <c r="P56" t="s">
        <v>477</v>
      </c>
      <c r="Q56">
        <f>COUNTIFS($H$4:$H$1201,Tabla213[[#Headers],[Neopestalotiopsis]], $G$4:$G$1201,Tabla213[[#This Row],[Organo]], $B$4:$B$1201,M56)</f>
        <v>0</v>
      </c>
      <c r="R56">
        <f>COUNTIFS($H$4:$H$1201,Tabla213[[#Headers],[Fusarium]], $G$4:$G$1201,Tabla213[[#This Row],[Organo]], $B$4:$B$1201,M56)</f>
        <v>2</v>
      </c>
      <c r="S56">
        <f>COUNTIFS($H$4:$H$1201,Tabla213[[#Headers],[Cylindrocarpon]], $G$4:$G$1201,Tabla213[[#This Row],[Organo]], $B$4:$B$1201,M56)</f>
        <v>0</v>
      </c>
      <c r="T56">
        <f>COUNTIFS($H$4:$H$1201,Tabla213[[#Headers],[Macrophomina]], $G$4:$G$1201,Tabla213[[#This Row],[Organo]], $B$4:$B$1201,M56)</f>
        <v>0</v>
      </c>
      <c r="U56">
        <f>COUNTIFS($H$4:$H$1201,Tabla213[[#Headers],[Rhizoctonia]], $G$4:$G$1201,Tabla213[[#This Row],[Organo]], $B$4:$B$1201,M56)</f>
        <v>0</v>
      </c>
      <c r="V56">
        <v>0</v>
      </c>
      <c r="W56">
        <f>COUNTIFS($H$4:$H$1201,Tabla213[[#Headers],[Alternaria]], $G$4:$G$1201,Tabla213[[#This Row],[Organo]], $B$4:$B$1201,M56)</f>
        <v>0</v>
      </c>
      <c r="X56">
        <f>COUNTIFS($H$4:$H$1201,Tabla213[[#Headers],[Botrytis]], $G$4:$G$1201,Tabla213[[#This Row],[Organo]], $B$4:$B$1201,M56)</f>
        <v>0</v>
      </c>
      <c r="Y56">
        <f>COUNTIFS($H$4:$H$1201,Tabla213[[#Headers],[Colletotrichum]], $G$4:$G$1201,Tabla213[[#This Row],[Organo]], $B$4:$B$1201,M56)</f>
        <v>0</v>
      </c>
      <c r="Z56">
        <f>COUNTIFS($H$4:$H$1201,Tabla213[[#Headers],[Aspergillus]], $G$4:$G$1201,Tabla213[[#This Row],[Organo]], $B$4:$B$1201,M56)</f>
        <v>0</v>
      </c>
      <c r="AA56">
        <f>COUNTIFS($H$4:$H$1201,Tabla213[[#Headers],[NO ID]], $G$4:$G$1201,Tabla213[[#This Row],[Organo]], $B$4:$B$1201,M56)</f>
        <v>0</v>
      </c>
      <c r="AB56">
        <f>COUNTIFS($H$4:$H$1201,Tabla213[[#Headers],[Trichoderma]], $G$4:$G$1201,Tabla213[[#This Row],[Organo]], $B$4:$B$1201,M56)</f>
        <v>1</v>
      </c>
      <c r="AC56">
        <f>COUNTIFS($H$4:$H$1201,Tabla213[[#Headers],[Rizophus]], $G$4:$G$1201,Tabla213[[#This Row],[Organo]], $B$4:$B$1201,M56)</f>
        <v>0</v>
      </c>
      <c r="AD56">
        <f>COUNTIFS($H$4:$H$1201,Tabla213[[#Headers],[FALTANTES]], $G$4:$G$1201,Tabla213[[#This Row],[Organo]], $B$4:$B$1201,M56)</f>
        <v>0</v>
      </c>
      <c r="AF56">
        <f t="shared" ref="AF56" si="50">SUM(Q55:AD56)</f>
        <v>4</v>
      </c>
      <c r="AG56">
        <f>COUNTIF($B$5:$B$1201, Tabla213[[#This Row],[Num. Parcela]])</f>
        <v>4</v>
      </c>
      <c r="AH56" t="b">
        <f t="shared" ref="AH56" si="51">IF(AF56=AG56, TRUE)</f>
        <v>1</v>
      </c>
      <c r="AK56">
        <v>16.100000000000001</v>
      </c>
      <c r="AL56" t="s">
        <v>15</v>
      </c>
      <c r="AM56" t="s">
        <v>117</v>
      </c>
      <c r="AN56" t="s">
        <v>476</v>
      </c>
    </row>
    <row r="57" spans="1:40" x14ac:dyDescent="0.2">
      <c r="A57" s="7">
        <v>53</v>
      </c>
      <c r="B57" s="7">
        <v>2</v>
      </c>
      <c r="C57" s="1" t="str">
        <f t="shared" si="0"/>
        <v>LA MAGUELLERA</v>
      </c>
      <c r="D57" s="7" t="s">
        <v>127</v>
      </c>
      <c r="E57" s="1" t="str">
        <f t="shared" si="1"/>
        <v>SAYULA</v>
      </c>
      <c r="F57" s="7">
        <v>2</v>
      </c>
      <c r="G57" s="7" t="s">
        <v>477</v>
      </c>
      <c r="H57" s="7" t="s">
        <v>149</v>
      </c>
      <c r="I57" s="8" t="s">
        <v>478</v>
      </c>
      <c r="J57" s="7">
        <v>53</v>
      </c>
      <c r="K57" s="19" t="s">
        <v>638</v>
      </c>
      <c r="M57">
        <v>16.2</v>
      </c>
      <c r="N57" t="s">
        <v>666</v>
      </c>
      <c r="O57" t="s">
        <v>116</v>
      </c>
      <c r="P57" t="s">
        <v>476</v>
      </c>
      <c r="Q57">
        <f>COUNTIFS($H$4:$H$1201,Tabla213[[#Headers],[Neopestalotiopsis]], $G$4:$G$1201,Tabla213[[#This Row],[Organo]], $B$4:$B$1201,M57)</f>
        <v>0</v>
      </c>
      <c r="R57">
        <f>COUNTIFS($H$4:$H$1201,Tabla213[[#Headers],[Fusarium]], $G$4:$G$1201,Tabla213[[#This Row],[Organo]], $B$4:$B$1201,M57)</f>
        <v>0</v>
      </c>
      <c r="S57">
        <f>COUNTIFS($H$4:$H$1201,Tabla213[[#Headers],[Cylindrocarpon]], $G$4:$G$1201,Tabla213[[#This Row],[Organo]], $B$4:$B$1201,M57)</f>
        <v>0</v>
      </c>
      <c r="T57">
        <f>COUNTIFS($H$4:$H$1201,Tabla213[[#Headers],[Macrophomina]], $G$4:$G$1201,Tabla213[[#This Row],[Organo]], $B$4:$B$1201,M57)</f>
        <v>0</v>
      </c>
      <c r="U57">
        <f>COUNTIFS($H$4:$H$1201,Tabla213[[#Headers],[Rhizoctonia]], $G$4:$G$1201,Tabla213[[#This Row],[Organo]], $B$4:$B$1201,M57)</f>
        <v>0</v>
      </c>
      <c r="V57">
        <v>0</v>
      </c>
      <c r="W57">
        <f>COUNTIFS($H$4:$H$1201,Tabla213[[#Headers],[Alternaria]], $G$4:$G$1201,Tabla213[[#This Row],[Organo]], $B$4:$B$1201,M57)</f>
        <v>0</v>
      </c>
      <c r="X57">
        <f>COUNTIFS($H$4:$H$1201,Tabla213[[#Headers],[Botrytis]], $G$4:$G$1201,Tabla213[[#This Row],[Organo]], $B$4:$B$1201,M57)</f>
        <v>0</v>
      </c>
      <c r="Y57">
        <f>COUNTIFS($H$4:$H$1201,Tabla213[[#Headers],[Colletotrichum]], $G$4:$G$1201,Tabla213[[#This Row],[Organo]], $B$4:$B$1201,M57)</f>
        <v>0</v>
      </c>
      <c r="Z57">
        <f>COUNTIFS($H$4:$H$1201,Tabla213[[#Headers],[Aspergillus]], $G$4:$G$1201,Tabla213[[#This Row],[Organo]], $B$4:$B$1201,M57)</f>
        <v>0</v>
      </c>
      <c r="AA57">
        <f>COUNTIFS($H$4:$H$1201,Tabla213[[#Headers],[NO ID]], $G$4:$G$1201,Tabla213[[#This Row],[Organo]], $B$4:$B$1201,M57)</f>
        <v>0</v>
      </c>
      <c r="AB57">
        <f>COUNTIFS($H$4:$H$1201,Tabla213[[#Headers],[Trichoderma]], $G$4:$G$1201,Tabla213[[#This Row],[Organo]], $B$4:$B$1201,M57)</f>
        <v>0</v>
      </c>
      <c r="AC57">
        <f>COUNTIFS($H$4:$H$1201,Tabla213[[#Headers],[Rizophus]], $G$4:$G$1201,Tabla213[[#This Row],[Organo]], $B$4:$B$1201,M57)</f>
        <v>0</v>
      </c>
      <c r="AD57">
        <f>COUNTIFS($H$4:$H$1201,Tabla213[[#Headers],[FALTANTES]], $G$4:$G$1201,Tabla213[[#This Row],[Organo]], $B$4:$B$1201,M57)</f>
        <v>0</v>
      </c>
      <c r="AK57">
        <v>16.2</v>
      </c>
      <c r="AL57" t="s">
        <v>15</v>
      </c>
      <c r="AM57" t="s">
        <v>116</v>
      </c>
      <c r="AN57" t="s">
        <v>477</v>
      </c>
    </row>
    <row r="58" spans="1:40" x14ac:dyDescent="0.2">
      <c r="A58" s="7">
        <v>54</v>
      </c>
      <c r="B58" s="7">
        <v>2</v>
      </c>
      <c r="C58" s="1" t="str">
        <f t="shared" si="0"/>
        <v>LA MAGUELLERA</v>
      </c>
      <c r="D58" s="7" t="s">
        <v>127</v>
      </c>
      <c r="E58" s="1" t="str">
        <f t="shared" si="1"/>
        <v>SAYULA</v>
      </c>
      <c r="F58" s="7">
        <v>1</v>
      </c>
      <c r="G58" s="7" t="s">
        <v>476</v>
      </c>
      <c r="H58" s="7" t="s">
        <v>155</v>
      </c>
      <c r="I58" s="7" t="s">
        <v>223</v>
      </c>
      <c r="J58" s="7">
        <v>54</v>
      </c>
      <c r="K58" s="19" t="s">
        <v>638</v>
      </c>
      <c r="M58">
        <v>16.2</v>
      </c>
      <c r="N58" t="s">
        <v>666</v>
      </c>
      <c r="O58" t="s">
        <v>116</v>
      </c>
      <c r="P58" t="s">
        <v>477</v>
      </c>
      <c r="Q58">
        <f>COUNTIFS($H$4:$H$1201,Tabla213[[#Headers],[Neopestalotiopsis]], $G$4:$G$1201,Tabla213[[#This Row],[Organo]], $B$4:$B$1201,M58)</f>
        <v>0</v>
      </c>
      <c r="R58">
        <f>COUNTIFS($H$4:$H$1201,Tabla213[[#Headers],[Fusarium]], $G$4:$G$1201,Tabla213[[#This Row],[Organo]], $B$4:$B$1201,M58)</f>
        <v>0</v>
      </c>
      <c r="S58">
        <f>COUNTIFS($H$4:$H$1201,Tabla213[[#Headers],[Cylindrocarpon]], $G$4:$G$1201,Tabla213[[#This Row],[Organo]], $B$4:$B$1201,M58)</f>
        <v>0</v>
      </c>
      <c r="T58">
        <f>COUNTIFS($H$4:$H$1201,Tabla213[[#Headers],[Macrophomina]], $G$4:$G$1201,Tabla213[[#This Row],[Organo]], $B$4:$B$1201,M58)</f>
        <v>0</v>
      </c>
      <c r="U58">
        <f>COUNTIFS($H$4:$H$1201,Tabla213[[#Headers],[Rhizoctonia]], $G$4:$G$1201,Tabla213[[#This Row],[Organo]], $B$4:$B$1201,M58)</f>
        <v>0</v>
      </c>
      <c r="V58">
        <v>0</v>
      </c>
      <c r="W58">
        <f>COUNTIFS($H$4:$H$1201,Tabla213[[#Headers],[Alternaria]], $G$4:$G$1201,Tabla213[[#This Row],[Organo]], $B$4:$B$1201,M58)</f>
        <v>0</v>
      </c>
      <c r="X58">
        <f>COUNTIFS($H$4:$H$1201,Tabla213[[#Headers],[Botrytis]], $G$4:$G$1201,Tabla213[[#This Row],[Organo]], $B$4:$B$1201,M58)</f>
        <v>0</v>
      </c>
      <c r="Y58">
        <f>COUNTIFS($H$4:$H$1201,Tabla213[[#Headers],[Colletotrichum]], $G$4:$G$1201,Tabla213[[#This Row],[Organo]], $B$4:$B$1201,M58)</f>
        <v>0</v>
      </c>
      <c r="Z58">
        <f>COUNTIFS($H$4:$H$1201,Tabla213[[#Headers],[Aspergillus]], $G$4:$G$1201,Tabla213[[#This Row],[Organo]], $B$4:$B$1201,M58)</f>
        <v>0</v>
      </c>
      <c r="AA58">
        <f>COUNTIFS($H$4:$H$1201,Tabla213[[#Headers],[NO ID]], $G$4:$G$1201,Tabla213[[#This Row],[Organo]], $B$4:$B$1201,M58)</f>
        <v>0</v>
      </c>
      <c r="AB58">
        <f>COUNTIFS($H$4:$H$1201,Tabla213[[#Headers],[Trichoderma]], $G$4:$G$1201,Tabla213[[#This Row],[Organo]], $B$4:$B$1201,M58)</f>
        <v>0</v>
      </c>
      <c r="AC58">
        <f>COUNTIFS($H$4:$H$1201,Tabla213[[#Headers],[Rizophus]], $G$4:$G$1201,Tabla213[[#This Row],[Organo]], $B$4:$B$1201,M58)</f>
        <v>0</v>
      </c>
      <c r="AD58">
        <f>COUNTIFS($H$4:$H$1201,Tabla213[[#Headers],[FALTANTES]], $G$4:$G$1201,Tabla213[[#This Row],[Organo]], $B$4:$B$1201,M58)</f>
        <v>0</v>
      </c>
      <c r="AF58">
        <f t="shared" ref="AF58" si="52">SUM(Q57:AD58)</f>
        <v>0</v>
      </c>
      <c r="AG58">
        <f>COUNTIF($B$5:$B$1201, Tabla213[[#This Row],[Num. Parcela]])</f>
        <v>0</v>
      </c>
      <c r="AH58" t="b">
        <f t="shared" ref="AH58" si="53">IF(AF58=AG58, TRUE)</f>
        <v>1</v>
      </c>
      <c r="AK58">
        <v>16.2</v>
      </c>
      <c r="AL58" t="s">
        <v>15</v>
      </c>
      <c r="AM58" t="s">
        <v>116</v>
      </c>
      <c r="AN58" t="s">
        <v>476</v>
      </c>
    </row>
    <row r="59" spans="1:40" x14ac:dyDescent="0.2">
      <c r="A59" s="7">
        <v>55</v>
      </c>
      <c r="B59" s="7">
        <v>2</v>
      </c>
      <c r="C59" s="1" t="str">
        <f t="shared" si="0"/>
        <v>LA MAGUELLERA</v>
      </c>
      <c r="D59" s="7" t="s">
        <v>127</v>
      </c>
      <c r="E59" s="1" t="str">
        <f t="shared" si="1"/>
        <v>SAYULA</v>
      </c>
      <c r="F59" s="7">
        <v>1</v>
      </c>
      <c r="G59" s="7" t="s">
        <v>476</v>
      </c>
      <c r="H59" s="7" t="s">
        <v>155</v>
      </c>
      <c r="I59" s="7" t="s">
        <v>223</v>
      </c>
      <c r="J59" s="7">
        <v>55</v>
      </c>
      <c r="K59" s="19" t="s">
        <v>638</v>
      </c>
      <c r="M59">
        <v>17</v>
      </c>
      <c r="N59" t="s">
        <v>16</v>
      </c>
      <c r="O59" t="s">
        <v>118</v>
      </c>
      <c r="P59" t="s">
        <v>476</v>
      </c>
      <c r="Q59">
        <f>COUNTIFS($H$4:$H$1201,Tabla213[[#Headers],[Neopestalotiopsis]], $G$4:$G$1201,Tabla213[[#This Row],[Organo]], $B$4:$B$1201,M59)</f>
        <v>0</v>
      </c>
      <c r="R59">
        <f>COUNTIFS($H$4:$H$1201,Tabla213[[#Headers],[Fusarium]], $G$4:$G$1201,Tabla213[[#This Row],[Organo]], $B$4:$B$1201,M59)</f>
        <v>2</v>
      </c>
      <c r="S59">
        <f>COUNTIFS($H$4:$H$1201,Tabla213[[#Headers],[Cylindrocarpon]], $G$4:$G$1201,Tabla213[[#This Row],[Organo]], $B$4:$B$1201,M59)</f>
        <v>0</v>
      </c>
      <c r="T59">
        <f>COUNTIFS($H$4:$H$1201,Tabla213[[#Headers],[Macrophomina]], $G$4:$G$1201,Tabla213[[#This Row],[Organo]], $B$4:$B$1201,M59)</f>
        <v>5</v>
      </c>
      <c r="U59">
        <f>COUNTIFS($H$4:$H$1201,Tabla213[[#Headers],[Rhizoctonia]], $G$4:$G$1201,Tabla213[[#This Row],[Organo]], $B$4:$B$1201,M59)</f>
        <v>0</v>
      </c>
      <c r="V59">
        <v>0</v>
      </c>
      <c r="W59">
        <f>COUNTIFS($H$4:$H$1201,Tabla213[[#Headers],[Alternaria]], $G$4:$G$1201,Tabla213[[#This Row],[Organo]], $B$4:$B$1201,M59)</f>
        <v>0</v>
      </c>
      <c r="X59">
        <f>COUNTIFS($H$4:$H$1201,Tabla213[[#Headers],[Botrytis]], $G$4:$G$1201,Tabla213[[#This Row],[Organo]], $B$4:$B$1201,M59)</f>
        <v>0</v>
      </c>
      <c r="Y59">
        <f>COUNTIFS($H$4:$H$1201,Tabla213[[#Headers],[Colletotrichum]], $G$4:$G$1201,Tabla213[[#This Row],[Organo]], $B$4:$B$1201,M59)</f>
        <v>0</v>
      </c>
      <c r="Z59">
        <f>COUNTIFS($H$4:$H$1201,Tabla213[[#Headers],[Aspergillus]], $G$4:$G$1201,Tabla213[[#This Row],[Organo]], $B$4:$B$1201,M59)</f>
        <v>0</v>
      </c>
      <c r="AA59">
        <f>COUNTIFS($H$4:$H$1201,Tabla213[[#Headers],[NO ID]], $G$4:$G$1201,Tabla213[[#This Row],[Organo]], $B$4:$B$1201,M59)</f>
        <v>0</v>
      </c>
      <c r="AB59">
        <f>COUNTIFS($H$4:$H$1201,Tabla213[[#Headers],[Trichoderma]], $G$4:$G$1201,Tabla213[[#This Row],[Organo]], $B$4:$B$1201,M59)</f>
        <v>2</v>
      </c>
      <c r="AC59">
        <f>COUNTIFS($H$4:$H$1201,Tabla213[[#Headers],[Rizophus]], $G$4:$G$1201,Tabla213[[#This Row],[Organo]], $B$4:$B$1201,M59)</f>
        <v>0</v>
      </c>
      <c r="AD59">
        <f>COUNTIFS($H$4:$H$1201,Tabla213[[#Headers],[FALTANTES]], $G$4:$G$1201,Tabla213[[#This Row],[Organo]], $B$4:$B$1201,M59)</f>
        <v>0</v>
      </c>
      <c r="AK59">
        <v>17</v>
      </c>
      <c r="AL59" t="s">
        <v>16</v>
      </c>
      <c r="AM59" t="s">
        <v>118</v>
      </c>
      <c r="AN59" t="s">
        <v>477</v>
      </c>
    </row>
    <row r="60" spans="1:40" x14ac:dyDescent="0.2">
      <c r="A60" s="7">
        <v>56</v>
      </c>
      <c r="B60" s="7">
        <v>2</v>
      </c>
      <c r="C60" s="1" t="str">
        <f t="shared" si="0"/>
        <v>LA MAGUELLERA</v>
      </c>
      <c r="D60" s="7" t="s">
        <v>127</v>
      </c>
      <c r="E60" s="1" t="str">
        <f t="shared" si="1"/>
        <v>SAYULA</v>
      </c>
      <c r="F60" s="7">
        <v>1</v>
      </c>
      <c r="G60" s="7" t="s">
        <v>476</v>
      </c>
      <c r="H60" s="7" t="s">
        <v>228</v>
      </c>
      <c r="I60" s="9" t="s">
        <v>482</v>
      </c>
      <c r="J60" s="9">
        <v>56</v>
      </c>
      <c r="K60" s="7"/>
      <c r="M60">
        <v>17</v>
      </c>
      <c r="N60" t="s">
        <v>16</v>
      </c>
      <c r="O60" t="s">
        <v>118</v>
      </c>
      <c r="P60" t="s">
        <v>477</v>
      </c>
      <c r="Q60">
        <f>COUNTIFS($H$4:$H$1201,Tabla213[[#Headers],[Neopestalotiopsis]], $G$4:$G$1201,Tabla213[[#This Row],[Organo]], $B$4:$B$1201,M60)</f>
        <v>1</v>
      </c>
      <c r="R60">
        <f>COUNTIFS($H$4:$H$1201,Tabla213[[#Headers],[Fusarium]], $G$4:$G$1201,Tabla213[[#This Row],[Organo]], $B$4:$B$1201,M60)</f>
        <v>3</v>
      </c>
      <c r="S60">
        <f>COUNTIFS($H$4:$H$1201,Tabla213[[#Headers],[Cylindrocarpon]], $G$4:$G$1201,Tabla213[[#This Row],[Organo]], $B$4:$B$1201,M60)</f>
        <v>2</v>
      </c>
      <c r="T60">
        <f>COUNTIFS($H$4:$H$1201,Tabla213[[#Headers],[Macrophomina]], $G$4:$G$1201,Tabla213[[#This Row],[Organo]], $B$4:$B$1201,M60)</f>
        <v>2</v>
      </c>
      <c r="U60">
        <f>COUNTIFS($H$4:$H$1201,Tabla213[[#Headers],[Rhizoctonia]], $G$4:$G$1201,Tabla213[[#This Row],[Organo]], $B$4:$B$1201,M60)</f>
        <v>0</v>
      </c>
      <c r="V60">
        <v>2</v>
      </c>
      <c r="W60">
        <f>COUNTIFS($H$4:$H$1201,Tabla213[[#Headers],[Alternaria]], $G$4:$G$1201,Tabla213[[#This Row],[Organo]], $B$4:$B$1201,M60)</f>
        <v>0</v>
      </c>
      <c r="X60">
        <f>COUNTIFS($H$4:$H$1201,Tabla213[[#Headers],[Botrytis]], $G$4:$G$1201,Tabla213[[#This Row],[Organo]], $B$4:$B$1201,M60)</f>
        <v>1</v>
      </c>
      <c r="Y60">
        <f>COUNTIFS($H$4:$H$1201,Tabla213[[#Headers],[Colletotrichum]], $G$4:$G$1201,Tabla213[[#This Row],[Organo]], $B$4:$B$1201,M60)</f>
        <v>0</v>
      </c>
      <c r="Z60">
        <f>COUNTIFS($H$4:$H$1201,Tabla213[[#Headers],[Aspergillus]], $G$4:$G$1201,Tabla213[[#This Row],[Organo]], $B$4:$B$1201,M60)</f>
        <v>0</v>
      </c>
      <c r="AA60">
        <f>COUNTIFS($H$4:$H$1201,Tabla213[[#Headers],[NO ID]], $G$4:$G$1201,Tabla213[[#This Row],[Organo]], $B$4:$B$1201,M60)</f>
        <v>5</v>
      </c>
      <c r="AB60">
        <f>COUNTIFS($H$4:$H$1201,Tabla213[[#Headers],[Trichoderma]], $G$4:$G$1201,Tabla213[[#This Row],[Organo]], $B$4:$B$1201,M60)</f>
        <v>0</v>
      </c>
      <c r="AC60">
        <f>COUNTIFS($H$4:$H$1201,Tabla213[[#Headers],[Rizophus]], $G$4:$G$1201,Tabla213[[#This Row],[Organo]], $B$4:$B$1201,M60)</f>
        <v>0</v>
      </c>
      <c r="AD60">
        <f>COUNTIFS($H$4:$H$1201,Tabla213[[#Headers],[FALTANTES]], $G$4:$G$1201,Tabla213[[#This Row],[Organo]], $B$4:$B$1201,M60)</f>
        <v>0</v>
      </c>
      <c r="AF60">
        <f t="shared" ref="AF60" si="54">SUM(Q59:AD60)</f>
        <v>25</v>
      </c>
      <c r="AG60">
        <f>COUNTIF($B$5:$B$1201, Tabla213[[#This Row],[Num. Parcela]])</f>
        <v>25</v>
      </c>
      <c r="AH60" t="b">
        <f t="shared" ref="AH60" si="55">IF(AF60=AG60, TRUE)</f>
        <v>1</v>
      </c>
      <c r="AK60">
        <v>17</v>
      </c>
      <c r="AL60" t="s">
        <v>16</v>
      </c>
      <c r="AM60" t="s">
        <v>118</v>
      </c>
      <c r="AN60" t="s">
        <v>476</v>
      </c>
    </row>
    <row r="61" spans="1:40" x14ac:dyDescent="0.2">
      <c r="A61" s="7">
        <v>57</v>
      </c>
      <c r="B61" s="7">
        <v>2</v>
      </c>
      <c r="C61" s="1" t="str">
        <f t="shared" si="0"/>
        <v>LA MAGUELLERA</v>
      </c>
      <c r="D61" s="7" t="s">
        <v>127</v>
      </c>
      <c r="E61" s="1" t="str">
        <f t="shared" si="1"/>
        <v>SAYULA</v>
      </c>
      <c r="F61" s="7">
        <v>2</v>
      </c>
      <c r="G61" s="7" t="s">
        <v>476</v>
      </c>
      <c r="H61" s="7" t="s">
        <v>155</v>
      </c>
      <c r="I61" s="7" t="s">
        <v>155</v>
      </c>
      <c r="J61" s="7">
        <v>57</v>
      </c>
      <c r="K61" s="19" t="s">
        <v>638</v>
      </c>
      <c r="M61">
        <v>18</v>
      </c>
      <c r="N61" t="s">
        <v>667</v>
      </c>
      <c r="O61" t="s">
        <v>118</v>
      </c>
      <c r="P61" t="s">
        <v>476</v>
      </c>
      <c r="Q61">
        <f>COUNTIFS($H$4:$H$1201,Tabla213[[#Headers],[Neopestalotiopsis]], $G$4:$G$1201,Tabla213[[#This Row],[Organo]], $B$4:$B$1201,M61)</f>
        <v>4</v>
      </c>
      <c r="R61">
        <f>COUNTIFS($H$4:$H$1201,Tabla213[[#Headers],[Fusarium]], $G$4:$G$1201,Tabla213[[#This Row],[Organo]], $B$4:$B$1201,M61)</f>
        <v>0</v>
      </c>
      <c r="S61">
        <f>COUNTIFS($H$4:$H$1201,Tabla213[[#Headers],[Cylindrocarpon]], $G$4:$G$1201,Tabla213[[#This Row],[Organo]], $B$4:$B$1201,M61)</f>
        <v>1</v>
      </c>
      <c r="T61">
        <f>COUNTIFS($H$4:$H$1201,Tabla213[[#Headers],[Macrophomina]], $G$4:$G$1201,Tabla213[[#This Row],[Organo]], $B$4:$B$1201,M61)</f>
        <v>1</v>
      </c>
      <c r="U61">
        <f>COUNTIFS($H$4:$H$1201,Tabla213[[#Headers],[Rhizoctonia]], $G$4:$G$1201,Tabla213[[#This Row],[Organo]], $B$4:$B$1201,M61)</f>
        <v>0</v>
      </c>
      <c r="V61">
        <v>0</v>
      </c>
      <c r="W61">
        <f>COUNTIFS($H$4:$H$1201,Tabla213[[#Headers],[Alternaria]], $G$4:$G$1201,Tabla213[[#This Row],[Organo]], $B$4:$B$1201,M61)</f>
        <v>0</v>
      </c>
      <c r="X61">
        <f>COUNTIFS($H$4:$H$1201,Tabla213[[#Headers],[Botrytis]], $G$4:$G$1201,Tabla213[[#This Row],[Organo]], $B$4:$B$1201,M61)</f>
        <v>0</v>
      </c>
      <c r="Y61">
        <f>COUNTIFS($H$4:$H$1201,Tabla213[[#Headers],[Colletotrichum]], $G$4:$G$1201,Tabla213[[#This Row],[Organo]], $B$4:$B$1201,M61)</f>
        <v>0</v>
      </c>
      <c r="Z61">
        <f>COUNTIFS($H$4:$H$1201,Tabla213[[#Headers],[Aspergillus]], $G$4:$G$1201,Tabla213[[#This Row],[Organo]], $B$4:$B$1201,M61)</f>
        <v>0</v>
      </c>
      <c r="AA61">
        <f>COUNTIFS($H$4:$H$1201,Tabla213[[#Headers],[NO ID]], $G$4:$G$1201,Tabla213[[#This Row],[Organo]], $B$4:$B$1201,M61)</f>
        <v>1</v>
      </c>
      <c r="AB61">
        <f>COUNTIFS($H$4:$H$1201,Tabla213[[#Headers],[Trichoderma]], $G$4:$G$1201,Tabla213[[#This Row],[Organo]], $B$4:$B$1201,M61)</f>
        <v>0</v>
      </c>
      <c r="AC61">
        <f>COUNTIFS($H$4:$H$1201,Tabla213[[#Headers],[Rizophus]], $G$4:$G$1201,Tabla213[[#This Row],[Organo]], $B$4:$B$1201,M61)</f>
        <v>0</v>
      </c>
      <c r="AD61">
        <f>COUNTIFS($H$4:$H$1201,Tabla213[[#Headers],[FALTANTES]], $G$4:$G$1201,Tabla213[[#This Row],[Organo]], $B$4:$B$1201,M61)</f>
        <v>0</v>
      </c>
      <c r="AK61">
        <v>18</v>
      </c>
      <c r="AL61" t="s">
        <v>17</v>
      </c>
      <c r="AM61" t="s">
        <v>118</v>
      </c>
      <c r="AN61" t="s">
        <v>477</v>
      </c>
    </row>
    <row r="62" spans="1:40" x14ac:dyDescent="0.2">
      <c r="A62" s="7">
        <v>58</v>
      </c>
      <c r="B62" s="7">
        <v>2</v>
      </c>
      <c r="C62" s="1" t="str">
        <f t="shared" si="0"/>
        <v>LA MAGUELLERA</v>
      </c>
      <c r="D62" s="7" t="s">
        <v>127</v>
      </c>
      <c r="E62" s="1" t="str">
        <f t="shared" si="1"/>
        <v>SAYULA</v>
      </c>
      <c r="F62" s="7">
        <v>2</v>
      </c>
      <c r="G62" s="7" t="s">
        <v>476</v>
      </c>
      <c r="H62" s="7" t="s">
        <v>155</v>
      </c>
      <c r="I62" s="7" t="s">
        <v>155</v>
      </c>
      <c r="J62" s="7">
        <v>58</v>
      </c>
      <c r="K62" s="7"/>
      <c r="M62">
        <v>18</v>
      </c>
      <c r="N62" t="s">
        <v>667</v>
      </c>
      <c r="O62" t="s">
        <v>118</v>
      </c>
      <c r="P62" t="s">
        <v>477</v>
      </c>
      <c r="Q62">
        <f>COUNTIFS($H$4:$H$1201,Tabla213[[#Headers],[Neopestalotiopsis]], $G$4:$G$1201,Tabla213[[#This Row],[Organo]], $B$4:$B$1201,M62)</f>
        <v>1</v>
      </c>
      <c r="R62">
        <f>COUNTIFS($H$4:$H$1201,Tabla213[[#Headers],[Fusarium]], $G$4:$G$1201,Tabla213[[#This Row],[Organo]], $B$4:$B$1201,M62)</f>
        <v>1</v>
      </c>
      <c r="S62">
        <f>COUNTIFS($H$4:$H$1201,Tabla213[[#Headers],[Cylindrocarpon]], $G$4:$G$1201,Tabla213[[#This Row],[Organo]], $B$4:$B$1201,M62)</f>
        <v>2</v>
      </c>
      <c r="T62">
        <f>COUNTIFS($H$4:$H$1201,Tabla213[[#Headers],[Macrophomina]], $G$4:$G$1201,Tabla213[[#This Row],[Organo]], $B$4:$B$1201,M62)</f>
        <v>0</v>
      </c>
      <c r="U62">
        <f>COUNTIFS($H$4:$H$1201,Tabla213[[#Headers],[Rhizoctonia]], $G$4:$G$1201,Tabla213[[#This Row],[Organo]], $B$4:$B$1201,M62)</f>
        <v>3</v>
      </c>
      <c r="V62">
        <v>0</v>
      </c>
      <c r="W62">
        <f>COUNTIFS($H$4:$H$1201,Tabla213[[#Headers],[Alternaria]], $G$4:$G$1201,Tabla213[[#This Row],[Organo]], $B$4:$B$1201,M62)</f>
        <v>0</v>
      </c>
      <c r="X62">
        <f>COUNTIFS($H$4:$H$1201,Tabla213[[#Headers],[Botrytis]], $G$4:$G$1201,Tabla213[[#This Row],[Organo]], $B$4:$B$1201,M62)</f>
        <v>0</v>
      </c>
      <c r="Y62">
        <f>COUNTIFS($H$4:$H$1201,Tabla213[[#Headers],[Colletotrichum]], $G$4:$G$1201,Tabla213[[#This Row],[Organo]], $B$4:$B$1201,M62)</f>
        <v>0</v>
      </c>
      <c r="Z62">
        <f>COUNTIFS($H$4:$H$1201,Tabla213[[#Headers],[Aspergillus]], $G$4:$G$1201,Tabla213[[#This Row],[Organo]], $B$4:$B$1201,M62)</f>
        <v>0</v>
      </c>
      <c r="AA62">
        <f>COUNTIFS($H$4:$H$1201,Tabla213[[#Headers],[NO ID]], $G$4:$G$1201,Tabla213[[#This Row],[Organo]], $B$4:$B$1201,M62)</f>
        <v>2</v>
      </c>
      <c r="AB62">
        <f>COUNTIFS($H$4:$H$1201,Tabla213[[#Headers],[Trichoderma]], $G$4:$G$1201,Tabla213[[#This Row],[Organo]], $B$4:$B$1201,M62)</f>
        <v>0</v>
      </c>
      <c r="AC62">
        <f>COUNTIFS($H$4:$H$1201,Tabla213[[#Headers],[Rizophus]], $G$4:$G$1201,Tabla213[[#This Row],[Organo]], $B$4:$B$1201,M62)</f>
        <v>0</v>
      </c>
      <c r="AD62">
        <f>COUNTIFS($H$4:$H$1201,Tabla213[[#Headers],[FALTANTES]], $G$4:$G$1201,Tabla213[[#This Row],[Organo]], $B$4:$B$1201,M62)</f>
        <v>0</v>
      </c>
      <c r="AF62">
        <f t="shared" ref="AF62" si="56">SUM(Q61:AD62)</f>
        <v>16</v>
      </c>
      <c r="AG62">
        <f>COUNTIF($B$5:$B$1201, Tabla213[[#This Row],[Num. Parcela]])</f>
        <v>16</v>
      </c>
      <c r="AH62" t="b">
        <f t="shared" ref="AH62" si="57">IF(AF62=AG62, TRUE)</f>
        <v>1</v>
      </c>
      <c r="AK62">
        <v>18</v>
      </c>
      <c r="AL62" t="s">
        <v>17</v>
      </c>
      <c r="AM62" t="s">
        <v>118</v>
      </c>
      <c r="AN62" t="s">
        <v>476</v>
      </c>
    </row>
    <row r="63" spans="1:40" x14ac:dyDescent="0.2">
      <c r="A63" s="7">
        <v>59</v>
      </c>
      <c r="B63" s="7">
        <v>2</v>
      </c>
      <c r="C63" s="1" t="str">
        <f t="shared" si="0"/>
        <v>LA MAGUELLERA</v>
      </c>
      <c r="D63" s="7" t="s">
        <v>127</v>
      </c>
      <c r="E63" s="1" t="str">
        <f t="shared" si="1"/>
        <v>SAYULA</v>
      </c>
      <c r="F63" s="7">
        <v>1</v>
      </c>
      <c r="G63" s="7" t="s">
        <v>477</v>
      </c>
      <c r="H63" s="7" t="s">
        <v>149</v>
      </c>
      <c r="I63" s="8" t="s">
        <v>478</v>
      </c>
      <c r="J63" s="7">
        <v>59</v>
      </c>
      <c r="K63" s="19" t="s">
        <v>638</v>
      </c>
      <c r="M63">
        <v>19</v>
      </c>
      <c r="N63" t="s">
        <v>668</v>
      </c>
      <c r="O63" t="s">
        <v>118</v>
      </c>
      <c r="P63" t="s">
        <v>476</v>
      </c>
      <c r="Q63">
        <f>COUNTIFS($H$4:$H$1201,Tabla213[[#Headers],[Neopestalotiopsis]], $G$4:$G$1201,Tabla213[[#This Row],[Organo]], $B$4:$B$1201,M63)</f>
        <v>1</v>
      </c>
      <c r="R63">
        <f>COUNTIFS($H$4:$H$1201,Tabla213[[#Headers],[Fusarium]], $G$4:$G$1201,Tabla213[[#This Row],[Organo]], $B$4:$B$1201,M63)</f>
        <v>1</v>
      </c>
      <c r="S63">
        <f>COUNTIFS($H$4:$H$1201,Tabla213[[#Headers],[Cylindrocarpon]], $G$4:$G$1201,Tabla213[[#This Row],[Organo]], $B$4:$B$1201,M63)</f>
        <v>2</v>
      </c>
      <c r="T63">
        <f>COUNTIFS($H$4:$H$1201,Tabla213[[#Headers],[Macrophomina]], $G$4:$G$1201,Tabla213[[#This Row],[Organo]], $B$4:$B$1201,M63)</f>
        <v>0</v>
      </c>
      <c r="U63">
        <f>COUNTIFS($H$4:$H$1201,Tabla213[[#Headers],[Rhizoctonia]], $G$4:$G$1201,Tabla213[[#This Row],[Organo]], $B$4:$B$1201,M63)</f>
        <v>1</v>
      </c>
      <c r="V63">
        <v>0</v>
      </c>
      <c r="W63">
        <f>COUNTIFS($H$4:$H$1201,Tabla213[[#Headers],[Alternaria]], $G$4:$G$1201,Tabla213[[#This Row],[Organo]], $B$4:$B$1201,M63)</f>
        <v>0</v>
      </c>
      <c r="X63">
        <f>COUNTIFS($H$4:$H$1201,Tabla213[[#Headers],[Botrytis]], $G$4:$G$1201,Tabla213[[#This Row],[Organo]], $B$4:$B$1201,M63)</f>
        <v>0</v>
      </c>
      <c r="Y63">
        <f>COUNTIFS($H$4:$H$1201,Tabla213[[#Headers],[Colletotrichum]], $G$4:$G$1201,Tabla213[[#This Row],[Organo]], $B$4:$B$1201,M63)</f>
        <v>0</v>
      </c>
      <c r="Z63">
        <f>COUNTIFS($H$4:$H$1201,Tabla213[[#Headers],[Aspergillus]], $G$4:$G$1201,Tabla213[[#This Row],[Organo]], $B$4:$B$1201,M63)</f>
        <v>0</v>
      </c>
      <c r="AA63">
        <f>COUNTIFS($H$4:$H$1201,Tabla213[[#Headers],[NO ID]], $G$4:$G$1201,Tabla213[[#This Row],[Organo]], $B$4:$B$1201,M63)</f>
        <v>0</v>
      </c>
      <c r="AB63">
        <f>COUNTIFS($H$4:$H$1201,Tabla213[[#Headers],[Trichoderma]], $G$4:$G$1201,Tabla213[[#This Row],[Organo]], $B$4:$B$1201,M63)</f>
        <v>0</v>
      </c>
      <c r="AC63">
        <f>COUNTIFS($H$4:$H$1201,Tabla213[[#Headers],[Rizophus]], $G$4:$G$1201,Tabla213[[#This Row],[Organo]], $B$4:$B$1201,M63)</f>
        <v>0</v>
      </c>
      <c r="AD63">
        <f>COUNTIFS($H$4:$H$1201,Tabla213[[#Headers],[FALTANTES]], $G$4:$G$1201,Tabla213[[#This Row],[Organo]], $B$4:$B$1201,M63)</f>
        <v>0</v>
      </c>
      <c r="AK63">
        <v>19</v>
      </c>
      <c r="AL63" t="s">
        <v>17</v>
      </c>
      <c r="AM63" t="s">
        <v>118</v>
      </c>
      <c r="AN63" t="s">
        <v>477</v>
      </c>
    </row>
    <row r="64" spans="1:40" x14ac:dyDescent="0.2">
      <c r="A64" s="7">
        <v>60</v>
      </c>
      <c r="B64" s="7">
        <v>2</v>
      </c>
      <c r="C64" s="1" t="str">
        <f t="shared" si="0"/>
        <v>LA MAGUELLERA</v>
      </c>
      <c r="D64" s="7" t="s">
        <v>127</v>
      </c>
      <c r="E64" s="1" t="str">
        <f t="shared" si="1"/>
        <v>SAYULA</v>
      </c>
      <c r="F64" s="7">
        <v>1</v>
      </c>
      <c r="G64" s="7" t="s">
        <v>477</v>
      </c>
      <c r="H64" s="7" t="s">
        <v>149</v>
      </c>
      <c r="I64" s="8" t="s">
        <v>478</v>
      </c>
      <c r="J64" s="7">
        <v>60</v>
      </c>
      <c r="K64" s="19" t="s">
        <v>638</v>
      </c>
      <c r="M64">
        <v>19</v>
      </c>
      <c r="N64" t="s">
        <v>668</v>
      </c>
      <c r="O64" t="s">
        <v>118</v>
      </c>
      <c r="P64" t="s">
        <v>477</v>
      </c>
      <c r="Q64">
        <f>COUNTIFS($H$4:$H$1201,Tabla213[[#Headers],[Neopestalotiopsis]], $G$4:$G$1201,Tabla213[[#This Row],[Organo]], $B$4:$B$1201,M64)</f>
        <v>1</v>
      </c>
      <c r="R64">
        <f>COUNTIFS($H$4:$H$1201,Tabla213[[#Headers],[Fusarium]], $G$4:$G$1201,Tabla213[[#This Row],[Organo]], $B$4:$B$1201,M64)</f>
        <v>0</v>
      </c>
      <c r="S64">
        <f>COUNTIFS($H$4:$H$1201,Tabla213[[#Headers],[Cylindrocarpon]], $G$4:$G$1201,Tabla213[[#This Row],[Organo]], $B$4:$B$1201,M64)</f>
        <v>0</v>
      </c>
      <c r="T64">
        <f>COUNTIFS($H$4:$H$1201,Tabla213[[#Headers],[Macrophomina]], $G$4:$G$1201,Tabla213[[#This Row],[Organo]], $B$4:$B$1201,M64)</f>
        <v>0</v>
      </c>
      <c r="U64">
        <f>COUNTIFS($H$4:$H$1201,Tabla213[[#Headers],[Rhizoctonia]], $G$4:$G$1201,Tabla213[[#This Row],[Organo]], $B$4:$B$1201,M64)</f>
        <v>3</v>
      </c>
      <c r="V64">
        <v>0</v>
      </c>
      <c r="W64">
        <f>COUNTIFS($H$4:$H$1201,Tabla213[[#Headers],[Alternaria]], $G$4:$G$1201,Tabla213[[#This Row],[Organo]], $B$4:$B$1201,M64)</f>
        <v>0</v>
      </c>
      <c r="X64">
        <f>COUNTIFS($H$4:$H$1201,Tabla213[[#Headers],[Botrytis]], $G$4:$G$1201,Tabla213[[#This Row],[Organo]], $B$4:$B$1201,M64)</f>
        <v>0</v>
      </c>
      <c r="Y64">
        <f>COUNTIFS($H$4:$H$1201,Tabla213[[#Headers],[Colletotrichum]], $G$4:$G$1201,Tabla213[[#This Row],[Organo]], $B$4:$B$1201,M64)</f>
        <v>0</v>
      </c>
      <c r="Z64">
        <f>COUNTIFS($H$4:$H$1201,Tabla213[[#Headers],[Aspergillus]], $G$4:$G$1201,Tabla213[[#This Row],[Organo]], $B$4:$B$1201,M64)</f>
        <v>0</v>
      </c>
      <c r="AA64">
        <f>COUNTIFS($H$4:$H$1201,Tabla213[[#Headers],[NO ID]], $G$4:$G$1201,Tabla213[[#This Row],[Organo]], $B$4:$B$1201,M64)</f>
        <v>0</v>
      </c>
      <c r="AB64">
        <f>COUNTIFS($H$4:$H$1201,Tabla213[[#Headers],[Trichoderma]], $G$4:$G$1201,Tabla213[[#This Row],[Organo]], $B$4:$B$1201,M64)</f>
        <v>0</v>
      </c>
      <c r="AC64">
        <f>COUNTIFS($H$4:$H$1201,Tabla213[[#Headers],[Rizophus]], $G$4:$G$1201,Tabla213[[#This Row],[Organo]], $B$4:$B$1201,M64)</f>
        <v>0</v>
      </c>
      <c r="AD64">
        <f>COUNTIFS($H$4:$H$1201,Tabla213[[#Headers],[FALTANTES]], $G$4:$G$1201,Tabla213[[#This Row],[Organo]], $B$4:$B$1201,M64)</f>
        <v>0</v>
      </c>
      <c r="AF64">
        <f t="shared" ref="AF64" si="58">SUM(Q63:AD64)</f>
        <v>9</v>
      </c>
      <c r="AG64">
        <f>COUNTIF($B$5:$B$1201, Tabla213[[#This Row],[Num. Parcela]])</f>
        <v>9</v>
      </c>
      <c r="AH64" t="b">
        <f t="shared" ref="AH64" si="59">IF(AF64=AG64, TRUE)</f>
        <v>1</v>
      </c>
      <c r="AK64">
        <v>19</v>
      </c>
      <c r="AL64" t="s">
        <v>17</v>
      </c>
      <c r="AM64" t="s">
        <v>118</v>
      </c>
      <c r="AN64" t="s">
        <v>476</v>
      </c>
    </row>
    <row r="65" spans="1:40" x14ac:dyDescent="0.2">
      <c r="A65" s="7">
        <v>61</v>
      </c>
      <c r="B65" s="7">
        <v>2</v>
      </c>
      <c r="C65" s="1" t="str">
        <f t="shared" si="0"/>
        <v>LA MAGUELLERA</v>
      </c>
      <c r="D65" s="7" t="s">
        <v>127</v>
      </c>
      <c r="E65" s="1" t="str">
        <f t="shared" si="1"/>
        <v>SAYULA</v>
      </c>
      <c r="F65" s="7">
        <v>1</v>
      </c>
      <c r="G65" s="7" t="s">
        <v>477</v>
      </c>
      <c r="H65" s="7" t="s">
        <v>485</v>
      </c>
      <c r="I65" s="10" t="s">
        <v>485</v>
      </c>
      <c r="J65" s="10">
        <v>61</v>
      </c>
      <c r="K65" s="7"/>
      <c r="M65">
        <v>20</v>
      </c>
      <c r="N65" t="s">
        <v>669</v>
      </c>
      <c r="O65" t="s">
        <v>118</v>
      </c>
      <c r="P65" t="s">
        <v>476</v>
      </c>
      <c r="Q65">
        <f>COUNTIFS($H$4:$H$1201,Tabla213[[#Headers],[Neopestalotiopsis]], $G$4:$G$1201,Tabla213[[#This Row],[Organo]], $B$4:$B$1201,M65)</f>
        <v>2</v>
      </c>
      <c r="R65">
        <f>COUNTIFS($H$4:$H$1201,Tabla213[[#Headers],[Fusarium]], $G$4:$G$1201,Tabla213[[#This Row],[Organo]], $B$4:$B$1201,M65)</f>
        <v>1</v>
      </c>
      <c r="S65">
        <f>COUNTIFS($H$4:$H$1201,Tabla213[[#Headers],[Cylindrocarpon]], $G$4:$G$1201,Tabla213[[#This Row],[Organo]], $B$4:$B$1201,M65)</f>
        <v>0</v>
      </c>
      <c r="T65">
        <f>COUNTIFS($H$4:$H$1201,Tabla213[[#Headers],[Macrophomina]], $G$4:$G$1201,Tabla213[[#This Row],[Organo]], $B$4:$B$1201,M65)</f>
        <v>1</v>
      </c>
      <c r="U65">
        <f>COUNTIFS($H$4:$H$1201,Tabla213[[#Headers],[Rhizoctonia]], $G$4:$G$1201,Tabla213[[#This Row],[Organo]], $B$4:$B$1201,M65)</f>
        <v>0</v>
      </c>
      <c r="V65">
        <v>0</v>
      </c>
      <c r="W65">
        <f>COUNTIFS($H$4:$H$1201,Tabla213[[#Headers],[Alternaria]], $G$4:$G$1201,Tabla213[[#This Row],[Organo]], $B$4:$B$1201,M65)</f>
        <v>0</v>
      </c>
      <c r="X65">
        <f>COUNTIFS($H$4:$H$1201,Tabla213[[#Headers],[Botrytis]], $G$4:$G$1201,Tabla213[[#This Row],[Organo]], $B$4:$B$1201,M65)</f>
        <v>0</v>
      </c>
      <c r="Y65">
        <f>COUNTIFS($H$4:$H$1201,Tabla213[[#Headers],[Colletotrichum]], $G$4:$G$1201,Tabla213[[#This Row],[Organo]], $B$4:$B$1201,M65)</f>
        <v>0</v>
      </c>
      <c r="Z65">
        <f>COUNTIFS($H$4:$H$1201,Tabla213[[#Headers],[Aspergillus]], $G$4:$G$1201,Tabla213[[#This Row],[Organo]], $B$4:$B$1201,M65)</f>
        <v>0</v>
      </c>
      <c r="AA65">
        <f>COUNTIFS($H$4:$H$1201,Tabla213[[#Headers],[NO ID]], $G$4:$G$1201,Tabla213[[#This Row],[Organo]], $B$4:$B$1201,M65)</f>
        <v>0</v>
      </c>
      <c r="AB65">
        <f>COUNTIFS($H$4:$H$1201,Tabla213[[#Headers],[Trichoderma]], $G$4:$G$1201,Tabla213[[#This Row],[Organo]], $B$4:$B$1201,M65)</f>
        <v>0</v>
      </c>
      <c r="AC65">
        <f>COUNTIFS($H$4:$H$1201,Tabla213[[#Headers],[Rizophus]], $G$4:$G$1201,Tabla213[[#This Row],[Organo]], $B$4:$B$1201,M65)</f>
        <v>0</v>
      </c>
      <c r="AD65">
        <f>COUNTIFS($H$4:$H$1201,Tabla213[[#Headers],[FALTANTES]], $G$4:$G$1201,Tabla213[[#This Row],[Organo]], $B$4:$B$1201,M65)</f>
        <v>0</v>
      </c>
      <c r="AK65">
        <v>20</v>
      </c>
      <c r="AL65" t="s">
        <v>17</v>
      </c>
      <c r="AM65" t="s">
        <v>118</v>
      </c>
      <c r="AN65" t="s">
        <v>477</v>
      </c>
    </row>
    <row r="66" spans="1:40" x14ac:dyDescent="0.2">
      <c r="A66" s="7">
        <v>62</v>
      </c>
      <c r="B66" s="7">
        <v>2</v>
      </c>
      <c r="C66" s="1" t="str">
        <f t="shared" si="0"/>
        <v>LA MAGUELLERA</v>
      </c>
      <c r="D66" s="7" t="s">
        <v>127</v>
      </c>
      <c r="E66" s="1" t="str">
        <f t="shared" si="1"/>
        <v>SAYULA</v>
      </c>
      <c r="F66" s="7">
        <v>2</v>
      </c>
      <c r="G66" s="7" t="s">
        <v>477</v>
      </c>
      <c r="H66" s="7" t="s">
        <v>485</v>
      </c>
      <c r="I66" s="10" t="s">
        <v>485</v>
      </c>
      <c r="J66" s="10">
        <v>62</v>
      </c>
      <c r="K66" s="7"/>
      <c r="M66">
        <v>20</v>
      </c>
      <c r="N66" t="s">
        <v>669</v>
      </c>
      <c r="O66" t="s">
        <v>118</v>
      </c>
      <c r="P66" t="s">
        <v>477</v>
      </c>
      <c r="Q66">
        <f>COUNTIFS($H$4:$H$1201,Tabla213[[#Headers],[Neopestalotiopsis]], $G$4:$G$1201,Tabla213[[#This Row],[Organo]], $B$4:$B$1201,M66)</f>
        <v>1</v>
      </c>
      <c r="R66">
        <f>COUNTIFS($H$4:$H$1201,Tabla213[[#Headers],[Fusarium]], $G$4:$G$1201,Tabla213[[#This Row],[Organo]], $B$4:$B$1201,M66)</f>
        <v>6</v>
      </c>
      <c r="S66">
        <f>COUNTIFS($H$4:$H$1201,Tabla213[[#Headers],[Cylindrocarpon]], $G$4:$G$1201,Tabla213[[#This Row],[Organo]], $B$4:$B$1201,M66)</f>
        <v>1</v>
      </c>
      <c r="T66">
        <f>COUNTIFS($H$4:$H$1201,Tabla213[[#Headers],[Macrophomina]], $G$4:$G$1201,Tabla213[[#This Row],[Organo]], $B$4:$B$1201,M66)</f>
        <v>0</v>
      </c>
      <c r="U66">
        <f>COUNTIFS($H$4:$H$1201,Tabla213[[#Headers],[Rhizoctonia]], $G$4:$G$1201,Tabla213[[#This Row],[Organo]], $B$4:$B$1201,M66)</f>
        <v>0</v>
      </c>
      <c r="V66">
        <v>0</v>
      </c>
      <c r="W66">
        <f>COUNTIFS($H$4:$H$1201,Tabla213[[#Headers],[Alternaria]], $G$4:$G$1201,Tabla213[[#This Row],[Organo]], $B$4:$B$1201,M66)</f>
        <v>0</v>
      </c>
      <c r="X66">
        <f>COUNTIFS($H$4:$H$1201,Tabla213[[#Headers],[Botrytis]], $G$4:$G$1201,Tabla213[[#This Row],[Organo]], $B$4:$B$1201,M66)</f>
        <v>0</v>
      </c>
      <c r="Y66">
        <f>COUNTIFS($H$4:$H$1201,Tabla213[[#Headers],[Colletotrichum]], $G$4:$G$1201,Tabla213[[#This Row],[Organo]], $B$4:$B$1201,M66)</f>
        <v>0</v>
      </c>
      <c r="Z66">
        <f>COUNTIFS($H$4:$H$1201,Tabla213[[#Headers],[Aspergillus]], $G$4:$G$1201,Tabla213[[#This Row],[Organo]], $B$4:$B$1201,M66)</f>
        <v>0</v>
      </c>
      <c r="AA66">
        <f>COUNTIFS($H$4:$H$1201,Tabla213[[#Headers],[NO ID]], $G$4:$G$1201,Tabla213[[#This Row],[Organo]], $B$4:$B$1201,M66)</f>
        <v>3</v>
      </c>
      <c r="AB66">
        <f>COUNTIFS($H$4:$H$1201,Tabla213[[#Headers],[Trichoderma]], $G$4:$G$1201,Tabla213[[#This Row],[Organo]], $B$4:$B$1201,M66)</f>
        <v>0</v>
      </c>
      <c r="AC66">
        <f>COUNTIFS($H$4:$H$1201,Tabla213[[#Headers],[Rizophus]], $G$4:$G$1201,Tabla213[[#This Row],[Organo]], $B$4:$B$1201,M66)</f>
        <v>0</v>
      </c>
      <c r="AD66">
        <f>COUNTIFS($H$4:$H$1201,Tabla213[[#Headers],[FALTANTES]], $G$4:$G$1201,Tabla213[[#This Row],[Organo]], $B$4:$B$1201,M66)</f>
        <v>0</v>
      </c>
      <c r="AF66">
        <f t="shared" ref="AF66" si="60">SUM(Q65:AD66)</f>
        <v>15</v>
      </c>
      <c r="AG66">
        <f>COUNTIF($B$5:$B$1201, Tabla213[[#This Row],[Num. Parcela]])</f>
        <v>15</v>
      </c>
      <c r="AH66" t="b">
        <f t="shared" ref="AH66" si="61">IF(AF66=AG66, TRUE)</f>
        <v>1</v>
      </c>
      <c r="AK66">
        <v>20</v>
      </c>
      <c r="AL66" t="s">
        <v>17</v>
      </c>
      <c r="AM66" t="s">
        <v>118</v>
      </c>
      <c r="AN66" t="s">
        <v>476</v>
      </c>
    </row>
    <row r="67" spans="1:40" x14ac:dyDescent="0.2">
      <c r="A67" s="7">
        <v>63</v>
      </c>
      <c r="B67" s="7">
        <v>2</v>
      </c>
      <c r="C67" s="1" t="str">
        <f t="shared" si="0"/>
        <v>LA MAGUELLERA</v>
      </c>
      <c r="D67" s="7" t="s">
        <v>127</v>
      </c>
      <c r="E67" s="1" t="str">
        <f t="shared" si="1"/>
        <v>SAYULA</v>
      </c>
      <c r="F67" s="7">
        <v>2</v>
      </c>
      <c r="G67" s="7" t="s">
        <v>477</v>
      </c>
      <c r="H67" s="7" t="s">
        <v>228</v>
      </c>
      <c r="I67" s="11" t="s">
        <v>487</v>
      </c>
      <c r="J67" s="11">
        <v>63</v>
      </c>
      <c r="K67" s="7"/>
      <c r="L67">
        <v>1</v>
      </c>
      <c r="M67">
        <v>21.1</v>
      </c>
      <c r="N67" t="s">
        <v>670</v>
      </c>
      <c r="O67" t="s">
        <v>126</v>
      </c>
      <c r="P67" t="s">
        <v>476</v>
      </c>
      <c r="Q67">
        <f>COUNTIFS($H$4:$H$1201,Tabla213[[#Headers],[Neopestalotiopsis]], $G$4:$G$1201,Tabla213[[#This Row],[Organo]], $B$4:$B$1201,M67)</f>
        <v>0</v>
      </c>
      <c r="R67">
        <f>COUNTIFS($H$4:$H$1201,Tabla213[[#Headers],[Fusarium]], $G$4:$G$1201,Tabla213[[#This Row],[Organo]], $B$4:$B$1201,M67)</f>
        <v>0</v>
      </c>
      <c r="S67">
        <f>COUNTIFS($H$4:$H$1201,Tabla213[[#Headers],[Cylindrocarpon]], $G$4:$G$1201,Tabla213[[#This Row],[Organo]], $B$4:$B$1201,M67)</f>
        <v>0</v>
      </c>
      <c r="T67">
        <f>COUNTIFS($H$4:$H$1201,Tabla213[[#Headers],[Macrophomina]], $G$4:$G$1201,Tabla213[[#This Row],[Organo]], $B$4:$B$1201,M67)</f>
        <v>0</v>
      </c>
      <c r="U67">
        <f>COUNTIFS($H$4:$H$1201,Tabla213[[#Headers],[Rhizoctonia]], $G$4:$G$1201,Tabla213[[#This Row],[Organo]], $B$4:$B$1201,M67)</f>
        <v>0</v>
      </c>
      <c r="V67">
        <v>0</v>
      </c>
      <c r="W67">
        <f>COUNTIFS($H$4:$H$1201,Tabla213[[#Headers],[Alternaria]], $G$4:$G$1201,Tabla213[[#This Row],[Organo]], $B$4:$B$1201,M67)</f>
        <v>0</v>
      </c>
      <c r="X67">
        <f>COUNTIFS($H$4:$H$1201,Tabla213[[#Headers],[Botrytis]], $G$4:$G$1201,Tabla213[[#This Row],[Organo]], $B$4:$B$1201,M67)</f>
        <v>0</v>
      </c>
      <c r="Y67">
        <f>COUNTIFS($H$4:$H$1201,Tabla213[[#Headers],[Colletotrichum]], $G$4:$G$1201,Tabla213[[#This Row],[Organo]], $B$4:$B$1201,M67)</f>
        <v>0</v>
      </c>
      <c r="Z67">
        <f>COUNTIFS($H$4:$H$1201,Tabla213[[#Headers],[Aspergillus]], $G$4:$G$1201,Tabla213[[#This Row],[Organo]], $B$4:$B$1201,M67)</f>
        <v>0</v>
      </c>
      <c r="AA67">
        <f>COUNTIFS($H$4:$H$1201,Tabla213[[#Headers],[NO ID]], $G$4:$G$1201,Tabla213[[#This Row],[Organo]], $B$4:$B$1201,M67)</f>
        <v>0</v>
      </c>
      <c r="AB67">
        <f>COUNTIFS($H$4:$H$1201,Tabla213[[#Headers],[Trichoderma]], $G$4:$G$1201,Tabla213[[#This Row],[Organo]], $B$4:$B$1201,M67)</f>
        <v>0</v>
      </c>
      <c r="AC67">
        <f>COUNTIFS($H$4:$H$1201,Tabla213[[#Headers],[Rizophus]], $G$4:$G$1201,Tabla213[[#This Row],[Organo]], $B$4:$B$1201,M67)</f>
        <v>0</v>
      </c>
      <c r="AD67">
        <f>COUNTIFS($H$4:$H$1201,Tabla213[[#Headers],[FALTANTES]], $G$4:$G$1201,Tabla213[[#This Row],[Organo]], $B$4:$B$1201,M67)</f>
        <v>0</v>
      </c>
      <c r="AK67">
        <v>21.1</v>
      </c>
      <c r="AL67" t="s">
        <v>18</v>
      </c>
      <c r="AM67" t="s">
        <v>121</v>
      </c>
      <c r="AN67" t="s">
        <v>477</v>
      </c>
    </row>
    <row r="68" spans="1:40" x14ac:dyDescent="0.2">
      <c r="A68" s="7">
        <v>64</v>
      </c>
      <c r="B68" s="7">
        <v>2</v>
      </c>
      <c r="C68" s="1" t="str">
        <f t="shared" si="0"/>
        <v>LA MAGUELLERA</v>
      </c>
      <c r="D68" s="7" t="s">
        <v>127</v>
      </c>
      <c r="E68" s="1" t="str">
        <f t="shared" si="1"/>
        <v>SAYULA</v>
      </c>
      <c r="F68" s="7">
        <v>2</v>
      </c>
      <c r="G68" s="7" t="s">
        <v>477</v>
      </c>
      <c r="H68" s="7" t="s">
        <v>228</v>
      </c>
      <c r="I68" s="9" t="s">
        <v>487</v>
      </c>
      <c r="J68" s="9">
        <v>64</v>
      </c>
      <c r="K68" s="7"/>
      <c r="M68">
        <v>21.1</v>
      </c>
      <c r="N68" t="s">
        <v>670</v>
      </c>
      <c r="O68" t="s">
        <v>126</v>
      </c>
      <c r="P68" t="s">
        <v>477</v>
      </c>
      <c r="Q68">
        <f>COUNTIFS($H$4:$H$1201,Tabla213[[#Headers],[Neopestalotiopsis]], $G$4:$G$1201,Tabla213[[#This Row],[Organo]], $B$4:$B$1201,M68)</f>
        <v>0</v>
      </c>
      <c r="R68">
        <f>COUNTIFS($H$4:$H$1201,Tabla213[[#Headers],[Fusarium]], $G$4:$G$1201,Tabla213[[#This Row],[Organo]], $B$4:$B$1201,M68)</f>
        <v>0</v>
      </c>
      <c r="S68">
        <f>COUNTIFS($H$4:$H$1201,Tabla213[[#Headers],[Cylindrocarpon]], $G$4:$G$1201,Tabla213[[#This Row],[Organo]], $B$4:$B$1201,M68)</f>
        <v>0</v>
      </c>
      <c r="T68">
        <f>COUNTIFS($H$4:$H$1201,Tabla213[[#Headers],[Macrophomina]], $G$4:$G$1201,Tabla213[[#This Row],[Organo]], $B$4:$B$1201,M68)</f>
        <v>0</v>
      </c>
      <c r="U68">
        <f>COUNTIFS($H$4:$H$1201,Tabla213[[#Headers],[Rhizoctonia]], $G$4:$G$1201,Tabla213[[#This Row],[Organo]], $B$4:$B$1201,M68)</f>
        <v>0</v>
      </c>
      <c r="V68">
        <v>0</v>
      </c>
      <c r="W68">
        <f>COUNTIFS($H$4:$H$1201,Tabla213[[#Headers],[Alternaria]], $G$4:$G$1201,Tabla213[[#This Row],[Organo]], $B$4:$B$1201,M68)</f>
        <v>0</v>
      </c>
      <c r="X68">
        <f>COUNTIFS($H$4:$H$1201,Tabla213[[#Headers],[Botrytis]], $G$4:$G$1201,Tabla213[[#This Row],[Organo]], $B$4:$B$1201,M68)</f>
        <v>0</v>
      </c>
      <c r="Y68">
        <f>COUNTIFS($H$4:$H$1201,Tabla213[[#Headers],[Colletotrichum]], $G$4:$G$1201,Tabla213[[#This Row],[Organo]], $B$4:$B$1201,M68)</f>
        <v>0</v>
      </c>
      <c r="Z68">
        <f>COUNTIFS($H$4:$H$1201,Tabla213[[#Headers],[Aspergillus]], $G$4:$G$1201,Tabla213[[#This Row],[Organo]], $B$4:$B$1201,M68)</f>
        <v>0</v>
      </c>
      <c r="AA68">
        <f>COUNTIFS($H$4:$H$1201,Tabla213[[#Headers],[NO ID]], $G$4:$G$1201,Tabla213[[#This Row],[Organo]], $B$4:$B$1201,M68)</f>
        <v>0</v>
      </c>
      <c r="AB68">
        <f>COUNTIFS($H$4:$H$1201,Tabla213[[#Headers],[Trichoderma]], $G$4:$G$1201,Tabla213[[#This Row],[Organo]], $B$4:$B$1201,M68)</f>
        <v>0</v>
      </c>
      <c r="AC68">
        <f>COUNTIFS($H$4:$H$1201,Tabla213[[#Headers],[Rizophus]], $G$4:$G$1201,Tabla213[[#This Row],[Organo]], $B$4:$B$1201,M68)</f>
        <v>0</v>
      </c>
      <c r="AD68">
        <f>COUNTIFS($H$4:$H$1201,Tabla213[[#Headers],[FALTANTES]], $G$4:$G$1201,Tabla213[[#This Row],[Organo]], $B$4:$B$1201,M68)</f>
        <v>0</v>
      </c>
      <c r="AF68">
        <f t="shared" ref="AF68" si="62">SUM(Q67:AD68)</f>
        <v>0</v>
      </c>
      <c r="AG68">
        <f>COUNTIF($B$5:$B$1201, Tabla213[[#This Row],[Num. Parcela]])</f>
        <v>0</v>
      </c>
      <c r="AH68" t="b">
        <f t="shared" ref="AH68" si="63">IF(AF68=AG68, TRUE)</f>
        <v>1</v>
      </c>
      <c r="AK68">
        <v>21.1</v>
      </c>
      <c r="AL68" t="s">
        <v>18</v>
      </c>
      <c r="AM68" t="s">
        <v>121</v>
      </c>
      <c r="AN68" t="s">
        <v>476</v>
      </c>
    </row>
    <row r="69" spans="1:40" x14ac:dyDescent="0.2">
      <c r="A69" s="7">
        <v>65</v>
      </c>
      <c r="B69" s="7">
        <v>2</v>
      </c>
      <c r="C69" s="1" t="str">
        <f t="shared" ref="C69:C132" si="64">IF(B69=1.1,"EL PEJO 1",IF(B69=1.2,"EL PEJO 2",IF(B69=1.3,"EL PEJO 3",IF(B69=1.4,"EL PEJO 4",IF(B69=2,"LA MAGUELLERA",IF(B69=3,"RANCHO ALVAREZ",IF(B69=4.1,"CANINDO 2",IF(B69=4.2,"CANINDO 3",IF(B69=4.3,"CANINDO 1",IF(B69=5.1,"CIRILLO 2",IF(B69=5.2,"CIRILLO 1",IF(B69=6,"PANTANO MEDIO",IF(B69=7,"PANTABAJO",IF(B69=8.1,"CHAVA MARTINEZ 1",IF(B69=8.2,"CHAVA MARTINEZ 2",IF(B69=9.1,"TIERRA DE POLLO 1",IF(B69=9.2,"TIERRA DE POLLO 2",IF(B69=10,"TIERRA DE GARCIA",IF(B69=11,"LA GALERA 1",IF(B69=12,"GALERA 2",IF(B69=13,"GALERA 3",IF(B69=14.1,"EL TRIANGULO 1",IF(B69=14.2,"EL TRIANGULO 2",IF(B69=15.1,"LA CRUZ 1",IF(B69=15.2,"LA CRUZ 2",IF(B69=16.1,"LUIS ROMERO 1",IF(B69=16.2,"LUIS ROMERO 2",IF(B69=17,"MAURILIO 1",IF(B69=18,"HUGO NAVARRO 1",)))))))))))))))))))))))))))))</f>
        <v>LA MAGUELLERA</v>
      </c>
      <c r="D69" s="7" t="s">
        <v>127</v>
      </c>
      <c r="E69" s="1" t="str">
        <f t="shared" ref="E69:E132" si="65">IF(B69=1.1,"SENSATION",IF(B69=1.2,"VICTOR",IF(B69=1.3,"SANTA MARIA",IF(B69=1.4,"WARRIOR",IF(B69=2,"SAYULA",IF(B69=3,"SAYULA",IF(B69=4.1,"SAYULA",IF(B69=4.2,"SANTA MARIA",IF(B69=4.3,"NIÑA",IF(B69=5.1,"SAYULA",IF(B69=5.2,"SENSATION",IF(B69=6,"FORTUNA",IF(B69=7,"SENSATION",IF(B69=8.1,"FORTUNA",IF(B69=8.2,"ADELANTO",IF(B69=9.1,"GIDDINGS",IF(B69=9.2,"SANTA MARIA",IF(B69=10,"FORTUNA",IF(B69=11,"SENSATION",IF(B69=12,"SENSATION",IF(B69=13,"FRONTERA",IF(B69=14.1,"SENSATION",IF(B69=14.2,"CODIGO",IF(B69=15.1,"FRONTERA",IF(B69=15.2,"SAYULA",IF(B69=16.1,"SANTA MARIA &amp; FRONTERA",IF(B69=16.2,"SAYULA",IF(B69=17,"NO DOCUMENTADO",IF(B69=18,"NO DOCUMENTADO",IF(B69=19,"NO DOCUMENTADO"))))))))))))))))))))))))))))))</f>
        <v>SAYULA</v>
      </c>
      <c r="F69" s="7">
        <v>2</v>
      </c>
      <c r="G69" s="7" t="s">
        <v>477</v>
      </c>
      <c r="H69" s="7" t="s">
        <v>228</v>
      </c>
      <c r="I69" s="9" t="s">
        <v>487</v>
      </c>
      <c r="J69" s="9">
        <v>65</v>
      </c>
      <c r="K69" s="7"/>
      <c r="L69">
        <v>1</v>
      </c>
      <c r="M69">
        <v>21.2</v>
      </c>
      <c r="N69" t="s">
        <v>671</v>
      </c>
      <c r="O69" t="s">
        <v>119</v>
      </c>
      <c r="P69" t="s">
        <v>476</v>
      </c>
      <c r="Q69">
        <f>COUNTIFS($H$4:$H$1201,Tabla213[[#Headers],[Neopestalotiopsis]], $G$4:$G$1201,Tabla213[[#This Row],[Organo]], $B$4:$B$1201,M69)</f>
        <v>0</v>
      </c>
      <c r="R69">
        <f>COUNTIFS($H$4:$H$1201,Tabla213[[#Headers],[Fusarium]], $G$4:$G$1201,Tabla213[[#This Row],[Organo]], $B$4:$B$1201,M69)</f>
        <v>0</v>
      </c>
      <c r="S69">
        <f>COUNTIFS($H$4:$H$1201,Tabla213[[#Headers],[Cylindrocarpon]], $G$4:$G$1201,Tabla213[[#This Row],[Organo]], $B$4:$B$1201,M69)</f>
        <v>0</v>
      </c>
      <c r="T69">
        <f>COUNTIFS($H$4:$H$1201,Tabla213[[#Headers],[Macrophomina]], $G$4:$G$1201,Tabla213[[#This Row],[Organo]], $B$4:$B$1201,M69)</f>
        <v>0</v>
      </c>
      <c r="U69">
        <f>COUNTIFS($H$4:$H$1201,Tabla213[[#Headers],[Rhizoctonia]], $G$4:$G$1201,Tabla213[[#This Row],[Organo]], $B$4:$B$1201,M69)</f>
        <v>0</v>
      </c>
      <c r="V69">
        <v>0</v>
      </c>
      <c r="W69">
        <f>COUNTIFS($H$4:$H$1201,Tabla213[[#Headers],[Alternaria]], $G$4:$G$1201,Tabla213[[#This Row],[Organo]], $B$4:$B$1201,M69)</f>
        <v>0</v>
      </c>
      <c r="X69">
        <f>COUNTIFS($H$4:$H$1201,Tabla213[[#Headers],[Botrytis]], $G$4:$G$1201,Tabla213[[#This Row],[Organo]], $B$4:$B$1201,M69)</f>
        <v>0</v>
      </c>
      <c r="Y69">
        <f>COUNTIFS($H$4:$H$1201,Tabla213[[#Headers],[Colletotrichum]], $G$4:$G$1201,Tabla213[[#This Row],[Organo]], $B$4:$B$1201,M69)</f>
        <v>0</v>
      </c>
      <c r="Z69">
        <f>COUNTIFS($H$4:$H$1201,Tabla213[[#Headers],[Aspergillus]], $G$4:$G$1201,Tabla213[[#This Row],[Organo]], $B$4:$B$1201,M69)</f>
        <v>0</v>
      </c>
      <c r="AA69">
        <f>COUNTIFS($H$4:$H$1201,Tabla213[[#Headers],[NO ID]], $G$4:$G$1201,Tabla213[[#This Row],[Organo]], $B$4:$B$1201,M69)</f>
        <v>0</v>
      </c>
      <c r="AB69">
        <f>COUNTIFS($H$4:$H$1201,Tabla213[[#Headers],[Trichoderma]], $G$4:$G$1201,Tabla213[[#This Row],[Organo]], $B$4:$B$1201,M69)</f>
        <v>0</v>
      </c>
      <c r="AC69">
        <f>COUNTIFS($H$4:$H$1201,Tabla213[[#Headers],[Rizophus]], $G$4:$G$1201,Tabla213[[#This Row],[Organo]], $B$4:$B$1201,M69)</f>
        <v>0</v>
      </c>
      <c r="AD69">
        <f>COUNTIFS($H$4:$H$1201,Tabla213[[#Headers],[FALTANTES]], $G$4:$G$1201,Tabla213[[#This Row],[Organo]], $B$4:$B$1201,M69)</f>
        <v>0</v>
      </c>
      <c r="AK69">
        <v>21.2</v>
      </c>
      <c r="AL69" t="s">
        <v>18</v>
      </c>
      <c r="AM69" t="s">
        <v>119</v>
      </c>
      <c r="AN69" t="s">
        <v>477</v>
      </c>
    </row>
    <row r="70" spans="1:40" x14ac:dyDescent="0.2">
      <c r="A70" s="7">
        <v>66</v>
      </c>
      <c r="B70" s="7">
        <v>2</v>
      </c>
      <c r="C70" s="1" t="str">
        <f t="shared" si="64"/>
        <v>LA MAGUELLERA</v>
      </c>
      <c r="D70" s="7" t="s">
        <v>127</v>
      </c>
      <c r="E70" s="1" t="str">
        <f t="shared" si="65"/>
        <v>SAYULA</v>
      </c>
      <c r="F70" s="7">
        <v>1</v>
      </c>
      <c r="G70" s="7" t="s">
        <v>477</v>
      </c>
      <c r="H70" s="7" t="s">
        <v>485</v>
      </c>
      <c r="I70" s="10" t="s">
        <v>485</v>
      </c>
      <c r="J70" s="10">
        <v>66</v>
      </c>
      <c r="K70" s="7"/>
      <c r="M70">
        <v>21.2</v>
      </c>
      <c r="N70" t="s">
        <v>671</v>
      </c>
      <c r="O70" t="s">
        <v>119</v>
      </c>
      <c r="P70" t="s">
        <v>477</v>
      </c>
      <c r="Q70">
        <f>COUNTIFS($H$4:$H$1201,Tabla213[[#Headers],[Neopestalotiopsis]], $G$4:$G$1201,Tabla213[[#This Row],[Organo]], $B$4:$B$1201,M70)</f>
        <v>0</v>
      </c>
      <c r="R70">
        <f>COUNTIFS($H$4:$H$1201,Tabla213[[#Headers],[Fusarium]], $G$4:$G$1201,Tabla213[[#This Row],[Organo]], $B$4:$B$1201,M70)</f>
        <v>0</v>
      </c>
      <c r="S70">
        <f>COUNTIFS($H$4:$H$1201,Tabla213[[#Headers],[Cylindrocarpon]], $G$4:$G$1201,Tabla213[[#This Row],[Organo]], $B$4:$B$1201,M70)</f>
        <v>0</v>
      </c>
      <c r="T70">
        <f>COUNTIFS($H$4:$H$1201,Tabla213[[#Headers],[Macrophomina]], $G$4:$G$1201,Tabla213[[#This Row],[Organo]], $B$4:$B$1201,M70)</f>
        <v>0</v>
      </c>
      <c r="U70">
        <f>COUNTIFS($H$4:$H$1201,Tabla213[[#Headers],[Rhizoctonia]], $G$4:$G$1201,Tabla213[[#This Row],[Organo]], $B$4:$B$1201,M70)</f>
        <v>0</v>
      </c>
      <c r="V70">
        <v>0</v>
      </c>
      <c r="W70">
        <f>COUNTIFS($H$4:$H$1201,Tabla213[[#Headers],[Alternaria]], $G$4:$G$1201,Tabla213[[#This Row],[Organo]], $B$4:$B$1201,M70)</f>
        <v>0</v>
      </c>
      <c r="X70">
        <f>COUNTIFS($H$4:$H$1201,Tabla213[[#Headers],[Botrytis]], $G$4:$G$1201,Tabla213[[#This Row],[Organo]], $B$4:$B$1201,M70)</f>
        <v>0</v>
      </c>
      <c r="Y70">
        <f>COUNTIFS($H$4:$H$1201,Tabla213[[#Headers],[Colletotrichum]], $G$4:$G$1201,Tabla213[[#This Row],[Organo]], $B$4:$B$1201,M70)</f>
        <v>0</v>
      </c>
      <c r="Z70">
        <f>COUNTIFS($H$4:$H$1201,Tabla213[[#Headers],[Aspergillus]], $G$4:$G$1201,Tabla213[[#This Row],[Organo]], $B$4:$B$1201,M70)</f>
        <v>0</v>
      </c>
      <c r="AA70">
        <f>COUNTIFS($H$4:$H$1201,Tabla213[[#Headers],[NO ID]], $G$4:$G$1201,Tabla213[[#This Row],[Organo]], $B$4:$B$1201,M70)</f>
        <v>0</v>
      </c>
      <c r="AB70">
        <f>COUNTIFS($H$4:$H$1201,Tabla213[[#Headers],[Trichoderma]], $G$4:$G$1201,Tabla213[[#This Row],[Organo]], $B$4:$B$1201,M70)</f>
        <v>0</v>
      </c>
      <c r="AC70">
        <f>COUNTIFS($H$4:$H$1201,Tabla213[[#Headers],[Rizophus]], $G$4:$G$1201,Tabla213[[#This Row],[Organo]], $B$4:$B$1201,M70)</f>
        <v>0</v>
      </c>
      <c r="AD70">
        <f>COUNTIFS($H$4:$H$1201,Tabla213[[#Headers],[FALTANTES]], $G$4:$G$1201,Tabla213[[#This Row],[Organo]], $B$4:$B$1201,M70)</f>
        <v>0</v>
      </c>
      <c r="AF70">
        <f t="shared" ref="AF70" si="66">SUM(Q69:AD70)</f>
        <v>0</v>
      </c>
      <c r="AG70">
        <f>COUNTIF($B$5:$B$1201, Tabla213[[#This Row],[Num. Parcela]])</f>
        <v>0</v>
      </c>
      <c r="AH70" t="b">
        <f t="shared" ref="AH70" si="67">IF(AF70=AG70, TRUE)</f>
        <v>1</v>
      </c>
      <c r="AK70">
        <v>21.2</v>
      </c>
      <c r="AL70" t="s">
        <v>18</v>
      </c>
      <c r="AM70" t="s">
        <v>119</v>
      </c>
      <c r="AN70" t="s">
        <v>476</v>
      </c>
    </row>
    <row r="71" spans="1:40" x14ac:dyDescent="0.2">
      <c r="A71" s="7">
        <v>67</v>
      </c>
      <c r="B71" s="7">
        <v>2</v>
      </c>
      <c r="C71" s="1" t="str">
        <f t="shared" si="64"/>
        <v>LA MAGUELLERA</v>
      </c>
      <c r="D71" s="7" t="s">
        <v>127</v>
      </c>
      <c r="E71" s="1" t="str">
        <f t="shared" si="65"/>
        <v>SAYULA</v>
      </c>
      <c r="F71" s="7">
        <v>1</v>
      </c>
      <c r="G71" s="7" t="s">
        <v>477</v>
      </c>
      <c r="H71" s="7" t="s">
        <v>228</v>
      </c>
      <c r="I71" s="9" t="s">
        <v>487</v>
      </c>
      <c r="J71" s="9">
        <v>67</v>
      </c>
      <c r="K71" s="21" t="s">
        <v>639</v>
      </c>
      <c r="M71">
        <v>22</v>
      </c>
      <c r="N71" t="s">
        <v>19</v>
      </c>
      <c r="O71" t="s">
        <v>120</v>
      </c>
      <c r="P71" t="s">
        <v>476</v>
      </c>
      <c r="Q71">
        <f>COUNTIFS($H$4:$H$1201,Tabla213[[#Headers],[Neopestalotiopsis]], $G$4:$G$1201,Tabla213[[#This Row],[Organo]], $B$4:$B$1201,M71)</f>
        <v>0</v>
      </c>
      <c r="R71">
        <f>COUNTIFS($H$4:$H$1201,Tabla213[[#Headers],[Fusarium]], $G$4:$G$1201,Tabla213[[#This Row],[Organo]], $B$4:$B$1201,M71)</f>
        <v>2</v>
      </c>
      <c r="S71">
        <f>COUNTIFS($H$4:$H$1201,Tabla213[[#Headers],[Cylindrocarpon]], $G$4:$G$1201,Tabla213[[#This Row],[Organo]], $B$4:$B$1201,M71)</f>
        <v>0</v>
      </c>
      <c r="T71">
        <f>COUNTIFS($H$4:$H$1201,Tabla213[[#Headers],[Macrophomina]], $G$4:$G$1201,Tabla213[[#This Row],[Organo]], $B$4:$B$1201,M71)</f>
        <v>0</v>
      </c>
      <c r="U71">
        <f>COUNTIFS($H$4:$H$1201,Tabla213[[#Headers],[Rhizoctonia]], $G$4:$G$1201,Tabla213[[#This Row],[Organo]], $B$4:$B$1201,M71)</f>
        <v>2</v>
      </c>
      <c r="V71">
        <v>0</v>
      </c>
      <c r="W71">
        <f>COUNTIFS($H$4:$H$1201,Tabla213[[#Headers],[Alternaria]], $G$4:$G$1201,Tabla213[[#This Row],[Organo]], $B$4:$B$1201,M71)</f>
        <v>0</v>
      </c>
      <c r="X71">
        <f>COUNTIFS($H$4:$H$1201,Tabla213[[#Headers],[Botrytis]], $G$4:$G$1201,Tabla213[[#This Row],[Organo]], $B$4:$B$1201,M71)</f>
        <v>0</v>
      </c>
      <c r="Y71">
        <f>COUNTIFS($H$4:$H$1201,Tabla213[[#Headers],[Colletotrichum]], $G$4:$G$1201,Tabla213[[#This Row],[Organo]], $B$4:$B$1201,M71)</f>
        <v>0</v>
      </c>
      <c r="Z71">
        <f>COUNTIFS($H$4:$H$1201,Tabla213[[#Headers],[Aspergillus]], $G$4:$G$1201,Tabla213[[#This Row],[Organo]], $B$4:$B$1201,M71)</f>
        <v>0</v>
      </c>
      <c r="AA71">
        <f>COUNTIFS($H$4:$H$1201,Tabla213[[#Headers],[NO ID]], $G$4:$G$1201,Tabla213[[#This Row],[Organo]], $B$4:$B$1201,M71)</f>
        <v>0</v>
      </c>
      <c r="AB71">
        <f>COUNTIFS($H$4:$H$1201,Tabla213[[#Headers],[Trichoderma]], $G$4:$G$1201,Tabla213[[#This Row],[Organo]], $B$4:$B$1201,M71)</f>
        <v>0</v>
      </c>
      <c r="AC71">
        <f>COUNTIFS($H$4:$H$1201,Tabla213[[#Headers],[Rizophus]], $G$4:$G$1201,Tabla213[[#This Row],[Organo]], $B$4:$B$1201,M71)</f>
        <v>0</v>
      </c>
      <c r="AD71">
        <f>COUNTIFS($H$4:$H$1201,Tabla213[[#Headers],[FALTANTES]], $G$4:$G$1201,Tabla213[[#This Row],[Organo]], $B$4:$B$1201,M71)</f>
        <v>0</v>
      </c>
      <c r="AK71">
        <v>22</v>
      </c>
      <c r="AL71" t="s">
        <v>19</v>
      </c>
      <c r="AM71" t="s">
        <v>120</v>
      </c>
      <c r="AN71" t="s">
        <v>477</v>
      </c>
    </row>
    <row r="72" spans="1:40" x14ac:dyDescent="0.2">
      <c r="A72" s="7">
        <v>68</v>
      </c>
      <c r="B72" s="7">
        <v>2</v>
      </c>
      <c r="C72" s="1" t="str">
        <f t="shared" si="64"/>
        <v>LA MAGUELLERA</v>
      </c>
      <c r="D72" s="7" t="s">
        <v>127</v>
      </c>
      <c r="E72" s="1" t="str">
        <f t="shared" si="65"/>
        <v>SAYULA</v>
      </c>
      <c r="F72" s="7">
        <v>1</v>
      </c>
      <c r="G72" s="7" t="s">
        <v>477</v>
      </c>
      <c r="H72" s="7" t="s">
        <v>485</v>
      </c>
      <c r="I72" s="10" t="s">
        <v>485</v>
      </c>
      <c r="J72" s="10">
        <v>68</v>
      </c>
      <c r="K72" s="7"/>
      <c r="M72">
        <v>22</v>
      </c>
      <c r="N72" t="s">
        <v>19</v>
      </c>
      <c r="O72" t="s">
        <v>120</v>
      </c>
      <c r="P72" t="s">
        <v>477</v>
      </c>
      <c r="Q72">
        <f>COUNTIFS($H$4:$H$1201,Tabla213[[#Headers],[Neopestalotiopsis]], $G$4:$G$1201,Tabla213[[#This Row],[Organo]], $B$4:$B$1201,M72)</f>
        <v>1</v>
      </c>
      <c r="R72">
        <f>COUNTIFS($H$4:$H$1201,Tabla213[[#Headers],[Fusarium]], $G$4:$G$1201,Tabla213[[#This Row],[Organo]], $B$4:$B$1201,M72)</f>
        <v>0</v>
      </c>
      <c r="S72">
        <f>COUNTIFS($H$4:$H$1201,Tabla213[[#Headers],[Cylindrocarpon]], $G$4:$G$1201,Tabla213[[#This Row],[Organo]], $B$4:$B$1201,M72)</f>
        <v>1</v>
      </c>
      <c r="T72">
        <f>COUNTIFS($H$4:$H$1201,Tabla213[[#Headers],[Macrophomina]], $G$4:$G$1201,Tabla213[[#This Row],[Organo]], $B$4:$B$1201,M72)</f>
        <v>0</v>
      </c>
      <c r="U72">
        <f>COUNTIFS($H$4:$H$1201,Tabla213[[#Headers],[Rhizoctonia]], $G$4:$G$1201,Tabla213[[#This Row],[Organo]], $B$4:$B$1201,M72)</f>
        <v>7</v>
      </c>
      <c r="V72">
        <v>0</v>
      </c>
      <c r="W72">
        <f>COUNTIFS($H$4:$H$1201,Tabla213[[#Headers],[Alternaria]], $G$4:$G$1201,Tabla213[[#This Row],[Organo]], $B$4:$B$1201,M72)</f>
        <v>0</v>
      </c>
      <c r="X72">
        <f>COUNTIFS($H$4:$H$1201,Tabla213[[#Headers],[Botrytis]], $G$4:$G$1201,Tabla213[[#This Row],[Organo]], $B$4:$B$1201,M72)</f>
        <v>0</v>
      </c>
      <c r="Y72">
        <f>COUNTIFS($H$4:$H$1201,Tabla213[[#Headers],[Colletotrichum]], $G$4:$G$1201,Tabla213[[#This Row],[Organo]], $B$4:$B$1201,M72)</f>
        <v>0</v>
      </c>
      <c r="Z72">
        <f>COUNTIFS($H$4:$H$1201,Tabla213[[#Headers],[Aspergillus]], $G$4:$G$1201,Tabla213[[#This Row],[Organo]], $B$4:$B$1201,M72)</f>
        <v>0</v>
      </c>
      <c r="AA72">
        <f>COUNTIFS($H$4:$H$1201,Tabla213[[#Headers],[NO ID]], $G$4:$G$1201,Tabla213[[#This Row],[Organo]], $B$4:$B$1201,M72)</f>
        <v>0</v>
      </c>
      <c r="AB72">
        <f>COUNTIFS($H$4:$H$1201,Tabla213[[#Headers],[Trichoderma]], $G$4:$G$1201,Tabla213[[#This Row],[Organo]], $B$4:$B$1201,M72)</f>
        <v>0</v>
      </c>
      <c r="AC72">
        <f>COUNTIFS($H$4:$H$1201,Tabla213[[#Headers],[Rizophus]], $G$4:$G$1201,Tabla213[[#This Row],[Organo]], $B$4:$B$1201,M72)</f>
        <v>0</v>
      </c>
      <c r="AD72">
        <f>COUNTIFS($H$4:$H$1201,Tabla213[[#Headers],[FALTANTES]], $G$4:$G$1201,Tabla213[[#This Row],[Organo]], $B$4:$B$1201,M72)</f>
        <v>0</v>
      </c>
      <c r="AF72">
        <f t="shared" ref="AF72" si="68">SUM(Q71:AD72)</f>
        <v>13</v>
      </c>
      <c r="AG72">
        <f>COUNTIF($B$5:$B$1201, Tabla213[[#This Row],[Num. Parcela]])</f>
        <v>13</v>
      </c>
      <c r="AH72" t="b">
        <f t="shared" ref="AH72" si="69">IF(AF72=AG72, TRUE)</f>
        <v>1</v>
      </c>
      <c r="AK72">
        <v>22</v>
      </c>
      <c r="AL72" t="s">
        <v>19</v>
      </c>
      <c r="AM72" t="s">
        <v>120</v>
      </c>
      <c r="AN72" t="s">
        <v>476</v>
      </c>
    </row>
    <row r="73" spans="1:40" x14ac:dyDescent="0.2">
      <c r="A73" s="7">
        <v>69</v>
      </c>
      <c r="B73" s="7">
        <v>2</v>
      </c>
      <c r="C73" s="1" t="str">
        <f t="shared" si="64"/>
        <v>LA MAGUELLERA</v>
      </c>
      <c r="D73" s="7" t="s">
        <v>127</v>
      </c>
      <c r="E73" s="1" t="str">
        <f t="shared" si="65"/>
        <v>SAYULA</v>
      </c>
      <c r="F73" s="7">
        <v>2</v>
      </c>
      <c r="G73" s="7" t="s">
        <v>477</v>
      </c>
      <c r="H73" s="7" t="s">
        <v>228</v>
      </c>
      <c r="I73" s="9" t="s">
        <v>487</v>
      </c>
      <c r="J73" s="9">
        <v>69</v>
      </c>
      <c r="K73" s="21" t="s">
        <v>639</v>
      </c>
      <c r="M73">
        <v>23</v>
      </c>
      <c r="N73" t="s">
        <v>672</v>
      </c>
      <c r="O73" t="s">
        <v>83</v>
      </c>
      <c r="P73" t="s">
        <v>476</v>
      </c>
      <c r="Q73">
        <f>COUNTIFS($H$4:$H$1201,Tabla213[[#Headers],[Neopestalotiopsis]], $G$4:$G$1201,Tabla213[[#This Row],[Organo]], $B$4:$B$1201,M73)</f>
        <v>2</v>
      </c>
      <c r="R73">
        <f>COUNTIFS($H$4:$H$1201,Tabla213[[#Headers],[Fusarium]], $G$4:$G$1201,Tabla213[[#This Row],[Organo]], $B$4:$B$1201,M73)</f>
        <v>3</v>
      </c>
      <c r="S73">
        <f>COUNTIFS($H$4:$H$1201,Tabla213[[#Headers],[Cylindrocarpon]], $G$4:$G$1201,Tabla213[[#This Row],[Organo]], $B$4:$B$1201,M73)</f>
        <v>0</v>
      </c>
      <c r="T73">
        <f>COUNTIFS($H$4:$H$1201,Tabla213[[#Headers],[Macrophomina]], $G$4:$G$1201,Tabla213[[#This Row],[Organo]], $B$4:$B$1201,M73)</f>
        <v>0</v>
      </c>
      <c r="U73">
        <f>COUNTIFS($H$4:$H$1201,Tabla213[[#Headers],[Rhizoctonia]], $G$4:$G$1201,Tabla213[[#This Row],[Organo]], $B$4:$B$1201,M73)</f>
        <v>0</v>
      </c>
      <c r="V73">
        <v>0</v>
      </c>
      <c r="W73">
        <f>COUNTIFS($H$4:$H$1201,Tabla213[[#Headers],[Alternaria]], $G$4:$G$1201,Tabla213[[#This Row],[Organo]], $B$4:$B$1201,M73)</f>
        <v>0</v>
      </c>
      <c r="X73">
        <f>COUNTIFS($H$4:$H$1201,Tabla213[[#Headers],[Botrytis]], $G$4:$G$1201,Tabla213[[#This Row],[Organo]], $B$4:$B$1201,M73)</f>
        <v>0</v>
      </c>
      <c r="Y73">
        <f>COUNTIFS($H$4:$H$1201,Tabla213[[#Headers],[Colletotrichum]], $G$4:$G$1201,Tabla213[[#This Row],[Organo]], $B$4:$B$1201,M73)</f>
        <v>0</v>
      </c>
      <c r="Z73">
        <f>COUNTIFS($H$4:$H$1201,Tabla213[[#Headers],[Aspergillus]], $G$4:$G$1201,Tabla213[[#This Row],[Organo]], $B$4:$B$1201,M73)</f>
        <v>0</v>
      </c>
      <c r="AA73">
        <f>COUNTIFS($H$4:$H$1201,Tabla213[[#Headers],[NO ID]], $G$4:$G$1201,Tabla213[[#This Row],[Organo]], $B$4:$B$1201,M73)</f>
        <v>0</v>
      </c>
      <c r="AB73">
        <f>COUNTIFS($H$4:$H$1201,Tabla213[[#Headers],[Trichoderma]], $G$4:$G$1201,Tabla213[[#This Row],[Organo]], $B$4:$B$1201,M73)</f>
        <v>2</v>
      </c>
      <c r="AC73">
        <f>COUNTIFS($H$4:$H$1201,Tabla213[[#Headers],[Rizophus]], $G$4:$G$1201,Tabla213[[#This Row],[Organo]], $B$4:$B$1201,M73)</f>
        <v>0</v>
      </c>
      <c r="AD73">
        <f>COUNTIFS($H$4:$H$1201,Tabla213[[#Headers],[FALTANTES]], $G$4:$G$1201,Tabla213[[#This Row],[Organo]], $B$4:$B$1201,M73)</f>
        <v>0</v>
      </c>
      <c r="AK73">
        <v>23</v>
      </c>
      <c r="AL73" t="s">
        <v>20</v>
      </c>
      <c r="AM73" t="s">
        <v>83</v>
      </c>
      <c r="AN73" t="s">
        <v>477</v>
      </c>
    </row>
    <row r="74" spans="1:40" x14ac:dyDescent="0.2">
      <c r="A74" s="7">
        <v>70</v>
      </c>
      <c r="B74" s="7">
        <v>2</v>
      </c>
      <c r="C74" s="1" t="str">
        <f t="shared" si="64"/>
        <v>LA MAGUELLERA</v>
      </c>
      <c r="D74" s="7" t="s">
        <v>127</v>
      </c>
      <c r="E74" s="1" t="str">
        <f t="shared" si="65"/>
        <v>SAYULA</v>
      </c>
      <c r="F74" s="7">
        <v>2</v>
      </c>
      <c r="G74" s="7" t="s">
        <v>477</v>
      </c>
      <c r="H74" s="7" t="s">
        <v>228</v>
      </c>
      <c r="I74" s="9" t="s">
        <v>487</v>
      </c>
      <c r="J74" s="9">
        <v>70</v>
      </c>
      <c r="K74" s="7"/>
      <c r="M74">
        <v>23</v>
      </c>
      <c r="N74" t="s">
        <v>672</v>
      </c>
      <c r="O74" t="s">
        <v>83</v>
      </c>
      <c r="P74" t="s">
        <v>477</v>
      </c>
      <c r="Q74">
        <f>COUNTIFS($H$4:$H$1201,Tabla213[[#Headers],[Neopestalotiopsis]], $G$4:$G$1201,Tabla213[[#This Row],[Organo]], $B$4:$B$1201,M74)</f>
        <v>1</v>
      </c>
      <c r="R74">
        <f>COUNTIFS($H$4:$H$1201,Tabla213[[#Headers],[Fusarium]], $G$4:$G$1201,Tabla213[[#This Row],[Organo]], $B$4:$B$1201,M74)</f>
        <v>3</v>
      </c>
      <c r="S74">
        <f>COUNTIFS($H$4:$H$1201,Tabla213[[#Headers],[Cylindrocarpon]], $G$4:$G$1201,Tabla213[[#This Row],[Organo]], $B$4:$B$1201,M74)</f>
        <v>2</v>
      </c>
      <c r="T74">
        <f>COUNTIFS($H$4:$H$1201,Tabla213[[#Headers],[Macrophomina]], $G$4:$G$1201,Tabla213[[#This Row],[Organo]], $B$4:$B$1201,M74)</f>
        <v>0</v>
      </c>
      <c r="U74">
        <f>COUNTIFS($H$4:$H$1201,Tabla213[[#Headers],[Rhizoctonia]], $G$4:$G$1201,Tabla213[[#This Row],[Organo]], $B$4:$B$1201,M74)</f>
        <v>2</v>
      </c>
      <c r="V74">
        <v>0</v>
      </c>
      <c r="W74">
        <f>COUNTIFS($H$4:$H$1201,Tabla213[[#Headers],[Alternaria]], $G$4:$G$1201,Tabla213[[#This Row],[Organo]], $B$4:$B$1201,M74)</f>
        <v>0</v>
      </c>
      <c r="X74">
        <f>COUNTIFS($H$4:$H$1201,Tabla213[[#Headers],[Botrytis]], $G$4:$G$1201,Tabla213[[#This Row],[Organo]], $B$4:$B$1201,M74)</f>
        <v>0</v>
      </c>
      <c r="Y74">
        <f>COUNTIFS($H$4:$H$1201,Tabla213[[#Headers],[Colletotrichum]], $G$4:$G$1201,Tabla213[[#This Row],[Organo]], $B$4:$B$1201,M74)</f>
        <v>0</v>
      </c>
      <c r="Z74">
        <f>COUNTIFS($H$4:$H$1201,Tabla213[[#Headers],[Aspergillus]], $G$4:$G$1201,Tabla213[[#This Row],[Organo]], $B$4:$B$1201,M74)</f>
        <v>0</v>
      </c>
      <c r="AA74">
        <f>COUNTIFS($H$4:$H$1201,Tabla213[[#Headers],[NO ID]], $G$4:$G$1201,Tabla213[[#This Row],[Organo]], $B$4:$B$1201,M74)</f>
        <v>1</v>
      </c>
      <c r="AB74">
        <f>COUNTIFS($H$4:$H$1201,Tabla213[[#Headers],[Trichoderma]], $G$4:$G$1201,Tabla213[[#This Row],[Organo]], $B$4:$B$1201,M74)</f>
        <v>0</v>
      </c>
      <c r="AC74">
        <f>COUNTIFS($H$4:$H$1201,Tabla213[[#Headers],[Rizophus]], $G$4:$G$1201,Tabla213[[#This Row],[Organo]], $B$4:$B$1201,M74)</f>
        <v>0</v>
      </c>
      <c r="AD74">
        <f>COUNTIFS($H$4:$H$1201,Tabla213[[#Headers],[FALTANTES]], $G$4:$G$1201,Tabla213[[#This Row],[Organo]], $B$4:$B$1201,M74)</f>
        <v>0</v>
      </c>
      <c r="AF74">
        <f t="shared" ref="AF74" si="70">SUM(Q73:AD74)</f>
        <v>16</v>
      </c>
      <c r="AG74">
        <f>COUNTIF($B$5:$B$1201, Tabla213[[#This Row],[Num. Parcela]])</f>
        <v>16</v>
      </c>
      <c r="AH74" t="b">
        <f t="shared" ref="AH74" si="71">IF(AF74=AG74, TRUE)</f>
        <v>1</v>
      </c>
      <c r="AK74">
        <v>23</v>
      </c>
      <c r="AL74" t="s">
        <v>20</v>
      </c>
      <c r="AM74" t="s">
        <v>83</v>
      </c>
      <c r="AN74" t="s">
        <v>476</v>
      </c>
    </row>
    <row r="75" spans="1:40" x14ac:dyDescent="0.2">
      <c r="A75" s="7">
        <v>71</v>
      </c>
      <c r="B75" s="7">
        <v>2</v>
      </c>
      <c r="C75" s="1" t="str">
        <f t="shared" si="64"/>
        <v>LA MAGUELLERA</v>
      </c>
      <c r="D75" s="7" t="s">
        <v>127</v>
      </c>
      <c r="E75" s="1" t="str">
        <f t="shared" si="65"/>
        <v>SAYULA</v>
      </c>
      <c r="F75" s="7">
        <v>2</v>
      </c>
      <c r="G75" s="7" t="s">
        <v>477</v>
      </c>
      <c r="H75" s="7" t="s">
        <v>228</v>
      </c>
      <c r="I75" s="9" t="s">
        <v>487</v>
      </c>
      <c r="J75" s="9">
        <v>71</v>
      </c>
      <c r="K75" s="21" t="s">
        <v>639</v>
      </c>
      <c r="M75">
        <v>24</v>
      </c>
      <c r="N75" t="s">
        <v>673</v>
      </c>
      <c r="O75" t="s">
        <v>109</v>
      </c>
      <c r="P75" t="s">
        <v>476</v>
      </c>
      <c r="Q75">
        <f>COUNTIFS($H$4:$H$1201,Tabla213[[#Headers],[Neopestalotiopsis]], $G$4:$G$1201,Tabla213[[#This Row],[Organo]], $B$4:$B$1201,M75)</f>
        <v>0</v>
      </c>
      <c r="R75">
        <f>COUNTIFS($H$4:$H$1201,Tabla213[[#Headers],[Fusarium]], $G$4:$G$1201,Tabla213[[#This Row],[Organo]], $B$4:$B$1201,M75)</f>
        <v>0</v>
      </c>
      <c r="S75">
        <f>COUNTIFS($H$4:$H$1201,Tabla213[[#Headers],[Cylindrocarpon]], $G$4:$G$1201,Tabla213[[#This Row],[Organo]], $B$4:$B$1201,M75)</f>
        <v>0</v>
      </c>
      <c r="T75">
        <f>COUNTIFS($H$4:$H$1201,Tabla213[[#Headers],[Macrophomina]], $G$4:$G$1201,Tabla213[[#This Row],[Organo]], $B$4:$B$1201,M75)</f>
        <v>0</v>
      </c>
      <c r="U75">
        <f>COUNTIFS($H$4:$H$1201,Tabla213[[#Headers],[Rhizoctonia]], $G$4:$G$1201,Tabla213[[#This Row],[Organo]], $B$4:$B$1201,M75)</f>
        <v>0</v>
      </c>
      <c r="V75">
        <v>0</v>
      </c>
      <c r="W75">
        <f>COUNTIFS($H$4:$H$1201,Tabla213[[#Headers],[Alternaria]], $G$4:$G$1201,Tabla213[[#This Row],[Organo]], $B$4:$B$1201,M75)</f>
        <v>0</v>
      </c>
      <c r="X75">
        <f>COUNTIFS($H$4:$H$1201,Tabla213[[#Headers],[Botrytis]], $G$4:$G$1201,Tabla213[[#This Row],[Organo]], $B$4:$B$1201,M75)</f>
        <v>0</v>
      </c>
      <c r="Y75">
        <f>COUNTIFS($H$4:$H$1201,Tabla213[[#Headers],[Colletotrichum]], $G$4:$G$1201,Tabla213[[#This Row],[Organo]], $B$4:$B$1201,M75)</f>
        <v>0</v>
      </c>
      <c r="Z75">
        <f>COUNTIFS($H$4:$H$1201,Tabla213[[#Headers],[Aspergillus]], $G$4:$G$1201,Tabla213[[#This Row],[Organo]], $B$4:$B$1201,M75)</f>
        <v>0</v>
      </c>
      <c r="AA75">
        <f>COUNTIFS($H$4:$H$1201,Tabla213[[#Headers],[NO ID]], $G$4:$G$1201,Tabla213[[#This Row],[Organo]], $B$4:$B$1201,M75)</f>
        <v>0</v>
      </c>
      <c r="AB75">
        <f>COUNTIFS($H$4:$H$1201,Tabla213[[#Headers],[Trichoderma]], $G$4:$G$1201,Tabla213[[#This Row],[Organo]], $B$4:$B$1201,M75)</f>
        <v>1</v>
      </c>
      <c r="AC75">
        <f>COUNTIFS($H$4:$H$1201,Tabla213[[#Headers],[Rizophus]], $G$4:$G$1201,Tabla213[[#This Row],[Organo]], $B$4:$B$1201,M75)</f>
        <v>0</v>
      </c>
      <c r="AD75">
        <f>COUNTIFS($H$4:$H$1201,Tabla213[[#Headers],[FALTANTES]], $G$4:$G$1201,Tabla213[[#This Row],[Organo]], $B$4:$B$1201,M75)</f>
        <v>0</v>
      </c>
      <c r="AK75">
        <v>24</v>
      </c>
      <c r="AL75" t="s">
        <v>20</v>
      </c>
      <c r="AM75" t="s">
        <v>109</v>
      </c>
      <c r="AN75" t="s">
        <v>477</v>
      </c>
    </row>
    <row r="76" spans="1:40" x14ac:dyDescent="0.2">
      <c r="A76" s="7">
        <v>72</v>
      </c>
      <c r="B76" s="7">
        <v>3</v>
      </c>
      <c r="C76" s="1" t="str">
        <f t="shared" si="64"/>
        <v>RANCHO ALVAREZ</v>
      </c>
      <c r="D76" s="7" t="s">
        <v>127</v>
      </c>
      <c r="E76" s="1" t="str">
        <f t="shared" si="65"/>
        <v>SAYULA</v>
      </c>
      <c r="F76" s="7">
        <v>1</v>
      </c>
      <c r="G76" s="7" t="s">
        <v>476</v>
      </c>
      <c r="H76" s="7" t="s">
        <v>155</v>
      </c>
      <c r="I76" s="7" t="s">
        <v>155</v>
      </c>
      <c r="J76" s="7">
        <v>72</v>
      </c>
      <c r="K76" s="7"/>
      <c r="L76">
        <v>1</v>
      </c>
      <c r="M76">
        <v>24</v>
      </c>
      <c r="N76" t="s">
        <v>673</v>
      </c>
      <c r="O76" t="s">
        <v>109</v>
      </c>
      <c r="P76" t="s">
        <v>477</v>
      </c>
      <c r="Q76">
        <f>COUNTIFS($H$4:$H$1201,Tabla213[[#Headers],[Neopestalotiopsis]], $G$4:$G$1201,Tabla213[[#This Row],[Organo]], $B$4:$B$1201,M76)</f>
        <v>0</v>
      </c>
      <c r="R76">
        <f>COUNTIFS($H$4:$H$1201,Tabla213[[#Headers],[Fusarium]], $G$4:$G$1201,Tabla213[[#This Row],[Organo]], $B$4:$B$1201,M76)</f>
        <v>0</v>
      </c>
      <c r="S76">
        <f>COUNTIFS($H$4:$H$1201,Tabla213[[#Headers],[Cylindrocarpon]], $G$4:$G$1201,Tabla213[[#This Row],[Organo]], $B$4:$B$1201,M76)</f>
        <v>0</v>
      </c>
      <c r="T76">
        <f>COUNTIFS($H$4:$H$1201,Tabla213[[#Headers],[Macrophomina]], $G$4:$G$1201,Tabla213[[#This Row],[Organo]], $B$4:$B$1201,M76)</f>
        <v>0</v>
      </c>
      <c r="U76">
        <f>COUNTIFS($H$4:$H$1201,Tabla213[[#Headers],[Rhizoctonia]], $G$4:$G$1201,Tabla213[[#This Row],[Organo]], $B$4:$B$1201,M76)</f>
        <v>0</v>
      </c>
      <c r="V76">
        <v>0</v>
      </c>
      <c r="W76">
        <f>COUNTIFS($H$4:$H$1201,Tabla213[[#Headers],[Alternaria]], $G$4:$G$1201,Tabla213[[#This Row],[Organo]], $B$4:$B$1201,M76)</f>
        <v>0</v>
      </c>
      <c r="X76">
        <f>COUNTIFS($H$4:$H$1201,Tabla213[[#Headers],[Botrytis]], $G$4:$G$1201,Tabla213[[#This Row],[Organo]], $B$4:$B$1201,M76)</f>
        <v>0</v>
      </c>
      <c r="Y76">
        <f>COUNTIFS($H$4:$H$1201,Tabla213[[#Headers],[Colletotrichum]], $G$4:$G$1201,Tabla213[[#This Row],[Organo]], $B$4:$B$1201,M76)</f>
        <v>0</v>
      </c>
      <c r="Z76">
        <f>COUNTIFS($H$4:$H$1201,Tabla213[[#Headers],[Aspergillus]], $G$4:$G$1201,Tabla213[[#This Row],[Organo]], $B$4:$B$1201,M76)</f>
        <v>0</v>
      </c>
      <c r="AA76">
        <f>COUNTIFS($H$4:$H$1201,Tabla213[[#Headers],[NO ID]], $G$4:$G$1201,Tabla213[[#This Row],[Organo]], $B$4:$B$1201,M76)</f>
        <v>0</v>
      </c>
      <c r="AB76">
        <f>COUNTIFS($H$4:$H$1201,Tabla213[[#Headers],[Trichoderma]], $G$4:$G$1201,Tabla213[[#This Row],[Organo]], $B$4:$B$1201,M76)</f>
        <v>0</v>
      </c>
      <c r="AC76">
        <f>COUNTIFS($H$4:$H$1201,Tabla213[[#Headers],[Rizophus]], $G$4:$G$1201,Tabla213[[#This Row],[Organo]], $B$4:$B$1201,M76)</f>
        <v>0</v>
      </c>
      <c r="AD76">
        <f>COUNTIFS($H$4:$H$1201,Tabla213[[#Headers],[FALTANTES]], $G$4:$G$1201,Tabla213[[#This Row],[Organo]], $B$4:$B$1201,M76)</f>
        <v>0</v>
      </c>
      <c r="AF76">
        <f t="shared" ref="AF76" si="72">SUM(Q75:AD76)</f>
        <v>1</v>
      </c>
      <c r="AG76">
        <f>COUNTIF($B$5:$B$1201, Tabla213[[#This Row],[Num. Parcela]])</f>
        <v>1</v>
      </c>
      <c r="AH76" t="b">
        <f t="shared" ref="AH76" si="73">IF(AF76=AG76, TRUE)</f>
        <v>1</v>
      </c>
      <c r="AK76">
        <v>24</v>
      </c>
      <c r="AL76" t="s">
        <v>20</v>
      </c>
      <c r="AM76" t="s">
        <v>109</v>
      </c>
      <c r="AN76" t="s">
        <v>476</v>
      </c>
    </row>
    <row r="77" spans="1:40" x14ac:dyDescent="0.2">
      <c r="A77" s="7">
        <v>73</v>
      </c>
      <c r="B77" s="7">
        <v>3</v>
      </c>
      <c r="C77" s="1" t="str">
        <f t="shared" si="64"/>
        <v>RANCHO ALVAREZ</v>
      </c>
      <c r="D77" s="7" t="s">
        <v>127</v>
      </c>
      <c r="E77" s="1" t="str">
        <f t="shared" si="65"/>
        <v>SAYULA</v>
      </c>
      <c r="F77" s="7">
        <v>1</v>
      </c>
      <c r="G77" s="7" t="s">
        <v>476</v>
      </c>
      <c r="H77" s="7" t="s">
        <v>155</v>
      </c>
      <c r="I77" s="7" t="s">
        <v>155</v>
      </c>
      <c r="J77" s="7">
        <v>73</v>
      </c>
      <c r="K77" s="7"/>
      <c r="M77">
        <v>25</v>
      </c>
      <c r="N77" t="s">
        <v>21</v>
      </c>
      <c r="O77" t="s">
        <v>126</v>
      </c>
      <c r="P77" t="s">
        <v>476</v>
      </c>
      <c r="Q77">
        <f>COUNTIFS($H$4:$H$1201,Tabla213[[#Headers],[Neopestalotiopsis]], $G$4:$G$1201,Tabla213[[#This Row],[Organo]], $B$4:$B$1201,M77)</f>
        <v>1</v>
      </c>
      <c r="R77">
        <f>COUNTIFS($H$4:$H$1201,Tabla213[[#Headers],[Fusarium]], $G$4:$G$1201,Tabla213[[#This Row],[Organo]], $B$4:$B$1201,M77)</f>
        <v>0</v>
      </c>
      <c r="S77">
        <f>COUNTIFS($H$4:$H$1201,Tabla213[[#Headers],[Cylindrocarpon]], $G$4:$G$1201,Tabla213[[#This Row],[Organo]], $B$4:$B$1201,M77)</f>
        <v>0</v>
      </c>
      <c r="T77">
        <f>COUNTIFS($H$4:$H$1201,Tabla213[[#Headers],[Macrophomina]], $G$4:$G$1201,Tabla213[[#This Row],[Organo]], $B$4:$B$1201,M77)</f>
        <v>0</v>
      </c>
      <c r="U77">
        <f>COUNTIFS($H$4:$H$1201,Tabla213[[#Headers],[Rhizoctonia]], $G$4:$G$1201,Tabla213[[#This Row],[Organo]], $B$4:$B$1201,M77)</f>
        <v>0</v>
      </c>
      <c r="V77">
        <v>0</v>
      </c>
      <c r="W77">
        <f>COUNTIFS($H$4:$H$1201,Tabla213[[#Headers],[Alternaria]], $G$4:$G$1201,Tabla213[[#This Row],[Organo]], $B$4:$B$1201,M77)</f>
        <v>0</v>
      </c>
      <c r="X77">
        <f>COUNTIFS($H$4:$H$1201,Tabla213[[#Headers],[Botrytis]], $G$4:$G$1201,Tabla213[[#This Row],[Organo]], $B$4:$B$1201,M77)</f>
        <v>0</v>
      </c>
      <c r="Y77">
        <f>COUNTIFS($H$4:$H$1201,Tabla213[[#Headers],[Colletotrichum]], $G$4:$G$1201,Tabla213[[#This Row],[Organo]], $B$4:$B$1201,M77)</f>
        <v>0</v>
      </c>
      <c r="Z77">
        <f>COUNTIFS($H$4:$H$1201,Tabla213[[#Headers],[Aspergillus]], $G$4:$G$1201,Tabla213[[#This Row],[Organo]], $B$4:$B$1201,M77)</f>
        <v>0</v>
      </c>
      <c r="AA77">
        <f>COUNTIFS($H$4:$H$1201,Tabla213[[#Headers],[NO ID]], $G$4:$G$1201,Tabla213[[#This Row],[Organo]], $B$4:$B$1201,M77)</f>
        <v>0</v>
      </c>
      <c r="AB77">
        <f>COUNTIFS($H$4:$H$1201,Tabla213[[#Headers],[Trichoderma]], $G$4:$G$1201,Tabla213[[#This Row],[Organo]], $B$4:$B$1201,M77)</f>
        <v>0</v>
      </c>
      <c r="AC77">
        <f>COUNTIFS($H$4:$H$1201,Tabla213[[#Headers],[Rizophus]], $G$4:$G$1201,Tabla213[[#This Row],[Organo]], $B$4:$B$1201,M77)</f>
        <v>0</v>
      </c>
      <c r="AD77">
        <f>COUNTIFS($H$4:$H$1201,Tabla213[[#Headers],[FALTANTES]], $G$4:$G$1201,Tabla213[[#This Row],[Organo]], $B$4:$B$1201,M77)</f>
        <v>0</v>
      </c>
      <c r="AK77">
        <v>25</v>
      </c>
      <c r="AL77" t="s">
        <v>21</v>
      </c>
      <c r="AM77" t="s">
        <v>126</v>
      </c>
      <c r="AN77" t="s">
        <v>477</v>
      </c>
    </row>
    <row r="78" spans="1:40" x14ac:dyDescent="0.2">
      <c r="A78" s="7">
        <v>74</v>
      </c>
      <c r="B78" s="7">
        <v>3</v>
      </c>
      <c r="C78" s="1" t="str">
        <f t="shared" si="64"/>
        <v>RANCHO ALVAREZ</v>
      </c>
      <c r="D78" s="7" t="s">
        <v>127</v>
      </c>
      <c r="E78" s="1" t="str">
        <f t="shared" si="65"/>
        <v>SAYULA</v>
      </c>
      <c r="F78" s="7">
        <v>1</v>
      </c>
      <c r="G78" s="7" t="s">
        <v>476</v>
      </c>
      <c r="H78" s="7" t="s">
        <v>155</v>
      </c>
      <c r="I78" s="7" t="s">
        <v>155</v>
      </c>
      <c r="J78" s="7">
        <v>74</v>
      </c>
      <c r="K78" s="7"/>
      <c r="M78">
        <v>25</v>
      </c>
      <c r="N78" t="s">
        <v>21</v>
      </c>
      <c r="O78" t="s">
        <v>126</v>
      </c>
      <c r="P78" t="s">
        <v>477</v>
      </c>
      <c r="Q78">
        <f>COUNTIFS($H$4:$H$1201,Tabla213[[#Headers],[Neopestalotiopsis]], $G$4:$G$1201,Tabla213[[#This Row],[Organo]], $B$4:$B$1201,M78)</f>
        <v>2</v>
      </c>
      <c r="R78">
        <f>COUNTIFS($H$4:$H$1201,Tabla213[[#Headers],[Fusarium]], $G$4:$G$1201,Tabla213[[#This Row],[Organo]], $B$4:$B$1201,M78)</f>
        <v>2</v>
      </c>
      <c r="S78">
        <f>COUNTIFS($H$4:$H$1201,Tabla213[[#Headers],[Cylindrocarpon]], $G$4:$G$1201,Tabla213[[#This Row],[Organo]], $B$4:$B$1201,M78)</f>
        <v>0</v>
      </c>
      <c r="T78">
        <f>COUNTIFS($H$4:$H$1201,Tabla213[[#Headers],[Macrophomina]], $G$4:$G$1201,Tabla213[[#This Row],[Organo]], $B$4:$B$1201,M78)</f>
        <v>0</v>
      </c>
      <c r="U78">
        <f>COUNTIFS($H$4:$H$1201,Tabla213[[#Headers],[Rhizoctonia]], $G$4:$G$1201,Tabla213[[#This Row],[Organo]], $B$4:$B$1201,M78)</f>
        <v>1</v>
      </c>
      <c r="V78">
        <v>0</v>
      </c>
      <c r="W78">
        <f>COUNTIFS($H$4:$H$1201,Tabla213[[#Headers],[Alternaria]], $G$4:$G$1201,Tabla213[[#This Row],[Organo]], $B$4:$B$1201,M78)</f>
        <v>0</v>
      </c>
      <c r="X78">
        <f>COUNTIFS($H$4:$H$1201,Tabla213[[#Headers],[Botrytis]], $G$4:$G$1201,Tabla213[[#This Row],[Organo]], $B$4:$B$1201,M78)</f>
        <v>0</v>
      </c>
      <c r="Y78">
        <f>COUNTIFS($H$4:$H$1201,Tabla213[[#Headers],[Colletotrichum]], $G$4:$G$1201,Tabla213[[#This Row],[Organo]], $B$4:$B$1201,M78)</f>
        <v>0</v>
      </c>
      <c r="Z78">
        <f>COUNTIFS($H$4:$H$1201,Tabla213[[#Headers],[Aspergillus]], $G$4:$G$1201,Tabla213[[#This Row],[Organo]], $B$4:$B$1201,M78)</f>
        <v>0</v>
      </c>
      <c r="AA78">
        <f>COUNTIFS($H$4:$H$1201,Tabla213[[#Headers],[NO ID]], $G$4:$G$1201,Tabla213[[#This Row],[Organo]], $B$4:$B$1201,M78)</f>
        <v>0</v>
      </c>
      <c r="AB78">
        <f>COUNTIFS($H$4:$H$1201,Tabla213[[#Headers],[Trichoderma]], $G$4:$G$1201,Tabla213[[#This Row],[Organo]], $B$4:$B$1201,M78)</f>
        <v>0</v>
      </c>
      <c r="AC78">
        <f>COUNTIFS($H$4:$H$1201,Tabla213[[#Headers],[Rizophus]], $G$4:$G$1201,Tabla213[[#This Row],[Organo]], $B$4:$B$1201,M78)</f>
        <v>0</v>
      </c>
      <c r="AD78">
        <f>COUNTIFS($H$4:$H$1201,Tabla213[[#Headers],[FALTANTES]], $G$4:$G$1201,Tabla213[[#This Row],[Organo]], $B$4:$B$1201,M78)</f>
        <v>0</v>
      </c>
      <c r="AF78">
        <f t="shared" ref="AF78" si="74">SUM(Q77:AD78)</f>
        <v>6</v>
      </c>
      <c r="AG78">
        <f>COUNTIF($B$5:$B$1201, Tabla213[[#This Row],[Num. Parcela]])</f>
        <v>6</v>
      </c>
      <c r="AH78" t="b">
        <f t="shared" ref="AH78" si="75">IF(AF78=AG78, TRUE)</f>
        <v>1</v>
      </c>
      <c r="AK78">
        <v>25</v>
      </c>
      <c r="AL78" t="s">
        <v>21</v>
      </c>
      <c r="AM78" t="s">
        <v>126</v>
      </c>
      <c r="AN78" t="s">
        <v>476</v>
      </c>
    </row>
    <row r="79" spans="1:40" x14ac:dyDescent="0.2">
      <c r="A79" s="7">
        <v>75</v>
      </c>
      <c r="B79" s="7">
        <v>3</v>
      </c>
      <c r="C79" s="1" t="str">
        <f t="shared" si="64"/>
        <v>RANCHO ALVAREZ</v>
      </c>
      <c r="D79" s="7" t="s">
        <v>127</v>
      </c>
      <c r="E79" s="1" t="str">
        <f t="shared" si="65"/>
        <v>SAYULA</v>
      </c>
      <c r="F79" s="7">
        <v>1</v>
      </c>
      <c r="G79" s="7" t="s">
        <v>476</v>
      </c>
      <c r="H79" s="7" t="s">
        <v>155</v>
      </c>
      <c r="I79" s="7" t="s">
        <v>155</v>
      </c>
      <c r="J79" s="7">
        <v>75</v>
      </c>
      <c r="K79" s="7"/>
      <c r="M79">
        <v>26</v>
      </c>
      <c r="N79" t="s">
        <v>22</v>
      </c>
      <c r="O79" t="s">
        <v>134</v>
      </c>
      <c r="P79" t="s">
        <v>476</v>
      </c>
      <c r="Q79">
        <f>COUNTIFS($H$4:$H$1201,Tabla213[[#Headers],[Neopestalotiopsis]], $G$4:$G$1201,Tabla213[[#This Row],[Organo]], $B$4:$B$1201,M79)</f>
        <v>2</v>
      </c>
      <c r="R79">
        <f>COUNTIFS($H$4:$H$1201,Tabla213[[#Headers],[Fusarium]], $G$4:$G$1201,Tabla213[[#This Row],[Organo]], $B$4:$B$1201,M79)</f>
        <v>1</v>
      </c>
      <c r="S79">
        <f>COUNTIFS($H$4:$H$1201,Tabla213[[#Headers],[Cylindrocarpon]], $G$4:$G$1201,Tabla213[[#This Row],[Organo]], $B$4:$B$1201,M79)</f>
        <v>1</v>
      </c>
      <c r="T79">
        <f>COUNTIFS($H$4:$H$1201,Tabla213[[#Headers],[Macrophomina]], $G$4:$G$1201,Tabla213[[#This Row],[Organo]], $B$4:$B$1201,M79)</f>
        <v>0</v>
      </c>
      <c r="U79">
        <f>COUNTIFS($H$4:$H$1201,Tabla213[[#Headers],[Rhizoctonia]], $G$4:$G$1201,Tabla213[[#This Row],[Organo]], $B$4:$B$1201,M79)</f>
        <v>0</v>
      </c>
      <c r="V79">
        <v>0</v>
      </c>
      <c r="W79">
        <f>COUNTIFS($H$4:$H$1201,Tabla213[[#Headers],[Alternaria]], $G$4:$G$1201,Tabla213[[#This Row],[Organo]], $B$4:$B$1201,M79)</f>
        <v>0</v>
      </c>
      <c r="X79">
        <f>COUNTIFS($H$4:$H$1201,Tabla213[[#Headers],[Botrytis]], $G$4:$G$1201,Tabla213[[#This Row],[Organo]], $B$4:$B$1201,M79)</f>
        <v>0</v>
      </c>
      <c r="Y79">
        <f>COUNTIFS($H$4:$H$1201,Tabla213[[#Headers],[Colletotrichum]], $G$4:$G$1201,Tabla213[[#This Row],[Organo]], $B$4:$B$1201,M79)</f>
        <v>0</v>
      </c>
      <c r="Z79">
        <f>COUNTIFS($H$4:$H$1201,Tabla213[[#Headers],[Aspergillus]], $G$4:$G$1201,Tabla213[[#This Row],[Organo]], $B$4:$B$1201,M79)</f>
        <v>0</v>
      </c>
      <c r="AA79">
        <f>COUNTIFS($H$4:$H$1201,Tabla213[[#Headers],[NO ID]], $G$4:$G$1201,Tabla213[[#This Row],[Organo]], $B$4:$B$1201,M79)</f>
        <v>0</v>
      </c>
      <c r="AB79">
        <f>COUNTIFS($H$4:$H$1201,Tabla213[[#Headers],[Trichoderma]], $G$4:$G$1201,Tabla213[[#This Row],[Organo]], $B$4:$B$1201,M79)</f>
        <v>0</v>
      </c>
      <c r="AC79">
        <f>COUNTIFS($H$4:$H$1201,Tabla213[[#Headers],[Rizophus]], $G$4:$G$1201,Tabla213[[#This Row],[Organo]], $B$4:$B$1201,M79)</f>
        <v>0</v>
      </c>
      <c r="AD79">
        <f>COUNTIFS($H$4:$H$1201,Tabla213[[#Headers],[FALTANTES]], $G$4:$G$1201,Tabla213[[#This Row],[Organo]], $B$4:$B$1201,M79)</f>
        <v>0</v>
      </c>
      <c r="AK79">
        <v>26</v>
      </c>
      <c r="AL79" t="s">
        <v>22</v>
      </c>
      <c r="AM79" t="s">
        <v>134</v>
      </c>
      <c r="AN79" t="s">
        <v>477</v>
      </c>
    </row>
    <row r="80" spans="1:40" x14ac:dyDescent="0.2">
      <c r="A80" s="7">
        <v>76</v>
      </c>
      <c r="B80" s="7">
        <v>3</v>
      </c>
      <c r="C80" s="1" t="str">
        <f t="shared" si="64"/>
        <v>RANCHO ALVAREZ</v>
      </c>
      <c r="D80" s="7" t="s">
        <v>127</v>
      </c>
      <c r="E80" s="1" t="str">
        <f t="shared" si="65"/>
        <v>SAYULA</v>
      </c>
      <c r="F80" s="7">
        <v>2</v>
      </c>
      <c r="G80" s="7" t="s">
        <v>476</v>
      </c>
      <c r="H80" s="7" t="s">
        <v>155</v>
      </c>
      <c r="I80" s="7" t="s">
        <v>155</v>
      </c>
      <c r="J80" s="7">
        <v>76</v>
      </c>
      <c r="K80" s="7"/>
      <c r="M80">
        <v>26</v>
      </c>
      <c r="N80" t="s">
        <v>22</v>
      </c>
      <c r="O80" t="s">
        <v>134</v>
      </c>
      <c r="P80" t="s">
        <v>477</v>
      </c>
      <c r="Q80">
        <f>COUNTIFS($H$4:$H$1201,Tabla213[[#Headers],[Neopestalotiopsis]], $G$4:$G$1201,Tabla213[[#This Row],[Organo]], $B$4:$B$1201,M80)</f>
        <v>0</v>
      </c>
      <c r="R80">
        <f>COUNTIFS($H$4:$H$1201,Tabla213[[#Headers],[Fusarium]], $G$4:$G$1201,Tabla213[[#This Row],[Organo]], $B$4:$B$1201,M80)</f>
        <v>6</v>
      </c>
      <c r="S80">
        <f>COUNTIFS($H$4:$H$1201,Tabla213[[#Headers],[Cylindrocarpon]], $G$4:$G$1201,Tabla213[[#This Row],[Organo]], $B$4:$B$1201,M80)</f>
        <v>0</v>
      </c>
      <c r="T80">
        <f>COUNTIFS($H$4:$H$1201,Tabla213[[#Headers],[Macrophomina]], $G$4:$G$1201,Tabla213[[#This Row],[Organo]], $B$4:$B$1201,M80)</f>
        <v>0</v>
      </c>
      <c r="U80">
        <f>COUNTIFS($H$4:$H$1201,Tabla213[[#Headers],[Rhizoctonia]], $G$4:$G$1201,Tabla213[[#This Row],[Organo]], $B$4:$B$1201,M80)</f>
        <v>2</v>
      </c>
      <c r="V80">
        <v>0</v>
      </c>
      <c r="W80">
        <f>COUNTIFS($H$4:$H$1201,Tabla213[[#Headers],[Alternaria]], $G$4:$G$1201,Tabla213[[#This Row],[Organo]], $B$4:$B$1201,M80)</f>
        <v>0</v>
      </c>
      <c r="X80">
        <f>COUNTIFS($H$4:$H$1201,Tabla213[[#Headers],[Botrytis]], $G$4:$G$1201,Tabla213[[#This Row],[Organo]], $B$4:$B$1201,M80)</f>
        <v>1</v>
      </c>
      <c r="Y80">
        <f>COUNTIFS($H$4:$H$1201,Tabla213[[#Headers],[Colletotrichum]], $G$4:$G$1201,Tabla213[[#This Row],[Organo]], $B$4:$B$1201,M80)</f>
        <v>0</v>
      </c>
      <c r="Z80">
        <f>COUNTIFS($H$4:$H$1201,Tabla213[[#Headers],[Aspergillus]], $G$4:$G$1201,Tabla213[[#This Row],[Organo]], $B$4:$B$1201,M80)</f>
        <v>0</v>
      </c>
      <c r="AA80">
        <f>COUNTIFS($H$4:$H$1201,Tabla213[[#Headers],[NO ID]], $G$4:$G$1201,Tabla213[[#This Row],[Organo]], $B$4:$B$1201,M80)</f>
        <v>0</v>
      </c>
      <c r="AB80">
        <f>COUNTIFS($H$4:$H$1201,Tabla213[[#Headers],[Trichoderma]], $G$4:$G$1201,Tabla213[[#This Row],[Organo]], $B$4:$B$1201,M80)</f>
        <v>0</v>
      </c>
      <c r="AC80">
        <f>COUNTIFS($H$4:$H$1201,Tabla213[[#Headers],[Rizophus]], $G$4:$G$1201,Tabla213[[#This Row],[Organo]], $B$4:$B$1201,M80)</f>
        <v>0</v>
      </c>
      <c r="AD80">
        <f>COUNTIFS($H$4:$H$1201,Tabla213[[#Headers],[FALTANTES]], $G$4:$G$1201,Tabla213[[#This Row],[Organo]], $B$4:$B$1201,M80)</f>
        <v>0</v>
      </c>
      <c r="AF80">
        <f t="shared" ref="AF80" si="76">SUM(Q79:AD80)</f>
        <v>13</v>
      </c>
      <c r="AG80">
        <f>COUNTIF($B$5:$B$1201, Tabla213[[#This Row],[Num. Parcela]])</f>
        <v>13</v>
      </c>
      <c r="AH80" t="b">
        <f t="shared" ref="AH80" si="77">IF(AF80=AG80, TRUE)</f>
        <v>1</v>
      </c>
      <c r="AK80">
        <v>26</v>
      </c>
      <c r="AL80" t="s">
        <v>22</v>
      </c>
      <c r="AM80" t="s">
        <v>134</v>
      </c>
      <c r="AN80" t="s">
        <v>476</v>
      </c>
    </row>
    <row r="81" spans="1:40" x14ac:dyDescent="0.2">
      <c r="A81" s="7">
        <v>77</v>
      </c>
      <c r="B81" s="7">
        <v>3</v>
      </c>
      <c r="C81" s="1" t="str">
        <f t="shared" si="64"/>
        <v>RANCHO ALVAREZ</v>
      </c>
      <c r="D81" s="7" t="s">
        <v>127</v>
      </c>
      <c r="E81" s="1" t="str">
        <f t="shared" si="65"/>
        <v>SAYULA</v>
      </c>
      <c r="F81" s="7">
        <v>2</v>
      </c>
      <c r="G81" s="7" t="s">
        <v>476</v>
      </c>
      <c r="H81" s="7" t="s">
        <v>155</v>
      </c>
      <c r="I81" s="7" t="s">
        <v>155</v>
      </c>
      <c r="J81" s="7">
        <v>77</v>
      </c>
      <c r="K81" s="19" t="s">
        <v>638</v>
      </c>
      <c r="M81">
        <v>27</v>
      </c>
      <c r="N81" t="s">
        <v>23</v>
      </c>
      <c r="O81" t="s">
        <v>126</v>
      </c>
      <c r="P81" t="s">
        <v>476</v>
      </c>
      <c r="Q81">
        <f>COUNTIFS($H$4:$H$1201,Tabla213[[#Headers],[Neopestalotiopsis]], $G$4:$G$1201,Tabla213[[#This Row],[Organo]], $B$4:$B$1201,M81)</f>
        <v>2</v>
      </c>
      <c r="R81">
        <f>COUNTIFS($H$4:$H$1201,Tabla213[[#Headers],[Fusarium]], $G$4:$G$1201,Tabla213[[#This Row],[Organo]], $B$4:$B$1201,M81)</f>
        <v>0</v>
      </c>
      <c r="S81">
        <f>COUNTIFS($H$4:$H$1201,Tabla213[[#Headers],[Cylindrocarpon]], $G$4:$G$1201,Tabla213[[#This Row],[Organo]], $B$4:$B$1201,M81)</f>
        <v>0</v>
      </c>
      <c r="T81">
        <f>COUNTIFS($H$4:$H$1201,Tabla213[[#Headers],[Macrophomina]], $G$4:$G$1201,Tabla213[[#This Row],[Organo]], $B$4:$B$1201,M81)</f>
        <v>0</v>
      </c>
      <c r="U81">
        <f>COUNTIFS($H$4:$H$1201,Tabla213[[#Headers],[Rhizoctonia]], $G$4:$G$1201,Tabla213[[#This Row],[Organo]], $B$4:$B$1201,M81)</f>
        <v>0</v>
      </c>
      <c r="V81">
        <v>0</v>
      </c>
      <c r="W81">
        <f>COUNTIFS($H$4:$H$1201,Tabla213[[#Headers],[Alternaria]], $G$4:$G$1201,Tabla213[[#This Row],[Organo]], $B$4:$B$1201,M81)</f>
        <v>0</v>
      </c>
      <c r="X81">
        <f>COUNTIFS($H$4:$H$1201,Tabla213[[#Headers],[Botrytis]], $G$4:$G$1201,Tabla213[[#This Row],[Organo]], $B$4:$B$1201,M81)</f>
        <v>0</v>
      </c>
      <c r="Y81">
        <f>COUNTIFS($H$4:$H$1201,Tabla213[[#Headers],[Colletotrichum]], $G$4:$G$1201,Tabla213[[#This Row],[Organo]], $B$4:$B$1201,M81)</f>
        <v>0</v>
      </c>
      <c r="Z81">
        <f>COUNTIFS($H$4:$H$1201,Tabla213[[#Headers],[Aspergillus]], $G$4:$G$1201,Tabla213[[#This Row],[Organo]], $B$4:$B$1201,M81)</f>
        <v>0</v>
      </c>
      <c r="AA81">
        <f>COUNTIFS($H$4:$H$1201,Tabla213[[#Headers],[NO ID]], $G$4:$G$1201,Tabla213[[#This Row],[Organo]], $B$4:$B$1201,M81)</f>
        <v>0</v>
      </c>
      <c r="AB81">
        <f>COUNTIFS($H$4:$H$1201,Tabla213[[#Headers],[Trichoderma]], $G$4:$G$1201,Tabla213[[#This Row],[Organo]], $B$4:$B$1201,M81)</f>
        <v>0</v>
      </c>
      <c r="AC81">
        <f>COUNTIFS($H$4:$H$1201,Tabla213[[#Headers],[Rizophus]], $G$4:$G$1201,Tabla213[[#This Row],[Organo]], $B$4:$B$1201,M81)</f>
        <v>0</v>
      </c>
      <c r="AD81">
        <f>COUNTIFS($H$4:$H$1201,Tabla213[[#Headers],[FALTANTES]], $G$4:$G$1201,Tabla213[[#This Row],[Organo]], $B$4:$B$1201,M81)</f>
        <v>0</v>
      </c>
      <c r="AK81">
        <v>27</v>
      </c>
      <c r="AL81" t="s">
        <v>23</v>
      </c>
      <c r="AM81" t="s">
        <v>126</v>
      </c>
      <c r="AN81" t="s">
        <v>477</v>
      </c>
    </row>
    <row r="82" spans="1:40" x14ac:dyDescent="0.2">
      <c r="A82" s="7">
        <v>78</v>
      </c>
      <c r="B82" s="7">
        <v>3</v>
      </c>
      <c r="C82" s="1" t="str">
        <f t="shared" si="64"/>
        <v>RANCHO ALVAREZ</v>
      </c>
      <c r="D82" s="7" t="s">
        <v>127</v>
      </c>
      <c r="E82" s="1" t="str">
        <f t="shared" si="65"/>
        <v>SAYULA</v>
      </c>
      <c r="F82" s="7">
        <v>2</v>
      </c>
      <c r="G82" s="7" t="s">
        <v>476</v>
      </c>
      <c r="H82" s="7" t="s">
        <v>155</v>
      </c>
      <c r="I82" s="7" t="s">
        <v>155</v>
      </c>
      <c r="J82" s="7">
        <v>78</v>
      </c>
      <c r="K82" s="19" t="s">
        <v>638</v>
      </c>
      <c r="M82">
        <v>27</v>
      </c>
      <c r="N82" t="s">
        <v>23</v>
      </c>
      <c r="O82" t="s">
        <v>126</v>
      </c>
      <c r="P82" t="s">
        <v>477</v>
      </c>
      <c r="Q82">
        <f>COUNTIFS($H$4:$H$1201,Tabla213[[#Headers],[Neopestalotiopsis]], $G$4:$G$1201,Tabla213[[#This Row],[Organo]], $B$4:$B$1201,M82)</f>
        <v>0</v>
      </c>
      <c r="R82">
        <f>COUNTIFS($H$4:$H$1201,Tabla213[[#Headers],[Fusarium]], $G$4:$G$1201,Tabla213[[#This Row],[Organo]], $B$4:$B$1201,M82)</f>
        <v>3</v>
      </c>
      <c r="S82">
        <f>COUNTIFS($H$4:$H$1201,Tabla213[[#Headers],[Cylindrocarpon]], $G$4:$G$1201,Tabla213[[#This Row],[Organo]], $B$4:$B$1201,M82)</f>
        <v>1</v>
      </c>
      <c r="T82">
        <f>COUNTIFS($H$4:$H$1201,Tabla213[[#Headers],[Macrophomina]], $G$4:$G$1201,Tabla213[[#This Row],[Organo]], $B$4:$B$1201,M82)</f>
        <v>0</v>
      </c>
      <c r="U82">
        <f>COUNTIFS($H$4:$H$1201,Tabla213[[#Headers],[Rhizoctonia]], $G$4:$G$1201,Tabla213[[#This Row],[Organo]], $B$4:$B$1201,M82)</f>
        <v>1</v>
      </c>
      <c r="V82">
        <v>0</v>
      </c>
      <c r="W82">
        <f>COUNTIFS($H$4:$H$1201,Tabla213[[#Headers],[Alternaria]], $G$4:$G$1201,Tabla213[[#This Row],[Organo]], $B$4:$B$1201,M82)</f>
        <v>0</v>
      </c>
      <c r="X82">
        <f>COUNTIFS($H$4:$H$1201,Tabla213[[#Headers],[Botrytis]], $G$4:$G$1201,Tabla213[[#This Row],[Organo]], $B$4:$B$1201,M82)</f>
        <v>0</v>
      </c>
      <c r="Y82">
        <f>COUNTIFS($H$4:$H$1201,Tabla213[[#Headers],[Colletotrichum]], $G$4:$G$1201,Tabla213[[#This Row],[Organo]], $B$4:$B$1201,M82)</f>
        <v>0</v>
      </c>
      <c r="Z82">
        <f>COUNTIFS($H$4:$H$1201,Tabla213[[#Headers],[Aspergillus]], $G$4:$G$1201,Tabla213[[#This Row],[Organo]], $B$4:$B$1201,M82)</f>
        <v>0</v>
      </c>
      <c r="AA82">
        <f>COUNTIFS($H$4:$H$1201,Tabla213[[#Headers],[NO ID]], $G$4:$G$1201,Tabla213[[#This Row],[Organo]], $B$4:$B$1201,M82)</f>
        <v>0</v>
      </c>
      <c r="AB82">
        <f>COUNTIFS($H$4:$H$1201,Tabla213[[#Headers],[Trichoderma]], $G$4:$G$1201,Tabla213[[#This Row],[Organo]], $B$4:$B$1201,M82)</f>
        <v>1</v>
      </c>
      <c r="AC82">
        <f>COUNTIFS($H$4:$H$1201,Tabla213[[#Headers],[Rizophus]], $G$4:$G$1201,Tabla213[[#This Row],[Organo]], $B$4:$B$1201,M82)</f>
        <v>0</v>
      </c>
      <c r="AD82">
        <f>COUNTIFS($H$4:$H$1201,Tabla213[[#Headers],[FALTANTES]], $G$4:$G$1201,Tabla213[[#This Row],[Organo]], $B$4:$B$1201,M82)</f>
        <v>0</v>
      </c>
      <c r="AF82">
        <f t="shared" ref="AF82" si="78">SUM(Q81:AD82)</f>
        <v>8</v>
      </c>
      <c r="AG82">
        <f>COUNTIF($B$5:$B$1201, Tabla213[[#This Row],[Num. Parcela]])</f>
        <v>8</v>
      </c>
      <c r="AH82" t="b">
        <f t="shared" ref="AH82" si="79">IF(AF82=AG82, TRUE)</f>
        <v>1</v>
      </c>
      <c r="AK82">
        <v>27</v>
      </c>
      <c r="AL82" t="s">
        <v>23</v>
      </c>
      <c r="AM82" t="s">
        <v>126</v>
      </c>
      <c r="AN82" t="s">
        <v>476</v>
      </c>
    </row>
    <row r="83" spans="1:40" x14ac:dyDescent="0.2">
      <c r="A83" s="7">
        <v>79</v>
      </c>
      <c r="B83" s="7">
        <v>3</v>
      </c>
      <c r="C83" s="1" t="str">
        <f t="shared" si="64"/>
        <v>RANCHO ALVAREZ</v>
      </c>
      <c r="D83" s="7" t="s">
        <v>127</v>
      </c>
      <c r="E83" s="1" t="str">
        <f t="shared" si="65"/>
        <v>SAYULA</v>
      </c>
      <c r="F83" s="7">
        <v>1</v>
      </c>
      <c r="G83" s="7" t="s">
        <v>477</v>
      </c>
      <c r="H83" s="7" t="s">
        <v>155</v>
      </c>
      <c r="I83" s="7" t="s">
        <v>155</v>
      </c>
      <c r="J83" s="7">
        <v>79</v>
      </c>
      <c r="K83" s="7"/>
      <c r="L83">
        <v>1</v>
      </c>
      <c r="M83">
        <v>28</v>
      </c>
      <c r="N83" t="s">
        <v>24</v>
      </c>
      <c r="O83" t="s">
        <v>131</v>
      </c>
      <c r="P83" t="s">
        <v>476</v>
      </c>
      <c r="Q83">
        <f>COUNTIFS($H$4:$H$1201,Tabla213[[#Headers],[Neopestalotiopsis]], $G$4:$G$1201,Tabla213[[#This Row],[Organo]], $B$4:$B$1201,M83)</f>
        <v>0</v>
      </c>
      <c r="R83">
        <f>COUNTIFS($H$4:$H$1201,Tabla213[[#Headers],[Fusarium]], $G$4:$G$1201,Tabla213[[#This Row],[Organo]], $B$4:$B$1201,M83)</f>
        <v>4</v>
      </c>
      <c r="S83">
        <f>COUNTIFS($H$4:$H$1201,Tabla213[[#Headers],[Cylindrocarpon]], $G$4:$G$1201,Tabla213[[#This Row],[Organo]], $B$4:$B$1201,M83)</f>
        <v>0</v>
      </c>
      <c r="T83">
        <f>COUNTIFS($H$4:$H$1201,Tabla213[[#Headers],[Macrophomina]], $G$4:$G$1201,Tabla213[[#This Row],[Organo]], $B$4:$B$1201,M83)</f>
        <v>0</v>
      </c>
      <c r="U83">
        <f>COUNTIFS($H$4:$H$1201,Tabla213[[#Headers],[Rhizoctonia]], $G$4:$G$1201,Tabla213[[#This Row],[Organo]], $B$4:$B$1201,M83)</f>
        <v>0</v>
      </c>
      <c r="V83">
        <v>0</v>
      </c>
      <c r="W83">
        <f>COUNTIFS($H$4:$H$1201,Tabla213[[#Headers],[Alternaria]], $G$4:$G$1201,Tabla213[[#This Row],[Organo]], $B$4:$B$1201,M83)</f>
        <v>0</v>
      </c>
      <c r="X83">
        <f>COUNTIFS($H$4:$H$1201,Tabla213[[#Headers],[Botrytis]], $G$4:$G$1201,Tabla213[[#This Row],[Organo]], $B$4:$B$1201,M83)</f>
        <v>0</v>
      </c>
      <c r="Y83">
        <f>COUNTIFS($H$4:$H$1201,Tabla213[[#Headers],[Colletotrichum]], $G$4:$G$1201,Tabla213[[#This Row],[Organo]], $B$4:$B$1201,M83)</f>
        <v>0</v>
      </c>
      <c r="Z83">
        <f>COUNTIFS($H$4:$H$1201,Tabla213[[#Headers],[Aspergillus]], $G$4:$G$1201,Tabla213[[#This Row],[Organo]], $B$4:$B$1201,M83)</f>
        <v>0</v>
      </c>
      <c r="AA83">
        <f>COUNTIFS($H$4:$H$1201,Tabla213[[#Headers],[NO ID]], $G$4:$G$1201,Tabla213[[#This Row],[Organo]], $B$4:$B$1201,M83)</f>
        <v>0</v>
      </c>
      <c r="AB83">
        <f>COUNTIFS($H$4:$H$1201,Tabla213[[#Headers],[Trichoderma]], $G$4:$G$1201,Tabla213[[#This Row],[Organo]], $B$4:$B$1201,M83)</f>
        <v>0</v>
      </c>
      <c r="AC83">
        <f>COUNTIFS($H$4:$H$1201,Tabla213[[#Headers],[Rizophus]], $G$4:$G$1201,Tabla213[[#This Row],[Organo]], $B$4:$B$1201,M83)</f>
        <v>0</v>
      </c>
      <c r="AD83">
        <f>COUNTIFS($H$4:$H$1201,Tabla213[[#Headers],[FALTANTES]], $G$4:$G$1201,Tabla213[[#This Row],[Organo]], $B$4:$B$1201,M83)</f>
        <v>0</v>
      </c>
      <c r="AK83">
        <v>28</v>
      </c>
      <c r="AL83" t="s">
        <v>24</v>
      </c>
      <c r="AM83" t="s">
        <v>131</v>
      </c>
      <c r="AN83" t="s">
        <v>477</v>
      </c>
    </row>
    <row r="84" spans="1:40" x14ac:dyDescent="0.2">
      <c r="A84" s="7">
        <v>80</v>
      </c>
      <c r="B84" s="7">
        <v>3</v>
      </c>
      <c r="C84" s="1" t="str">
        <f t="shared" si="64"/>
        <v>RANCHO ALVAREZ</v>
      </c>
      <c r="D84" s="7" t="s">
        <v>127</v>
      </c>
      <c r="E84" s="1" t="str">
        <f t="shared" si="65"/>
        <v>SAYULA</v>
      </c>
      <c r="F84" s="7">
        <v>1</v>
      </c>
      <c r="G84" s="7" t="s">
        <v>477</v>
      </c>
      <c r="H84" s="7" t="s">
        <v>155</v>
      </c>
      <c r="I84" s="7" t="s">
        <v>155</v>
      </c>
      <c r="J84" s="7">
        <v>80</v>
      </c>
      <c r="K84" s="19" t="s">
        <v>638</v>
      </c>
      <c r="M84">
        <v>28</v>
      </c>
      <c r="N84" t="s">
        <v>24</v>
      </c>
      <c r="O84" t="s">
        <v>131</v>
      </c>
      <c r="P84" t="s">
        <v>477</v>
      </c>
      <c r="Q84">
        <f>COUNTIFS($H$4:$H$1201,Tabla213[[#Headers],[Neopestalotiopsis]], $G$4:$G$1201,Tabla213[[#This Row],[Organo]], $B$4:$B$1201,M84)</f>
        <v>0</v>
      </c>
      <c r="R84">
        <f>COUNTIFS($H$4:$H$1201,Tabla213[[#Headers],[Fusarium]], $G$4:$G$1201,Tabla213[[#This Row],[Organo]], $B$4:$B$1201,M84)</f>
        <v>5</v>
      </c>
      <c r="S84">
        <f>COUNTIFS($H$4:$H$1201,Tabla213[[#Headers],[Cylindrocarpon]], $G$4:$G$1201,Tabla213[[#This Row],[Organo]], $B$4:$B$1201,M84)</f>
        <v>0</v>
      </c>
      <c r="T84">
        <f>COUNTIFS($H$4:$H$1201,Tabla213[[#Headers],[Macrophomina]], $G$4:$G$1201,Tabla213[[#This Row],[Organo]], $B$4:$B$1201,M84)</f>
        <v>0</v>
      </c>
      <c r="U84">
        <f>COUNTIFS($H$4:$H$1201,Tabla213[[#Headers],[Rhizoctonia]], $G$4:$G$1201,Tabla213[[#This Row],[Organo]], $B$4:$B$1201,M84)</f>
        <v>1</v>
      </c>
      <c r="V84">
        <v>0</v>
      </c>
      <c r="W84">
        <f>COUNTIFS($H$4:$H$1201,Tabla213[[#Headers],[Alternaria]], $G$4:$G$1201,Tabla213[[#This Row],[Organo]], $B$4:$B$1201,M84)</f>
        <v>0</v>
      </c>
      <c r="X84">
        <f>COUNTIFS($H$4:$H$1201,Tabla213[[#Headers],[Botrytis]], $G$4:$G$1201,Tabla213[[#This Row],[Organo]], $B$4:$B$1201,M84)</f>
        <v>0</v>
      </c>
      <c r="Y84">
        <f>COUNTIFS($H$4:$H$1201,Tabla213[[#Headers],[Colletotrichum]], $G$4:$G$1201,Tabla213[[#This Row],[Organo]], $B$4:$B$1201,M84)</f>
        <v>0</v>
      </c>
      <c r="Z84">
        <f>COUNTIFS($H$4:$H$1201,Tabla213[[#Headers],[Aspergillus]], $G$4:$G$1201,Tabla213[[#This Row],[Organo]], $B$4:$B$1201,M84)</f>
        <v>0</v>
      </c>
      <c r="AA84">
        <f>COUNTIFS($H$4:$H$1201,Tabla213[[#Headers],[NO ID]], $G$4:$G$1201,Tabla213[[#This Row],[Organo]], $B$4:$B$1201,M84)</f>
        <v>1</v>
      </c>
      <c r="AB84">
        <f>COUNTIFS($H$4:$H$1201,Tabla213[[#Headers],[Trichoderma]], $G$4:$G$1201,Tabla213[[#This Row],[Organo]], $B$4:$B$1201,M84)</f>
        <v>0</v>
      </c>
      <c r="AC84">
        <f>COUNTIFS($H$4:$H$1201,Tabla213[[#Headers],[Rizophus]], $G$4:$G$1201,Tabla213[[#This Row],[Organo]], $B$4:$B$1201,M84)</f>
        <v>0</v>
      </c>
      <c r="AD84">
        <f>COUNTIFS($H$4:$H$1201,Tabla213[[#Headers],[FALTANTES]], $G$4:$G$1201,Tabla213[[#This Row],[Organo]], $B$4:$B$1201,M84)</f>
        <v>0</v>
      </c>
      <c r="AF84">
        <f t="shared" ref="AF84" si="80">SUM(Q83:AD84)</f>
        <v>11</v>
      </c>
      <c r="AG84">
        <f>COUNTIF($B$5:$B$1201, Tabla213[[#This Row],[Num. Parcela]])</f>
        <v>11</v>
      </c>
      <c r="AH84" t="b">
        <f t="shared" ref="AH84" si="81">IF(AF84=AG84, TRUE)</f>
        <v>1</v>
      </c>
      <c r="AK84">
        <v>28</v>
      </c>
      <c r="AL84" t="s">
        <v>24</v>
      </c>
      <c r="AM84" t="s">
        <v>131</v>
      </c>
      <c r="AN84" t="s">
        <v>476</v>
      </c>
    </row>
    <row r="85" spans="1:40" x14ac:dyDescent="0.2">
      <c r="A85" s="7">
        <v>81</v>
      </c>
      <c r="B85" s="7">
        <v>3</v>
      </c>
      <c r="C85" s="1" t="str">
        <f t="shared" si="64"/>
        <v>RANCHO ALVAREZ</v>
      </c>
      <c r="D85" s="7" t="s">
        <v>127</v>
      </c>
      <c r="E85" s="1" t="str">
        <f t="shared" si="65"/>
        <v>SAYULA</v>
      </c>
      <c r="F85" s="7">
        <v>1</v>
      </c>
      <c r="G85" s="7" t="s">
        <v>477</v>
      </c>
      <c r="H85" s="7" t="s">
        <v>155</v>
      </c>
      <c r="I85" s="7" t="s">
        <v>155</v>
      </c>
      <c r="J85" s="7">
        <v>81</v>
      </c>
      <c r="K85" s="7"/>
      <c r="M85">
        <v>29</v>
      </c>
      <c r="N85" t="s">
        <v>25</v>
      </c>
      <c r="O85" t="s">
        <v>135</v>
      </c>
      <c r="P85" t="s">
        <v>476</v>
      </c>
      <c r="Q85">
        <f>COUNTIFS($H$4:$H$1201,Tabla213[[#Headers],[Neopestalotiopsis]], $G$4:$G$1201,Tabla213[[#This Row],[Organo]], $B$4:$B$1201,M85)</f>
        <v>3</v>
      </c>
      <c r="R85">
        <f>COUNTIFS($H$4:$H$1201,Tabla213[[#Headers],[Fusarium]], $G$4:$G$1201,Tabla213[[#This Row],[Organo]], $B$4:$B$1201,M85)</f>
        <v>1</v>
      </c>
      <c r="S85">
        <f>COUNTIFS($H$4:$H$1201,Tabla213[[#Headers],[Cylindrocarpon]], $G$4:$G$1201,Tabla213[[#This Row],[Organo]], $B$4:$B$1201,M85)</f>
        <v>0</v>
      </c>
      <c r="T85">
        <f>COUNTIFS($H$4:$H$1201,Tabla213[[#Headers],[Macrophomina]], $G$4:$G$1201,Tabla213[[#This Row],[Organo]], $B$4:$B$1201,M85)</f>
        <v>0</v>
      </c>
      <c r="U85">
        <f>COUNTIFS($H$4:$H$1201,Tabla213[[#Headers],[Rhizoctonia]], $G$4:$G$1201,Tabla213[[#This Row],[Organo]], $B$4:$B$1201,M85)</f>
        <v>0</v>
      </c>
      <c r="V85">
        <v>0</v>
      </c>
      <c r="W85">
        <f>COUNTIFS($H$4:$H$1201,Tabla213[[#Headers],[Alternaria]], $G$4:$G$1201,Tabla213[[#This Row],[Organo]], $B$4:$B$1201,M85)</f>
        <v>0</v>
      </c>
      <c r="X85">
        <f>COUNTIFS($H$4:$H$1201,Tabla213[[#Headers],[Botrytis]], $G$4:$G$1201,Tabla213[[#This Row],[Organo]], $B$4:$B$1201,M85)</f>
        <v>0</v>
      </c>
      <c r="Y85">
        <f>COUNTIFS($H$4:$H$1201,Tabla213[[#Headers],[Colletotrichum]], $G$4:$G$1201,Tabla213[[#This Row],[Organo]], $B$4:$B$1201,M85)</f>
        <v>0</v>
      </c>
      <c r="Z85">
        <f>COUNTIFS($H$4:$H$1201,Tabla213[[#Headers],[Aspergillus]], $G$4:$G$1201,Tabla213[[#This Row],[Organo]], $B$4:$B$1201,M85)</f>
        <v>0</v>
      </c>
      <c r="AA85">
        <f>COUNTIFS($H$4:$H$1201,Tabla213[[#Headers],[NO ID]], $G$4:$G$1201,Tabla213[[#This Row],[Organo]], $B$4:$B$1201,M85)</f>
        <v>0</v>
      </c>
      <c r="AB85">
        <f>COUNTIFS($H$4:$H$1201,Tabla213[[#Headers],[Trichoderma]], $G$4:$G$1201,Tabla213[[#This Row],[Organo]], $B$4:$B$1201,M85)</f>
        <v>0</v>
      </c>
      <c r="AC85">
        <f>COUNTIFS($H$4:$H$1201,Tabla213[[#Headers],[Rizophus]], $G$4:$G$1201,Tabla213[[#This Row],[Organo]], $B$4:$B$1201,M85)</f>
        <v>0</v>
      </c>
      <c r="AD85">
        <f>COUNTIFS($H$4:$H$1201,Tabla213[[#Headers],[FALTANTES]], $G$4:$G$1201,Tabla213[[#This Row],[Organo]], $B$4:$B$1201,M85)</f>
        <v>0</v>
      </c>
      <c r="AK85">
        <v>29</v>
      </c>
      <c r="AL85" t="s">
        <v>25</v>
      </c>
      <c r="AM85" t="s">
        <v>135</v>
      </c>
      <c r="AN85" t="s">
        <v>477</v>
      </c>
    </row>
    <row r="86" spans="1:40" x14ac:dyDescent="0.2">
      <c r="A86" s="7">
        <v>82</v>
      </c>
      <c r="B86" s="7">
        <v>3</v>
      </c>
      <c r="C86" s="1" t="str">
        <f t="shared" si="64"/>
        <v>RANCHO ALVAREZ</v>
      </c>
      <c r="D86" s="7" t="s">
        <v>127</v>
      </c>
      <c r="E86" s="1" t="str">
        <f t="shared" si="65"/>
        <v>SAYULA</v>
      </c>
      <c r="F86" s="7">
        <v>1</v>
      </c>
      <c r="G86" s="7" t="s">
        <v>477</v>
      </c>
      <c r="H86" s="7" t="s">
        <v>155</v>
      </c>
      <c r="I86" s="7" t="s">
        <v>155</v>
      </c>
      <c r="J86" s="7">
        <v>82</v>
      </c>
      <c r="K86" s="7"/>
      <c r="M86">
        <v>29</v>
      </c>
      <c r="N86" t="s">
        <v>25</v>
      </c>
      <c r="O86" t="s">
        <v>135</v>
      </c>
      <c r="P86" t="s">
        <v>477</v>
      </c>
      <c r="Q86">
        <f>COUNTIFS($H$4:$H$1201,Tabla213[[#Headers],[Neopestalotiopsis]], $G$4:$G$1201,Tabla213[[#This Row],[Organo]], $B$4:$B$1201,M86)</f>
        <v>2</v>
      </c>
      <c r="R86">
        <f>COUNTIFS($H$4:$H$1201,Tabla213[[#Headers],[Fusarium]], $G$4:$G$1201,Tabla213[[#This Row],[Organo]], $B$4:$B$1201,M86)</f>
        <v>5</v>
      </c>
      <c r="S86">
        <f>COUNTIFS($H$4:$H$1201,Tabla213[[#Headers],[Cylindrocarpon]], $G$4:$G$1201,Tabla213[[#This Row],[Organo]], $B$4:$B$1201,M86)</f>
        <v>0</v>
      </c>
      <c r="T86">
        <f>COUNTIFS($H$4:$H$1201,Tabla213[[#Headers],[Macrophomina]], $G$4:$G$1201,Tabla213[[#This Row],[Organo]], $B$4:$B$1201,M86)</f>
        <v>0</v>
      </c>
      <c r="U86">
        <f>COUNTIFS($H$4:$H$1201,Tabla213[[#Headers],[Rhizoctonia]], $G$4:$G$1201,Tabla213[[#This Row],[Organo]], $B$4:$B$1201,M86)</f>
        <v>0</v>
      </c>
      <c r="V86">
        <v>0</v>
      </c>
      <c r="W86">
        <f>COUNTIFS($H$4:$H$1201,Tabla213[[#Headers],[Alternaria]], $G$4:$G$1201,Tabla213[[#This Row],[Organo]], $B$4:$B$1201,M86)</f>
        <v>0</v>
      </c>
      <c r="X86">
        <f>COUNTIFS($H$4:$H$1201,Tabla213[[#Headers],[Botrytis]], $G$4:$G$1201,Tabla213[[#This Row],[Organo]], $B$4:$B$1201,M86)</f>
        <v>0</v>
      </c>
      <c r="Y86">
        <f>COUNTIFS($H$4:$H$1201,Tabla213[[#Headers],[Colletotrichum]], $G$4:$G$1201,Tabla213[[#This Row],[Organo]], $B$4:$B$1201,M86)</f>
        <v>0</v>
      </c>
      <c r="Z86">
        <f>COUNTIFS($H$4:$H$1201,Tabla213[[#Headers],[Aspergillus]], $G$4:$G$1201,Tabla213[[#This Row],[Organo]], $B$4:$B$1201,M86)</f>
        <v>0</v>
      </c>
      <c r="AA86">
        <f>COUNTIFS($H$4:$H$1201,Tabla213[[#Headers],[NO ID]], $G$4:$G$1201,Tabla213[[#This Row],[Organo]], $B$4:$B$1201,M86)</f>
        <v>0</v>
      </c>
      <c r="AB86">
        <f>COUNTIFS($H$4:$H$1201,Tabla213[[#Headers],[Trichoderma]], $G$4:$G$1201,Tabla213[[#This Row],[Organo]], $B$4:$B$1201,M86)</f>
        <v>0</v>
      </c>
      <c r="AC86">
        <f>COUNTIFS($H$4:$H$1201,Tabla213[[#Headers],[Rizophus]], $G$4:$G$1201,Tabla213[[#This Row],[Organo]], $B$4:$B$1201,M86)</f>
        <v>0</v>
      </c>
      <c r="AD86">
        <f>COUNTIFS($H$4:$H$1201,Tabla213[[#Headers],[FALTANTES]], $G$4:$G$1201,Tabla213[[#This Row],[Organo]], $B$4:$B$1201,M86)</f>
        <v>0</v>
      </c>
      <c r="AF86">
        <f t="shared" ref="AF86" si="82">SUM(Q85:AD86)</f>
        <v>11</v>
      </c>
      <c r="AG86">
        <f>COUNTIF($B$5:$B$1201, Tabla213[[#This Row],[Num. Parcela]])</f>
        <v>11</v>
      </c>
      <c r="AH86" t="b">
        <f t="shared" ref="AH86" si="83">IF(AF86=AG86, TRUE)</f>
        <v>1</v>
      </c>
      <c r="AK86">
        <v>29</v>
      </c>
      <c r="AL86" t="s">
        <v>25</v>
      </c>
      <c r="AM86" t="s">
        <v>135</v>
      </c>
      <c r="AN86" t="s">
        <v>476</v>
      </c>
    </row>
    <row r="87" spans="1:40" x14ac:dyDescent="0.2">
      <c r="A87" s="7">
        <v>83</v>
      </c>
      <c r="B87" s="7">
        <v>3</v>
      </c>
      <c r="C87" s="1" t="str">
        <f t="shared" si="64"/>
        <v>RANCHO ALVAREZ</v>
      </c>
      <c r="D87" s="7" t="s">
        <v>127</v>
      </c>
      <c r="E87" s="1" t="str">
        <f t="shared" si="65"/>
        <v>SAYULA</v>
      </c>
      <c r="F87" s="7">
        <v>2</v>
      </c>
      <c r="G87" s="7" t="s">
        <v>477</v>
      </c>
      <c r="H87" s="7" t="s">
        <v>472</v>
      </c>
      <c r="I87" s="7" t="s">
        <v>472</v>
      </c>
      <c r="J87" s="7">
        <v>83</v>
      </c>
      <c r="K87" s="19" t="s">
        <v>638</v>
      </c>
      <c r="M87">
        <v>30</v>
      </c>
      <c r="N87" t="s">
        <v>26</v>
      </c>
      <c r="O87" t="s">
        <v>126</v>
      </c>
      <c r="P87" t="s">
        <v>476</v>
      </c>
      <c r="Q87">
        <f>COUNTIFS($H$4:$H$1201,Tabla213[[#Headers],[Neopestalotiopsis]], $G$4:$G$1201,Tabla213[[#This Row],[Organo]], $B$4:$B$1201,M87)</f>
        <v>4</v>
      </c>
      <c r="R87">
        <f>COUNTIFS($H$4:$H$1201,Tabla213[[#Headers],[Fusarium]], $G$4:$G$1201,Tabla213[[#This Row],[Organo]], $B$4:$B$1201,M87)</f>
        <v>1</v>
      </c>
      <c r="S87">
        <f>COUNTIFS($H$4:$H$1201,Tabla213[[#Headers],[Cylindrocarpon]], $G$4:$G$1201,Tabla213[[#This Row],[Organo]], $B$4:$B$1201,M87)</f>
        <v>0</v>
      </c>
      <c r="T87">
        <f>COUNTIFS($H$4:$H$1201,Tabla213[[#Headers],[Macrophomina]], $G$4:$G$1201,Tabla213[[#This Row],[Organo]], $B$4:$B$1201,M87)</f>
        <v>0</v>
      </c>
      <c r="U87">
        <f>COUNTIFS($H$4:$H$1201,Tabla213[[#Headers],[Rhizoctonia]], $G$4:$G$1201,Tabla213[[#This Row],[Organo]], $B$4:$B$1201,M87)</f>
        <v>0</v>
      </c>
      <c r="V87">
        <v>0</v>
      </c>
      <c r="W87">
        <f>COUNTIFS($H$4:$H$1201,Tabla213[[#Headers],[Alternaria]], $G$4:$G$1201,Tabla213[[#This Row],[Organo]], $B$4:$B$1201,M87)</f>
        <v>0</v>
      </c>
      <c r="X87">
        <f>COUNTIFS($H$4:$H$1201,Tabla213[[#Headers],[Botrytis]], $G$4:$G$1201,Tabla213[[#This Row],[Organo]], $B$4:$B$1201,M87)</f>
        <v>0</v>
      </c>
      <c r="Y87">
        <f>COUNTIFS($H$4:$H$1201,Tabla213[[#Headers],[Colletotrichum]], $G$4:$G$1201,Tabla213[[#This Row],[Organo]], $B$4:$B$1201,M87)</f>
        <v>0</v>
      </c>
      <c r="Z87">
        <f>COUNTIFS($H$4:$H$1201,Tabla213[[#Headers],[Aspergillus]], $G$4:$G$1201,Tabla213[[#This Row],[Organo]], $B$4:$B$1201,M87)</f>
        <v>0</v>
      </c>
      <c r="AA87">
        <f>COUNTIFS($H$4:$H$1201,Tabla213[[#Headers],[NO ID]], $G$4:$G$1201,Tabla213[[#This Row],[Organo]], $B$4:$B$1201,M87)</f>
        <v>0</v>
      </c>
      <c r="AB87">
        <f>COUNTIFS($H$4:$H$1201,Tabla213[[#Headers],[Trichoderma]], $G$4:$G$1201,Tabla213[[#This Row],[Organo]], $B$4:$B$1201,M87)</f>
        <v>0</v>
      </c>
      <c r="AC87">
        <f>COUNTIFS($H$4:$H$1201,Tabla213[[#Headers],[Rizophus]], $G$4:$G$1201,Tabla213[[#This Row],[Organo]], $B$4:$B$1201,M87)</f>
        <v>0</v>
      </c>
      <c r="AD87">
        <f>COUNTIFS($H$4:$H$1201,Tabla213[[#Headers],[FALTANTES]], $G$4:$G$1201,Tabla213[[#This Row],[Organo]], $B$4:$B$1201,M87)</f>
        <v>0</v>
      </c>
      <c r="AK87">
        <v>30</v>
      </c>
      <c r="AL87" t="s">
        <v>26</v>
      </c>
      <c r="AM87" t="s">
        <v>126</v>
      </c>
      <c r="AN87" t="s">
        <v>477</v>
      </c>
    </row>
    <row r="88" spans="1:40" x14ac:dyDescent="0.2">
      <c r="A88" s="7">
        <v>84</v>
      </c>
      <c r="B88" s="7">
        <v>3</v>
      </c>
      <c r="C88" s="1" t="str">
        <f t="shared" si="64"/>
        <v>RANCHO ALVAREZ</v>
      </c>
      <c r="D88" s="7" t="s">
        <v>127</v>
      </c>
      <c r="E88" s="1" t="str">
        <f t="shared" si="65"/>
        <v>SAYULA</v>
      </c>
      <c r="F88" s="7">
        <v>2</v>
      </c>
      <c r="G88" s="7" t="s">
        <v>477</v>
      </c>
      <c r="H88" s="7" t="s">
        <v>228</v>
      </c>
      <c r="I88" s="9" t="s">
        <v>482</v>
      </c>
      <c r="J88" s="9">
        <v>84</v>
      </c>
      <c r="K88" s="7"/>
      <c r="M88">
        <v>30</v>
      </c>
      <c r="N88" t="s">
        <v>26</v>
      </c>
      <c r="O88" t="s">
        <v>126</v>
      </c>
      <c r="P88" t="s">
        <v>477</v>
      </c>
      <c r="Q88">
        <f>COUNTIFS($H$4:$H$1201,Tabla213[[#Headers],[Neopestalotiopsis]], $G$4:$G$1201,Tabla213[[#This Row],[Organo]], $B$4:$B$1201,M88)</f>
        <v>1</v>
      </c>
      <c r="R88">
        <f>COUNTIFS($H$4:$H$1201,Tabla213[[#Headers],[Fusarium]], $G$4:$G$1201,Tabla213[[#This Row],[Organo]], $B$4:$B$1201,M88)</f>
        <v>4</v>
      </c>
      <c r="S88">
        <f>COUNTIFS($H$4:$H$1201,Tabla213[[#Headers],[Cylindrocarpon]], $G$4:$G$1201,Tabla213[[#This Row],[Organo]], $B$4:$B$1201,M88)</f>
        <v>0</v>
      </c>
      <c r="T88">
        <f>COUNTIFS($H$4:$H$1201,Tabla213[[#Headers],[Macrophomina]], $G$4:$G$1201,Tabla213[[#This Row],[Organo]], $B$4:$B$1201,M88)</f>
        <v>0</v>
      </c>
      <c r="U88">
        <f>COUNTIFS($H$4:$H$1201,Tabla213[[#Headers],[Rhizoctonia]], $G$4:$G$1201,Tabla213[[#This Row],[Organo]], $B$4:$B$1201,M88)</f>
        <v>0</v>
      </c>
      <c r="V88">
        <v>0</v>
      </c>
      <c r="W88">
        <f>COUNTIFS($H$4:$H$1201,Tabla213[[#Headers],[Alternaria]], $G$4:$G$1201,Tabla213[[#This Row],[Organo]], $B$4:$B$1201,M88)</f>
        <v>0</v>
      </c>
      <c r="X88">
        <f>COUNTIFS($H$4:$H$1201,Tabla213[[#Headers],[Botrytis]], $G$4:$G$1201,Tabla213[[#This Row],[Organo]], $B$4:$B$1201,M88)</f>
        <v>0</v>
      </c>
      <c r="Y88">
        <f>COUNTIFS($H$4:$H$1201,Tabla213[[#Headers],[Colletotrichum]], $G$4:$G$1201,Tabla213[[#This Row],[Organo]], $B$4:$B$1201,M88)</f>
        <v>0</v>
      </c>
      <c r="Z88">
        <f>COUNTIFS($H$4:$H$1201,Tabla213[[#Headers],[Aspergillus]], $G$4:$G$1201,Tabla213[[#This Row],[Organo]], $B$4:$B$1201,M88)</f>
        <v>0</v>
      </c>
      <c r="AA88">
        <f>COUNTIFS($H$4:$H$1201,Tabla213[[#Headers],[NO ID]], $G$4:$G$1201,Tabla213[[#This Row],[Organo]], $B$4:$B$1201,M88)</f>
        <v>0</v>
      </c>
      <c r="AB88">
        <f>COUNTIFS($H$4:$H$1201,Tabla213[[#Headers],[Trichoderma]], $G$4:$G$1201,Tabla213[[#This Row],[Organo]], $B$4:$B$1201,M88)</f>
        <v>0</v>
      </c>
      <c r="AC88">
        <f>COUNTIFS($H$4:$H$1201,Tabla213[[#Headers],[Rizophus]], $G$4:$G$1201,Tabla213[[#This Row],[Organo]], $B$4:$B$1201,M88)</f>
        <v>0</v>
      </c>
      <c r="AD88">
        <f>COUNTIFS($H$4:$H$1201,Tabla213[[#Headers],[FALTANTES]], $G$4:$G$1201,Tabla213[[#This Row],[Organo]], $B$4:$B$1201,M88)</f>
        <v>0</v>
      </c>
      <c r="AF88">
        <f t="shared" ref="AF88" si="84">SUM(Q87:AD88)</f>
        <v>10</v>
      </c>
      <c r="AG88">
        <f>COUNTIF($B$5:$B$1201, Tabla213[[#This Row],[Num. Parcela]])</f>
        <v>10</v>
      </c>
      <c r="AH88" t="b">
        <f t="shared" ref="AH88" si="85">IF(AF88=AG88, TRUE)</f>
        <v>1</v>
      </c>
      <c r="AK88">
        <v>30</v>
      </c>
      <c r="AL88" t="s">
        <v>26</v>
      </c>
      <c r="AM88" t="s">
        <v>126</v>
      </c>
      <c r="AN88" t="s">
        <v>476</v>
      </c>
    </row>
    <row r="89" spans="1:40" x14ac:dyDescent="0.2">
      <c r="A89" s="7">
        <v>85</v>
      </c>
      <c r="B89" s="7">
        <v>3</v>
      </c>
      <c r="C89" s="1" t="str">
        <f t="shared" si="64"/>
        <v>RANCHO ALVAREZ</v>
      </c>
      <c r="D89" s="7" t="s">
        <v>127</v>
      </c>
      <c r="E89" s="1" t="str">
        <f t="shared" si="65"/>
        <v>SAYULA</v>
      </c>
      <c r="F89" s="7">
        <v>1</v>
      </c>
      <c r="G89" s="7" t="s">
        <v>486</v>
      </c>
      <c r="H89" s="7" t="s">
        <v>155</v>
      </c>
      <c r="I89" s="7" t="s">
        <v>155</v>
      </c>
      <c r="J89" s="7">
        <v>85</v>
      </c>
      <c r="K89" s="7"/>
      <c r="M89">
        <v>31</v>
      </c>
      <c r="N89" t="s">
        <v>27</v>
      </c>
      <c r="O89" t="s">
        <v>126</v>
      </c>
      <c r="P89" t="s">
        <v>476</v>
      </c>
      <c r="Q89">
        <f>COUNTIFS($H$4:$H$1201,Tabla213[[#Headers],[Neopestalotiopsis]], $G$4:$G$1201,Tabla213[[#This Row],[Organo]], $B$4:$B$1201,M89)</f>
        <v>3</v>
      </c>
      <c r="R89">
        <f>COUNTIFS($H$4:$H$1201,Tabla213[[#Headers],[Fusarium]], $G$4:$G$1201,Tabla213[[#This Row],[Organo]], $B$4:$B$1201,M89)</f>
        <v>0</v>
      </c>
      <c r="S89">
        <f>COUNTIFS($H$4:$H$1201,Tabla213[[#Headers],[Cylindrocarpon]], $G$4:$G$1201,Tabla213[[#This Row],[Organo]], $B$4:$B$1201,M89)</f>
        <v>0</v>
      </c>
      <c r="T89">
        <f>COUNTIFS($H$4:$H$1201,Tabla213[[#Headers],[Macrophomina]], $G$4:$G$1201,Tabla213[[#This Row],[Organo]], $B$4:$B$1201,M89)</f>
        <v>0</v>
      </c>
      <c r="U89">
        <f>COUNTIFS($H$4:$H$1201,Tabla213[[#Headers],[Rhizoctonia]], $G$4:$G$1201,Tabla213[[#This Row],[Organo]], $B$4:$B$1201,M89)</f>
        <v>0</v>
      </c>
      <c r="V89">
        <v>0</v>
      </c>
      <c r="W89">
        <f>COUNTIFS($H$4:$H$1201,Tabla213[[#Headers],[Alternaria]], $G$4:$G$1201,Tabla213[[#This Row],[Organo]], $B$4:$B$1201,M89)</f>
        <v>0</v>
      </c>
      <c r="X89">
        <f>COUNTIFS($H$4:$H$1201,Tabla213[[#Headers],[Botrytis]], $G$4:$G$1201,Tabla213[[#This Row],[Organo]], $B$4:$B$1201,M89)</f>
        <v>0</v>
      </c>
      <c r="Y89">
        <f>COUNTIFS($H$4:$H$1201,Tabla213[[#Headers],[Colletotrichum]], $G$4:$G$1201,Tabla213[[#This Row],[Organo]], $B$4:$B$1201,M89)</f>
        <v>0</v>
      </c>
      <c r="Z89">
        <f>COUNTIFS($H$4:$H$1201,Tabla213[[#Headers],[Aspergillus]], $G$4:$G$1201,Tabla213[[#This Row],[Organo]], $B$4:$B$1201,M89)</f>
        <v>0</v>
      </c>
      <c r="AA89">
        <f>COUNTIFS($H$4:$H$1201,Tabla213[[#Headers],[NO ID]], $G$4:$G$1201,Tabla213[[#This Row],[Organo]], $B$4:$B$1201,M89)</f>
        <v>1</v>
      </c>
      <c r="AB89">
        <f>COUNTIFS($H$4:$H$1201,Tabla213[[#Headers],[Trichoderma]], $G$4:$G$1201,Tabla213[[#This Row],[Organo]], $B$4:$B$1201,M89)</f>
        <v>0</v>
      </c>
      <c r="AC89">
        <f>COUNTIFS($H$4:$H$1201,Tabla213[[#Headers],[Rizophus]], $G$4:$G$1201,Tabla213[[#This Row],[Organo]], $B$4:$B$1201,M89)</f>
        <v>0</v>
      </c>
      <c r="AD89">
        <f>COUNTIFS($H$4:$H$1201,Tabla213[[#Headers],[FALTANTES]], $G$4:$G$1201,Tabla213[[#This Row],[Organo]], $B$4:$B$1201,M89)</f>
        <v>0</v>
      </c>
      <c r="AK89">
        <v>31</v>
      </c>
      <c r="AL89" t="s">
        <v>27</v>
      </c>
      <c r="AM89" t="s">
        <v>126</v>
      </c>
      <c r="AN89" t="s">
        <v>477</v>
      </c>
    </row>
    <row r="90" spans="1:40" x14ac:dyDescent="0.2">
      <c r="A90" s="7">
        <v>86</v>
      </c>
      <c r="B90" s="7">
        <v>3</v>
      </c>
      <c r="C90" s="1" t="str">
        <f t="shared" si="64"/>
        <v>RANCHO ALVAREZ</v>
      </c>
      <c r="D90" s="7" t="s">
        <v>127</v>
      </c>
      <c r="E90" s="1" t="str">
        <f t="shared" si="65"/>
        <v>SAYULA</v>
      </c>
      <c r="F90" s="7">
        <v>1</v>
      </c>
      <c r="G90" s="7" t="s">
        <v>486</v>
      </c>
      <c r="H90" s="7" t="s">
        <v>155</v>
      </c>
      <c r="I90" s="7" t="s">
        <v>155</v>
      </c>
      <c r="J90" s="7">
        <v>86</v>
      </c>
      <c r="K90" s="7"/>
      <c r="M90">
        <v>31</v>
      </c>
      <c r="N90" t="s">
        <v>27</v>
      </c>
      <c r="O90" t="s">
        <v>126</v>
      </c>
      <c r="P90" t="s">
        <v>477</v>
      </c>
      <c r="Q90">
        <f>COUNTIFS($H$4:$H$1201,Tabla213[[#Headers],[Neopestalotiopsis]], $G$4:$G$1201,Tabla213[[#This Row],[Organo]], $B$4:$B$1201,M90)</f>
        <v>3</v>
      </c>
      <c r="R90">
        <f>COUNTIFS($H$4:$H$1201,Tabla213[[#Headers],[Fusarium]], $G$4:$G$1201,Tabla213[[#This Row],[Organo]], $B$4:$B$1201,M90)</f>
        <v>4</v>
      </c>
      <c r="S90">
        <f>COUNTIFS($H$4:$H$1201,Tabla213[[#Headers],[Cylindrocarpon]], $G$4:$G$1201,Tabla213[[#This Row],[Organo]], $B$4:$B$1201,M90)</f>
        <v>0</v>
      </c>
      <c r="T90">
        <f>COUNTIFS($H$4:$H$1201,Tabla213[[#Headers],[Macrophomina]], $G$4:$G$1201,Tabla213[[#This Row],[Organo]], $B$4:$B$1201,M90)</f>
        <v>0</v>
      </c>
      <c r="U90">
        <f>COUNTIFS($H$4:$H$1201,Tabla213[[#Headers],[Rhizoctonia]], $G$4:$G$1201,Tabla213[[#This Row],[Organo]], $B$4:$B$1201,M90)</f>
        <v>1</v>
      </c>
      <c r="V90">
        <v>0</v>
      </c>
      <c r="W90">
        <f>COUNTIFS($H$4:$H$1201,Tabla213[[#Headers],[Alternaria]], $G$4:$G$1201,Tabla213[[#This Row],[Organo]], $B$4:$B$1201,M90)</f>
        <v>0</v>
      </c>
      <c r="X90">
        <f>COUNTIFS($H$4:$H$1201,Tabla213[[#Headers],[Botrytis]], $G$4:$G$1201,Tabla213[[#This Row],[Organo]], $B$4:$B$1201,M90)</f>
        <v>0</v>
      </c>
      <c r="Y90">
        <f>COUNTIFS($H$4:$H$1201,Tabla213[[#Headers],[Colletotrichum]], $G$4:$G$1201,Tabla213[[#This Row],[Organo]], $B$4:$B$1201,M90)</f>
        <v>0</v>
      </c>
      <c r="Z90">
        <f>COUNTIFS($H$4:$H$1201,Tabla213[[#Headers],[Aspergillus]], $G$4:$G$1201,Tabla213[[#This Row],[Organo]], $B$4:$B$1201,M90)</f>
        <v>0</v>
      </c>
      <c r="AA90">
        <f>COUNTIFS($H$4:$H$1201,Tabla213[[#Headers],[NO ID]], $G$4:$G$1201,Tabla213[[#This Row],[Organo]], $B$4:$B$1201,M90)</f>
        <v>1</v>
      </c>
      <c r="AB90">
        <f>COUNTIFS($H$4:$H$1201,Tabla213[[#Headers],[Trichoderma]], $G$4:$G$1201,Tabla213[[#This Row],[Organo]], $B$4:$B$1201,M90)</f>
        <v>0</v>
      </c>
      <c r="AC90">
        <f>COUNTIFS($H$4:$H$1201,Tabla213[[#Headers],[Rizophus]], $G$4:$G$1201,Tabla213[[#This Row],[Organo]], $B$4:$B$1201,M90)</f>
        <v>0</v>
      </c>
      <c r="AD90">
        <f>COUNTIFS($H$4:$H$1201,Tabla213[[#Headers],[FALTANTES]], $G$4:$G$1201,Tabla213[[#This Row],[Organo]], $B$4:$B$1201,M90)</f>
        <v>0</v>
      </c>
      <c r="AF90">
        <f t="shared" ref="AF90" si="86">SUM(Q89:AD90)</f>
        <v>13</v>
      </c>
      <c r="AG90">
        <f>COUNTIF($B$5:$B$1201, Tabla213[[#This Row],[Num. Parcela]])</f>
        <v>13</v>
      </c>
      <c r="AH90" t="b">
        <f t="shared" ref="AH90" si="87">IF(AF90=AG90, TRUE)</f>
        <v>1</v>
      </c>
      <c r="AK90">
        <v>31</v>
      </c>
      <c r="AL90" t="s">
        <v>27</v>
      </c>
      <c r="AM90" t="s">
        <v>126</v>
      </c>
      <c r="AN90" t="s">
        <v>476</v>
      </c>
    </row>
    <row r="91" spans="1:40" x14ac:dyDescent="0.2">
      <c r="A91" s="7">
        <v>87</v>
      </c>
      <c r="B91" s="7">
        <v>3</v>
      </c>
      <c r="C91" s="1" t="str">
        <f t="shared" si="64"/>
        <v>RANCHO ALVAREZ</v>
      </c>
      <c r="D91" s="7" t="s">
        <v>127</v>
      </c>
      <c r="E91" s="1" t="str">
        <f t="shared" si="65"/>
        <v>SAYULA</v>
      </c>
      <c r="F91" s="7">
        <v>1</v>
      </c>
      <c r="G91" s="7" t="s">
        <v>486</v>
      </c>
      <c r="H91" s="7" t="s">
        <v>155</v>
      </c>
      <c r="I91" s="7" t="s">
        <v>155</v>
      </c>
      <c r="J91" s="7">
        <v>87</v>
      </c>
      <c r="K91" s="7"/>
      <c r="M91">
        <v>32</v>
      </c>
      <c r="N91" t="s">
        <v>28</v>
      </c>
      <c r="O91" t="s">
        <v>136</v>
      </c>
      <c r="P91" t="s">
        <v>476</v>
      </c>
      <c r="Q91">
        <f>COUNTIFS($H$4:$H$1201,Tabla213[[#Headers],[Neopestalotiopsis]], $G$4:$G$1201,Tabla213[[#This Row],[Organo]], $B$4:$B$1201,M91)</f>
        <v>4</v>
      </c>
      <c r="R91">
        <f>COUNTIFS($H$4:$H$1201,Tabla213[[#Headers],[Fusarium]], $G$4:$G$1201,Tabla213[[#This Row],[Organo]], $B$4:$B$1201,M91)</f>
        <v>0</v>
      </c>
      <c r="S91">
        <f>COUNTIFS($H$4:$H$1201,Tabla213[[#Headers],[Cylindrocarpon]], $G$4:$G$1201,Tabla213[[#This Row],[Organo]], $B$4:$B$1201,M91)</f>
        <v>0</v>
      </c>
      <c r="T91">
        <f>COUNTIFS($H$4:$H$1201,Tabla213[[#Headers],[Macrophomina]], $G$4:$G$1201,Tabla213[[#This Row],[Organo]], $B$4:$B$1201,M91)</f>
        <v>0</v>
      </c>
      <c r="U91">
        <f>COUNTIFS($H$4:$H$1201,Tabla213[[#Headers],[Rhizoctonia]], $G$4:$G$1201,Tabla213[[#This Row],[Organo]], $B$4:$B$1201,M91)</f>
        <v>0</v>
      </c>
      <c r="V91">
        <v>0</v>
      </c>
      <c r="W91">
        <f>COUNTIFS($H$4:$H$1201,Tabla213[[#Headers],[Alternaria]], $G$4:$G$1201,Tabla213[[#This Row],[Organo]], $B$4:$B$1201,M91)</f>
        <v>0</v>
      </c>
      <c r="X91">
        <f>COUNTIFS($H$4:$H$1201,Tabla213[[#Headers],[Botrytis]], $G$4:$G$1201,Tabla213[[#This Row],[Organo]], $B$4:$B$1201,M91)</f>
        <v>0</v>
      </c>
      <c r="Y91">
        <f>COUNTIFS($H$4:$H$1201,Tabla213[[#Headers],[Colletotrichum]], $G$4:$G$1201,Tabla213[[#This Row],[Organo]], $B$4:$B$1201,M91)</f>
        <v>0</v>
      </c>
      <c r="Z91">
        <f>COUNTIFS($H$4:$H$1201,Tabla213[[#Headers],[Aspergillus]], $G$4:$G$1201,Tabla213[[#This Row],[Organo]], $B$4:$B$1201,M91)</f>
        <v>0</v>
      </c>
      <c r="AA91">
        <f>COUNTIFS($H$4:$H$1201,Tabla213[[#Headers],[NO ID]], $G$4:$G$1201,Tabla213[[#This Row],[Organo]], $B$4:$B$1201,M91)</f>
        <v>0</v>
      </c>
      <c r="AB91">
        <f>COUNTIFS($H$4:$H$1201,Tabla213[[#Headers],[Trichoderma]], $G$4:$G$1201,Tabla213[[#This Row],[Organo]], $B$4:$B$1201,M91)</f>
        <v>0</v>
      </c>
      <c r="AC91">
        <f>COUNTIFS($H$4:$H$1201,Tabla213[[#Headers],[Rizophus]], $G$4:$G$1201,Tabla213[[#This Row],[Organo]], $B$4:$B$1201,M91)</f>
        <v>0</v>
      </c>
      <c r="AD91">
        <f>COUNTIFS($H$4:$H$1201,Tabla213[[#Headers],[FALTANTES]], $G$4:$G$1201,Tabla213[[#This Row],[Organo]], $B$4:$B$1201,M91)</f>
        <v>0</v>
      </c>
      <c r="AK91">
        <v>32</v>
      </c>
      <c r="AL91" t="s">
        <v>28</v>
      </c>
      <c r="AM91" t="s">
        <v>136</v>
      </c>
      <c r="AN91" t="s">
        <v>477</v>
      </c>
    </row>
    <row r="92" spans="1:40" x14ac:dyDescent="0.2">
      <c r="A92" s="7">
        <v>88</v>
      </c>
      <c r="B92" s="7">
        <v>3</v>
      </c>
      <c r="C92" s="1" t="str">
        <f t="shared" si="64"/>
        <v>RANCHO ALVAREZ</v>
      </c>
      <c r="D92" s="7" t="s">
        <v>127</v>
      </c>
      <c r="E92" s="1" t="str">
        <f t="shared" si="65"/>
        <v>SAYULA</v>
      </c>
      <c r="F92" s="7">
        <v>1</v>
      </c>
      <c r="G92" s="7" t="s">
        <v>477</v>
      </c>
      <c r="H92" s="7" t="s">
        <v>149</v>
      </c>
      <c r="I92" s="7" t="s">
        <v>484</v>
      </c>
      <c r="J92" s="7">
        <v>88</v>
      </c>
      <c r="K92" s="7"/>
      <c r="M92">
        <v>32</v>
      </c>
      <c r="N92" t="s">
        <v>28</v>
      </c>
      <c r="O92" t="s">
        <v>136</v>
      </c>
      <c r="P92" t="s">
        <v>477</v>
      </c>
      <c r="Q92">
        <f>COUNTIFS($H$4:$H$1201,Tabla213[[#Headers],[Neopestalotiopsis]], $G$4:$G$1201,Tabla213[[#This Row],[Organo]], $B$4:$B$1201,M92)</f>
        <v>2</v>
      </c>
      <c r="R92">
        <f>COUNTIFS($H$4:$H$1201,Tabla213[[#Headers],[Fusarium]], $G$4:$G$1201,Tabla213[[#This Row],[Organo]], $B$4:$B$1201,M92)</f>
        <v>1</v>
      </c>
      <c r="S92">
        <f>COUNTIFS($H$4:$H$1201,Tabla213[[#Headers],[Cylindrocarpon]], $G$4:$G$1201,Tabla213[[#This Row],[Organo]], $B$4:$B$1201,M92)</f>
        <v>0</v>
      </c>
      <c r="T92">
        <f>COUNTIFS($H$4:$H$1201,Tabla213[[#Headers],[Macrophomina]], $G$4:$G$1201,Tabla213[[#This Row],[Organo]], $B$4:$B$1201,M92)</f>
        <v>0</v>
      </c>
      <c r="U92">
        <f>COUNTIFS($H$4:$H$1201,Tabla213[[#Headers],[Rhizoctonia]], $G$4:$G$1201,Tabla213[[#This Row],[Organo]], $B$4:$B$1201,M92)</f>
        <v>0</v>
      </c>
      <c r="V92">
        <v>0</v>
      </c>
      <c r="W92">
        <f>COUNTIFS($H$4:$H$1201,Tabla213[[#Headers],[Alternaria]], $G$4:$G$1201,Tabla213[[#This Row],[Organo]], $B$4:$B$1201,M92)</f>
        <v>1</v>
      </c>
      <c r="X92">
        <f>COUNTIFS($H$4:$H$1201,Tabla213[[#Headers],[Botrytis]], $G$4:$G$1201,Tabla213[[#This Row],[Organo]], $B$4:$B$1201,M92)</f>
        <v>3</v>
      </c>
      <c r="Y92">
        <f>COUNTIFS($H$4:$H$1201,Tabla213[[#Headers],[Colletotrichum]], $G$4:$G$1201,Tabla213[[#This Row],[Organo]], $B$4:$B$1201,M92)</f>
        <v>0</v>
      </c>
      <c r="Z92">
        <f>COUNTIFS($H$4:$H$1201,Tabla213[[#Headers],[Aspergillus]], $G$4:$G$1201,Tabla213[[#This Row],[Organo]], $B$4:$B$1201,M92)</f>
        <v>0</v>
      </c>
      <c r="AA92">
        <f>COUNTIFS($H$4:$H$1201,Tabla213[[#Headers],[NO ID]], $G$4:$G$1201,Tabla213[[#This Row],[Organo]], $B$4:$B$1201,M92)</f>
        <v>1</v>
      </c>
      <c r="AB92">
        <f>COUNTIFS($H$4:$H$1201,Tabla213[[#Headers],[Trichoderma]], $G$4:$G$1201,Tabla213[[#This Row],[Organo]], $B$4:$B$1201,M92)</f>
        <v>0</v>
      </c>
      <c r="AC92">
        <f>COUNTIFS($H$4:$H$1201,Tabla213[[#Headers],[Rizophus]], $G$4:$G$1201,Tabla213[[#This Row],[Organo]], $B$4:$B$1201,M92)</f>
        <v>0</v>
      </c>
      <c r="AD92">
        <f>COUNTIFS($H$4:$H$1201,Tabla213[[#Headers],[FALTANTES]], $G$4:$G$1201,Tabla213[[#This Row],[Organo]], $B$4:$B$1201,M92)</f>
        <v>0</v>
      </c>
      <c r="AF92">
        <f t="shared" ref="AF92" si="88">SUM(Q91:AD92)</f>
        <v>12</v>
      </c>
      <c r="AG92">
        <f>COUNTIF($B$5:$B$1201, Tabla213[[#This Row],[Num. Parcela]])</f>
        <v>12</v>
      </c>
      <c r="AH92" t="b">
        <f t="shared" ref="AH92" si="89">IF(AF92=AG92, TRUE)</f>
        <v>1</v>
      </c>
      <c r="AK92">
        <v>32</v>
      </c>
      <c r="AL92" t="s">
        <v>28</v>
      </c>
      <c r="AM92" t="s">
        <v>136</v>
      </c>
      <c r="AN92" t="s">
        <v>476</v>
      </c>
    </row>
    <row r="93" spans="1:40" x14ac:dyDescent="0.2">
      <c r="A93" s="7">
        <v>89</v>
      </c>
      <c r="B93" s="7">
        <v>3</v>
      </c>
      <c r="C93" s="1" t="str">
        <f t="shared" si="64"/>
        <v>RANCHO ALVAREZ</v>
      </c>
      <c r="D93" s="7" t="s">
        <v>127</v>
      </c>
      <c r="E93" s="1" t="str">
        <f t="shared" si="65"/>
        <v>SAYULA</v>
      </c>
      <c r="F93" s="7">
        <v>1</v>
      </c>
      <c r="G93" s="7" t="s">
        <v>477</v>
      </c>
      <c r="H93" s="7" t="s">
        <v>228</v>
      </c>
      <c r="I93" s="11" t="s">
        <v>482</v>
      </c>
      <c r="J93" s="11">
        <v>89</v>
      </c>
      <c r="K93" s="7"/>
      <c r="M93">
        <v>33</v>
      </c>
      <c r="N93" t="s">
        <v>29</v>
      </c>
      <c r="O93" t="s">
        <v>126</v>
      </c>
      <c r="P93" t="s">
        <v>476</v>
      </c>
      <c r="Q93">
        <f>COUNTIFS($H$4:$H$1201,Tabla213[[#Headers],[Neopestalotiopsis]], $G$4:$G$1201,Tabla213[[#This Row],[Organo]], $B$4:$B$1201,M93)</f>
        <v>3</v>
      </c>
      <c r="R93">
        <f>COUNTIFS($H$4:$H$1201,Tabla213[[#Headers],[Fusarium]], $G$4:$G$1201,Tabla213[[#This Row],[Organo]], $B$4:$B$1201,M93)</f>
        <v>1</v>
      </c>
      <c r="S93">
        <f>COUNTIFS($H$4:$H$1201,Tabla213[[#Headers],[Cylindrocarpon]], $G$4:$G$1201,Tabla213[[#This Row],[Organo]], $B$4:$B$1201,M93)</f>
        <v>0</v>
      </c>
      <c r="T93">
        <f>COUNTIFS($H$4:$H$1201,Tabla213[[#Headers],[Macrophomina]], $G$4:$G$1201,Tabla213[[#This Row],[Organo]], $B$4:$B$1201,M93)</f>
        <v>0</v>
      </c>
      <c r="U93">
        <f>COUNTIFS($H$4:$H$1201,Tabla213[[#Headers],[Rhizoctonia]], $G$4:$G$1201,Tabla213[[#This Row],[Organo]], $B$4:$B$1201,M93)</f>
        <v>0</v>
      </c>
      <c r="V93">
        <v>0</v>
      </c>
      <c r="W93">
        <f>COUNTIFS($H$4:$H$1201,Tabla213[[#Headers],[Alternaria]], $G$4:$G$1201,Tabla213[[#This Row],[Organo]], $B$4:$B$1201,M93)</f>
        <v>0</v>
      </c>
      <c r="X93">
        <f>COUNTIFS($H$4:$H$1201,Tabla213[[#Headers],[Botrytis]], $G$4:$G$1201,Tabla213[[#This Row],[Organo]], $B$4:$B$1201,M93)</f>
        <v>0</v>
      </c>
      <c r="Y93">
        <f>COUNTIFS($H$4:$H$1201,Tabla213[[#Headers],[Colletotrichum]], $G$4:$G$1201,Tabla213[[#This Row],[Organo]], $B$4:$B$1201,M93)</f>
        <v>0</v>
      </c>
      <c r="Z93">
        <f>COUNTIFS($H$4:$H$1201,Tabla213[[#Headers],[Aspergillus]], $G$4:$G$1201,Tabla213[[#This Row],[Organo]], $B$4:$B$1201,M93)</f>
        <v>0</v>
      </c>
      <c r="AA93">
        <f>COUNTIFS($H$4:$H$1201,Tabla213[[#Headers],[NO ID]], $G$4:$G$1201,Tabla213[[#This Row],[Organo]], $B$4:$B$1201,M93)</f>
        <v>0</v>
      </c>
      <c r="AB93">
        <f>COUNTIFS($H$4:$H$1201,Tabla213[[#Headers],[Trichoderma]], $G$4:$G$1201,Tabla213[[#This Row],[Organo]], $B$4:$B$1201,M93)</f>
        <v>0</v>
      </c>
      <c r="AC93">
        <f>COUNTIFS($H$4:$H$1201,Tabla213[[#Headers],[Rizophus]], $G$4:$G$1201,Tabla213[[#This Row],[Organo]], $B$4:$B$1201,M93)</f>
        <v>0</v>
      </c>
      <c r="AD93">
        <f>COUNTIFS($H$4:$H$1201,Tabla213[[#Headers],[FALTANTES]], $G$4:$G$1201,Tabla213[[#This Row],[Organo]], $B$4:$B$1201,M93)</f>
        <v>0</v>
      </c>
      <c r="AK93">
        <v>33</v>
      </c>
      <c r="AL93" t="s">
        <v>29</v>
      </c>
      <c r="AM93" t="s">
        <v>126</v>
      </c>
      <c r="AN93" t="s">
        <v>477</v>
      </c>
    </row>
    <row r="94" spans="1:40" x14ac:dyDescent="0.2">
      <c r="A94" s="7">
        <v>90</v>
      </c>
      <c r="B94" s="7">
        <v>3</v>
      </c>
      <c r="C94" s="1" t="str">
        <f t="shared" si="64"/>
        <v>RANCHO ALVAREZ</v>
      </c>
      <c r="D94" s="7" t="s">
        <v>127</v>
      </c>
      <c r="E94" s="1" t="str">
        <f t="shared" si="65"/>
        <v>SAYULA</v>
      </c>
      <c r="F94" s="7">
        <v>1</v>
      </c>
      <c r="G94" s="7" t="s">
        <v>477</v>
      </c>
      <c r="H94" s="7" t="s">
        <v>149</v>
      </c>
      <c r="I94" s="7" t="s">
        <v>149</v>
      </c>
      <c r="J94" s="7">
        <v>90</v>
      </c>
      <c r="K94" s="19" t="s">
        <v>638</v>
      </c>
      <c r="M94">
        <v>33</v>
      </c>
      <c r="N94" t="s">
        <v>29</v>
      </c>
      <c r="O94" t="s">
        <v>126</v>
      </c>
      <c r="P94" t="s">
        <v>477</v>
      </c>
      <c r="Q94">
        <f>COUNTIFS($H$4:$H$1201,Tabla213[[#Headers],[Neopestalotiopsis]], $G$4:$G$1201,Tabla213[[#This Row],[Organo]], $B$4:$B$1201,M94)</f>
        <v>2</v>
      </c>
      <c r="R94">
        <f>COUNTIFS($H$4:$H$1201,Tabla213[[#Headers],[Fusarium]], $G$4:$G$1201,Tabla213[[#This Row],[Organo]], $B$4:$B$1201,M94)</f>
        <v>4</v>
      </c>
      <c r="S94">
        <f>COUNTIFS($H$4:$H$1201,Tabla213[[#Headers],[Cylindrocarpon]], $G$4:$G$1201,Tabla213[[#This Row],[Organo]], $B$4:$B$1201,M94)</f>
        <v>0</v>
      </c>
      <c r="T94">
        <f>COUNTIFS($H$4:$H$1201,Tabla213[[#Headers],[Macrophomina]], $G$4:$G$1201,Tabla213[[#This Row],[Organo]], $B$4:$B$1201,M94)</f>
        <v>0</v>
      </c>
      <c r="U94">
        <f>COUNTIFS($H$4:$H$1201,Tabla213[[#Headers],[Rhizoctonia]], $G$4:$G$1201,Tabla213[[#This Row],[Organo]], $B$4:$B$1201,M94)</f>
        <v>1</v>
      </c>
      <c r="V94">
        <v>1</v>
      </c>
      <c r="W94">
        <f>COUNTIFS($H$4:$H$1201,Tabla213[[#Headers],[Alternaria]], $G$4:$G$1201,Tabla213[[#This Row],[Organo]], $B$4:$B$1201,M94)</f>
        <v>0</v>
      </c>
      <c r="X94">
        <f>COUNTIFS($H$4:$H$1201,Tabla213[[#Headers],[Botrytis]], $G$4:$G$1201,Tabla213[[#This Row],[Organo]], $B$4:$B$1201,M94)</f>
        <v>0</v>
      </c>
      <c r="Y94">
        <f>COUNTIFS($H$4:$H$1201,Tabla213[[#Headers],[Colletotrichum]], $G$4:$G$1201,Tabla213[[#This Row],[Organo]], $B$4:$B$1201,M94)</f>
        <v>0</v>
      </c>
      <c r="Z94">
        <f>COUNTIFS($H$4:$H$1201,Tabla213[[#Headers],[Aspergillus]], $G$4:$G$1201,Tabla213[[#This Row],[Organo]], $B$4:$B$1201,M94)</f>
        <v>0</v>
      </c>
      <c r="AA94">
        <f>COUNTIFS($H$4:$H$1201,Tabla213[[#Headers],[NO ID]], $G$4:$G$1201,Tabla213[[#This Row],[Organo]], $B$4:$B$1201,M94)</f>
        <v>0</v>
      </c>
      <c r="AB94">
        <f>COUNTIFS($H$4:$H$1201,Tabla213[[#Headers],[Trichoderma]], $G$4:$G$1201,Tabla213[[#This Row],[Organo]], $B$4:$B$1201,M94)</f>
        <v>0</v>
      </c>
      <c r="AC94">
        <f>COUNTIFS($H$4:$H$1201,Tabla213[[#Headers],[Rizophus]], $G$4:$G$1201,Tabla213[[#This Row],[Organo]], $B$4:$B$1201,M94)</f>
        <v>0</v>
      </c>
      <c r="AD94">
        <f>COUNTIFS($H$4:$H$1201,Tabla213[[#Headers],[FALTANTES]], $G$4:$G$1201,Tabla213[[#This Row],[Organo]], $B$4:$B$1201,M94)</f>
        <v>0</v>
      </c>
      <c r="AF94">
        <f t="shared" ref="AF94" si="90">SUM(Q93:AD94)</f>
        <v>12</v>
      </c>
      <c r="AG94">
        <f>COUNTIF($B$5:$B$1201, Tabla213[[#This Row],[Num. Parcela]])</f>
        <v>12</v>
      </c>
      <c r="AH94" t="b">
        <f t="shared" ref="AH94" si="91">IF(AF94=AG94, TRUE)</f>
        <v>1</v>
      </c>
      <c r="AK94">
        <v>33</v>
      </c>
      <c r="AL94" t="s">
        <v>29</v>
      </c>
      <c r="AM94" t="s">
        <v>126</v>
      </c>
      <c r="AN94" t="s">
        <v>476</v>
      </c>
    </row>
    <row r="95" spans="1:40" x14ac:dyDescent="0.2">
      <c r="A95" s="7">
        <v>91</v>
      </c>
      <c r="B95" s="7">
        <v>3</v>
      </c>
      <c r="C95" s="1" t="str">
        <f t="shared" si="64"/>
        <v>RANCHO ALVAREZ</v>
      </c>
      <c r="D95" s="7" t="s">
        <v>127</v>
      </c>
      <c r="E95" s="1" t="str">
        <f t="shared" si="65"/>
        <v>SAYULA</v>
      </c>
      <c r="F95" s="7">
        <v>1</v>
      </c>
      <c r="G95" s="7" t="s">
        <v>477</v>
      </c>
      <c r="H95" s="7" t="s">
        <v>228</v>
      </c>
      <c r="I95" s="9" t="s">
        <v>487</v>
      </c>
      <c r="J95" s="9">
        <v>91</v>
      </c>
      <c r="K95" s="7"/>
      <c r="M95">
        <v>34</v>
      </c>
      <c r="N95" t="s">
        <v>30</v>
      </c>
      <c r="O95" t="s">
        <v>126</v>
      </c>
      <c r="P95" t="s">
        <v>476</v>
      </c>
      <c r="Q95">
        <f>COUNTIFS($H$4:$H$1201,Tabla213[[#Headers],[Neopestalotiopsis]], $G$4:$G$1201,Tabla213[[#This Row],[Organo]], $B$4:$B$1201,M95)</f>
        <v>4</v>
      </c>
      <c r="R95">
        <f>COUNTIFS($H$4:$H$1201,Tabla213[[#Headers],[Fusarium]], $G$4:$G$1201,Tabla213[[#This Row],[Organo]], $B$4:$B$1201,M95)</f>
        <v>0</v>
      </c>
      <c r="S95">
        <f>COUNTIFS($H$4:$H$1201,Tabla213[[#Headers],[Cylindrocarpon]], $G$4:$G$1201,Tabla213[[#This Row],[Organo]], $B$4:$B$1201,M95)</f>
        <v>0</v>
      </c>
      <c r="T95">
        <f>COUNTIFS($H$4:$H$1201,Tabla213[[#Headers],[Macrophomina]], $G$4:$G$1201,Tabla213[[#This Row],[Organo]], $B$4:$B$1201,M95)</f>
        <v>0</v>
      </c>
      <c r="U95">
        <f>COUNTIFS($H$4:$H$1201,Tabla213[[#Headers],[Rhizoctonia]], $G$4:$G$1201,Tabla213[[#This Row],[Organo]], $B$4:$B$1201,M95)</f>
        <v>0</v>
      </c>
      <c r="V95">
        <v>0</v>
      </c>
      <c r="W95">
        <f>COUNTIFS($H$4:$H$1201,Tabla213[[#Headers],[Alternaria]], $G$4:$G$1201,Tabla213[[#This Row],[Organo]], $B$4:$B$1201,M95)</f>
        <v>0</v>
      </c>
      <c r="X95">
        <f>COUNTIFS($H$4:$H$1201,Tabla213[[#Headers],[Botrytis]], $G$4:$G$1201,Tabla213[[#This Row],[Organo]], $B$4:$B$1201,M95)</f>
        <v>0</v>
      </c>
      <c r="Y95">
        <f>COUNTIFS($H$4:$H$1201,Tabla213[[#Headers],[Colletotrichum]], $G$4:$G$1201,Tabla213[[#This Row],[Organo]], $B$4:$B$1201,M95)</f>
        <v>0</v>
      </c>
      <c r="Z95">
        <f>COUNTIFS($H$4:$H$1201,Tabla213[[#Headers],[Aspergillus]], $G$4:$G$1201,Tabla213[[#This Row],[Organo]], $B$4:$B$1201,M95)</f>
        <v>0</v>
      </c>
      <c r="AA95">
        <f>COUNTIFS($H$4:$H$1201,Tabla213[[#Headers],[NO ID]], $G$4:$G$1201,Tabla213[[#This Row],[Organo]], $B$4:$B$1201,M95)</f>
        <v>0</v>
      </c>
      <c r="AB95">
        <f>COUNTIFS($H$4:$H$1201,Tabla213[[#Headers],[Trichoderma]], $G$4:$G$1201,Tabla213[[#This Row],[Organo]], $B$4:$B$1201,M95)</f>
        <v>0</v>
      </c>
      <c r="AC95">
        <f>COUNTIFS($H$4:$H$1201,Tabla213[[#Headers],[Rizophus]], $G$4:$G$1201,Tabla213[[#This Row],[Organo]], $B$4:$B$1201,M95)</f>
        <v>0</v>
      </c>
      <c r="AD95">
        <f>COUNTIFS($H$4:$H$1201,Tabla213[[#Headers],[FALTANTES]], $G$4:$G$1201,Tabla213[[#This Row],[Organo]], $B$4:$B$1201,M95)</f>
        <v>0</v>
      </c>
      <c r="AK95">
        <v>34</v>
      </c>
      <c r="AL95" t="s">
        <v>30</v>
      </c>
      <c r="AM95" t="s">
        <v>126</v>
      </c>
      <c r="AN95" t="s">
        <v>477</v>
      </c>
    </row>
    <row r="96" spans="1:40" x14ac:dyDescent="0.2">
      <c r="A96" s="7">
        <v>92</v>
      </c>
      <c r="B96" s="7">
        <v>3</v>
      </c>
      <c r="C96" s="1" t="str">
        <f t="shared" si="64"/>
        <v>RANCHO ALVAREZ</v>
      </c>
      <c r="D96" s="7" t="s">
        <v>127</v>
      </c>
      <c r="E96" s="1" t="str">
        <f t="shared" si="65"/>
        <v>SAYULA</v>
      </c>
      <c r="F96" s="7">
        <v>2</v>
      </c>
      <c r="G96" s="7" t="s">
        <v>477</v>
      </c>
      <c r="H96" s="7" t="s">
        <v>149</v>
      </c>
      <c r="I96" s="7" t="s">
        <v>149</v>
      </c>
      <c r="J96" s="7">
        <v>92</v>
      </c>
      <c r="K96" s="19" t="s">
        <v>638</v>
      </c>
      <c r="M96">
        <v>34</v>
      </c>
      <c r="N96" t="s">
        <v>30</v>
      </c>
      <c r="O96" t="s">
        <v>126</v>
      </c>
      <c r="P96" t="s">
        <v>477</v>
      </c>
      <c r="Q96">
        <f>COUNTIFS($H$4:$H$1201,Tabla213[[#Headers],[Neopestalotiopsis]], $G$4:$G$1201,Tabla213[[#This Row],[Organo]], $B$4:$B$1201,M96)</f>
        <v>1</v>
      </c>
      <c r="R96">
        <f>COUNTIFS($H$4:$H$1201,Tabla213[[#Headers],[Fusarium]], $G$4:$G$1201,Tabla213[[#This Row],[Organo]], $B$4:$B$1201,M96)</f>
        <v>3</v>
      </c>
      <c r="S96">
        <f>COUNTIFS($H$4:$H$1201,Tabla213[[#Headers],[Cylindrocarpon]], $G$4:$G$1201,Tabla213[[#This Row],[Organo]], $B$4:$B$1201,M96)</f>
        <v>0</v>
      </c>
      <c r="T96">
        <f>COUNTIFS($H$4:$H$1201,Tabla213[[#Headers],[Macrophomina]], $G$4:$G$1201,Tabla213[[#This Row],[Organo]], $B$4:$B$1201,M96)</f>
        <v>0</v>
      </c>
      <c r="U96">
        <f>COUNTIFS($H$4:$H$1201,Tabla213[[#Headers],[Rhizoctonia]], $G$4:$G$1201,Tabla213[[#This Row],[Organo]], $B$4:$B$1201,M96)</f>
        <v>1</v>
      </c>
      <c r="V96">
        <v>2</v>
      </c>
      <c r="W96">
        <f>COUNTIFS($H$4:$H$1201,Tabla213[[#Headers],[Alternaria]], $G$4:$G$1201,Tabla213[[#This Row],[Organo]], $B$4:$B$1201,M96)</f>
        <v>0</v>
      </c>
      <c r="X96">
        <f>COUNTIFS($H$4:$H$1201,Tabla213[[#Headers],[Botrytis]], $G$4:$G$1201,Tabla213[[#This Row],[Organo]], $B$4:$B$1201,M96)</f>
        <v>0</v>
      </c>
      <c r="Y96">
        <f>COUNTIFS($H$4:$H$1201,Tabla213[[#Headers],[Colletotrichum]], $G$4:$G$1201,Tabla213[[#This Row],[Organo]], $B$4:$B$1201,M96)</f>
        <v>0</v>
      </c>
      <c r="Z96">
        <f>COUNTIFS($H$4:$H$1201,Tabla213[[#Headers],[Aspergillus]], $G$4:$G$1201,Tabla213[[#This Row],[Organo]], $B$4:$B$1201,M96)</f>
        <v>0</v>
      </c>
      <c r="AA96">
        <f>COUNTIFS($H$4:$H$1201,Tabla213[[#Headers],[NO ID]], $G$4:$G$1201,Tabla213[[#This Row],[Organo]], $B$4:$B$1201,M96)</f>
        <v>1</v>
      </c>
      <c r="AB96">
        <f>COUNTIFS($H$4:$H$1201,Tabla213[[#Headers],[Trichoderma]], $G$4:$G$1201,Tabla213[[#This Row],[Organo]], $B$4:$B$1201,M96)</f>
        <v>0</v>
      </c>
      <c r="AC96">
        <f>COUNTIFS($H$4:$H$1201,Tabla213[[#Headers],[Rizophus]], $G$4:$G$1201,Tabla213[[#This Row],[Organo]], $B$4:$B$1201,M96)</f>
        <v>0</v>
      </c>
      <c r="AD96">
        <f>COUNTIFS($H$4:$H$1201,Tabla213[[#Headers],[FALTANTES]], $G$4:$G$1201,Tabla213[[#This Row],[Organo]], $B$4:$B$1201,M96)</f>
        <v>0</v>
      </c>
      <c r="AF96">
        <f t="shared" ref="AF96" si="92">SUM(Q95:AD96)</f>
        <v>12</v>
      </c>
      <c r="AG96">
        <f>COUNTIF($B$5:$B$1201, Tabla213[[#This Row],[Num. Parcela]])</f>
        <v>12</v>
      </c>
      <c r="AH96" t="b">
        <f t="shared" ref="AH96" si="93">IF(AF96=AG96, TRUE)</f>
        <v>1</v>
      </c>
      <c r="AK96">
        <v>34</v>
      </c>
      <c r="AL96" t="s">
        <v>30</v>
      </c>
      <c r="AM96" t="s">
        <v>126</v>
      </c>
      <c r="AN96" t="s">
        <v>476</v>
      </c>
    </row>
    <row r="97" spans="1:40" x14ac:dyDescent="0.2">
      <c r="A97" s="7">
        <v>93</v>
      </c>
      <c r="B97" s="7">
        <v>3</v>
      </c>
      <c r="C97" s="1" t="str">
        <f t="shared" si="64"/>
        <v>RANCHO ALVAREZ</v>
      </c>
      <c r="D97" s="7" t="s">
        <v>127</v>
      </c>
      <c r="E97" s="1" t="str">
        <f t="shared" si="65"/>
        <v>SAYULA</v>
      </c>
      <c r="F97" s="7">
        <v>2</v>
      </c>
      <c r="G97" s="7" t="s">
        <v>477</v>
      </c>
      <c r="H97" s="7" t="s">
        <v>155</v>
      </c>
      <c r="I97" s="7" t="s">
        <v>155</v>
      </c>
      <c r="J97" s="7">
        <v>93</v>
      </c>
      <c r="K97" s="7"/>
      <c r="M97">
        <v>35.1</v>
      </c>
      <c r="N97" t="s">
        <v>674</v>
      </c>
      <c r="O97" t="s">
        <v>126</v>
      </c>
      <c r="P97" t="s">
        <v>476</v>
      </c>
      <c r="Q97">
        <f>COUNTIFS($H$4:$H$1201,Tabla213[[#Headers],[Neopestalotiopsis]], $G$4:$G$1201,Tabla213[[#This Row],[Organo]], $B$4:$B$1201,M97)</f>
        <v>0</v>
      </c>
      <c r="R97">
        <f>COUNTIFS($H$4:$H$1201,Tabla213[[#Headers],[Fusarium]], $G$4:$G$1201,Tabla213[[#This Row],[Organo]], $B$4:$B$1201,M97)</f>
        <v>0</v>
      </c>
      <c r="S97">
        <f>COUNTIFS($H$4:$H$1201,Tabla213[[#Headers],[Cylindrocarpon]], $G$4:$G$1201,Tabla213[[#This Row],[Organo]], $B$4:$B$1201,M97)</f>
        <v>0</v>
      </c>
      <c r="T97">
        <f>COUNTIFS($H$4:$H$1201,Tabla213[[#Headers],[Macrophomina]], $G$4:$G$1201,Tabla213[[#This Row],[Organo]], $B$4:$B$1201,M97)</f>
        <v>0</v>
      </c>
      <c r="U97">
        <f>COUNTIFS($H$4:$H$1201,Tabla213[[#Headers],[Rhizoctonia]], $G$4:$G$1201,Tabla213[[#This Row],[Organo]], $B$4:$B$1201,M97)</f>
        <v>0</v>
      </c>
      <c r="V97">
        <v>0</v>
      </c>
      <c r="W97">
        <f>COUNTIFS($H$4:$H$1201,Tabla213[[#Headers],[Alternaria]], $G$4:$G$1201,Tabla213[[#This Row],[Organo]], $B$4:$B$1201,M97)</f>
        <v>0</v>
      </c>
      <c r="X97">
        <f>COUNTIFS($H$4:$H$1201,Tabla213[[#Headers],[Botrytis]], $G$4:$G$1201,Tabla213[[#This Row],[Organo]], $B$4:$B$1201,M97)</f>
        <v>0</v>
      </c>
      <c r="Y97">
        <f>COUNTIFS($H$4:$H$1201,Tabla213[[#Headers],[Colletotrichum]], $G$4:$G$1201,Tabla213[[#This Row],[Organo]], $B$4:$B$1201,M97)</f>
        <v>0</v>
      </c>
      <c r="Z97">
        <f>COUNTIFS($H$4:$H$1201,Tabla213[[#Headers],[Aspergillus]], $G$4:$G$1201,Tabla213[[#This Row],[Organo]], $B$4:$B$1201,M97)</f>
        <v>0</v>
      </c>
      <c r="AA97">
        <f>COUNTIFS($H$4:$H$1201,Tabla213[[#Headers],[NO ID]], $G$4:$G$1201,Tabla213[[#This Row],[Organo]], $B$4:$B$1201,M97)</f>
        <v>0</v>
      </c>
      <c r="AB97">
        <f>COUNTIFS($H$4:$H$1201,Tabla213[[#Headers],[Trichoderma]], $G$4:$G$1201,Tabla213[[#This Row],[Organo]], $B$4:$B$1201,M97)</f>
        <v>0</v>
      </c>
      <c r="AC97">
        <f>COUNTIFS($H$4:$H$1201,Tabla213[[#Headers],[Rizophus]], $G$4:$G$1201,Tabla213[[#This Row],[Organo]], $B$4:$B$1201,M97)</f>
        <v>0</v>
      </c>
      <c r="AD97">
        <f>COUNTIFS($H$4:$H$1201,Tabla213[[#Headers],[FALTANTES]], $G$4:$G$1201,Tabla213[[#This Row],[Organo]], $B$4:$B$1201,M97)</f>
        <v>0</v>
      </c>
      <c r="AK97">
        <v>35.1</v>
      </c>
      <c r="AL97" t="s">
        <v>31</v>
      </c>
      <c r="AM97" t="s">
        <v>121</v>
      </c>
      <c r="AN97" t="s">
        <v>477</v>
      </c>
    </row>
    <row r="98" spans="1:40" x14ac:dyDescent="0.2">
      <c r="A98" s="7">
        <v>94</v>
      </c>
      <c r="B98" s="7">
        <v>3</v>
      </c>
      <c r="C98" s="1" t="str">
        <f t="shared" si="64"/>
        <v>RANCHO ALVAREZ</v>
      </c>
      <c r="D98" s="7" t="s">
        <v>127</v>
      </c>
      <c r="E98" s="1" t="str">
        <f t="shared" si="65"/>
        <v>SAYULA</v>
      </c>
      <c r="F98" s="7">
        <v>2</v>
      </c>
      <c r="G98" s="7" t="s">
        <v>477</v>
      </c>
      <c r="H98" s="7" t="s">
        <v>472</v>
      </c>
      <c r="I98" s="7" t="s">
        <v>472</v>
      </c>
      <c r="J98" s="7">
        <v>94</v>
      </c>
      <c r="K98" s="19" t="s">
        <v>638</v>
      </c>
      <c r="M98">
        <v>35.1</v>
      </c>
      <c r="N98" t="s">
        <v>674</v>
      </c>
      <c r="O98" t="s">
        <v>126</v>
      </c>
      <c r="P98" t="s">
        <v>477</v>
      </c>
      <c r="Q98">
        <f>COUNTIFS($H$4:$H$1201,Tabla213[[#Headers],[Neopestalotiopsis]], $G$4:$G$1201,Tabla213[[#This Row],[Organo]], $B$4:$B$1201,M98)</f>
        <v>2</v>
      </c>
      <c r="R98">
        <f>COUNTIFS($H$4:$H$1201,Tabla213[[#Headers],[Fusarium]], $G$4:$G$1201,Tabla213[[#This Row],[Organo]], $B$4:$B$1201,M98)</f>
        <v>2</v>
      </c>
      <c r="S98">
        <f>COUNTIFS($H$4:$H$1201,Tabla213[[#Headers],[Cylindrocarpon]], $G$4:$G$1201,Tabla213[[#This Row],[Organo]], $B$4:$B$1201,M98)</f>
        <v>5</v>
      </c>
      <c r="T98">
        <f>COUNTIFS($H$4:$H$1201,Tabla213[[#Headers],[Macrophomina]], $G$4:$G$1201,Tabla213[[#This Row],[Organo]], $B$4:$B$1201,M98)</f>
        <v>0</v>
      </c>
      <c r="U98">
        <f>COUNTIFS($H$4:$H$1201,Tabla213[[#Headers],[Rhizoctonia]], $G$4:$G$1201,Tabla213[[#This Row],[Organo]], $B$4:$B$1201,M98)</f>
        <v>0</v>
      </c>
      <c r="V98">
        <v>0</v>
      </c>
      <c r="W98">
        <f>COUNTIFS($H$4:$H$1201,Tabla213[[#Headers],[Alternaria]], $G$4:$G$1201,Tabla213[[#This Row],[Organo]], $B$4:$B$1201,M98)</f>
        <v>0</v>
      </c>
      <c r="X98">
        <f>COUNTIFS($H$4:$H$1201,Tabla213[[#Headers],[Botrytis]], $G$4:$G$1201,Tabla213[[#This Row],[Organo]], $B$4:$B$1201,M98)</f>
        <v>0</v>
      </c>
      <c r="Y98">
        <f>COUNTIFS($H$4:$H$1201,Tabla213[[#Headers],[Colletotrichum]], $G$4:$G$1201,Tabla213[[#This Row],[Organo]], $B$4:$B$1201,M98)</f>
        <v>0</v>
      </c>
      <c r="Z98">
        <f>COUNTIFS($H$4:$H$1201,Tabla213[[#Headers],[Aspergillus]], $G$4:$G$1201,Tabla213[[#This Row],[Organo]], $B$4:$B$1201,M98)</f>
        <v>0</v>
      </c>
      <c r="AA98">
        <f>COUNTIFS($H$4:$H$1201,Tabla213[[#Headers],[NO ID]], $G$4:$G$1201,Tabla213[[#This Row],[Organo]], $B$4:$B$1201,M98)</f>
        <v>1</v>
      </c>
      <c r="AB98">
        <f>COUNTIFS($H$4:$H$1201,Tabla213[[#Headers],[Trichoderma]], $G$4:$G$1201,Tabla213[[#This Row],[Organo]], $B$4:$B$1201,M98)</f>
        <v>1</v>
      </c>
      <c r="AC98">
        <f>COUNTIFS($H$4:$H$1201,Tabla213[[#Headers],[Rizophus]], $G$4:$G$1201,Tabla213[[#This Row],[Organo]], $B$4:$B$1201,M98)</f>
        <v>0</v>
      </c>
      <c r="AD98">
        <f>COUNTIFS($H$4:$H$1201,Tabla213[[#Headers],[FALTANTES]], $G$4:$G$1201,Tabla213[[#This Row],[Organo]], $B$4:$B$1201,M98)</f>
        <v>0</v>
      </c>
      <c r="AF98">
        <f t="shared" ref="AF98" si="94">SUM(Q97:AD98)</f>
        <v>11</v>
      </c>
      <c r="AG98">
        <f>COUNTIF($B$5:$B$1201, Tabla213[[#This Row],[Num. Parcela]])</f>
        <v>11</v>
      </c>
      <c r="AH98" t="b">
        <f t="shared" ref="AH98" si="95">IF(AF98=AG98, TRUE)</f>
        <v>1</v>
      </c>
      <c r="AK98">
        <v>35.1</v>
      </c>
      <c r="AL98" t="s">
        <v>31</v>
      </c>
      <c r="AM98" t="s">
        <v>121</v>
      </c>
      <c r="AN98" t="s">
        <v>476</v>
      </c>
    </row>
    <row r="99" spans="1:40" x14ac:dyDescent="0.2">
      <c r="A99" s="7">
        <v>95</v>
      </c>
      <c r="B99" s="7">
        <v>3</v>
      </c>
      <c r="C99" s="1" t="str">
        <f t="shared" si="64"/>
        <v>RANCHO ALVAREZ</v>
      </c>
      <c r="D99" s="7" t="s">
        <v>127</v>
      </c>
      <c r="E99" s="1" t="str">
        <f t="shared" si="65"/>
        <v>SAYULA</v>
      </c>
      <c r="F99" s="7">
        <v>2</v>
      </c>
      <c r="G99" s="7" t="s">
        <v>477</v>
      </c>
      <c r="H99" s="7" t="s">
        <v>471</v>
      </c>
      <c r="I99" s="7" t="s">
        <v>471</v>
      </c>
      <c r="J99" s="7">
        <v>95</v>
      </c>
      <c r="K99" s="7"/>
      <c r="M99">
        <v>35.200000000000003</v>
      </c>
      <c r="N99" t="s">
        <v>675</v>
      </c>
      <c r="O99" t="s">
        <v>114</v>
      </c>
      <c r="P99" t="s">
        <v>476</v>
      </c>
      <c r="Q99">
        <f>COUNTIFS($H$4:$H$1201,Tabla213[[#Headers],[Neopestalotiopsis]], $G$4:$G$1201,Tabla213[[#This Row],[Organo]], $B$4:$B$1201,M99)</f>
        <v>1</v>
      </c>
      <c r="R99">
        <f>COUNTIFS($H$4:$H$1201,Tabla213[[#Headers],[Fusarium]], $G$4:$G$1201,Tabla213[[#This Row],[Organo]], $B$4:$B$1201,M99)</f>
        <v>0</v>
      </c>
      <c r="S99">
        <f>COUNTIFS($H$4:$H$1201,Tabla213[[#Headers],[Cylindrocarpon]], $G$4:$G$1201,Tabla213[[#This Row],[Organo]], $B$4:$B$1201,M99)</f>
        <v>0</v>
      </c>
      <c r="T99">
        <f>COUNTIFS($H$4:$H$1201,Tabla213[[#Headers],[Macrophomina]], $G$4:$G$1201,Tabla213[[#This Row],[Organo]], $B$4:$B$1201,M99)</f>
        <v>1</v>
      </c>
      <c r="U99">
        <f>COUNTIFS($H$4:$H$1201,Tabla213[[#Headers],[Rhizoctonia]], $G$4:$G$1201,Tabla213[[#This Row],[Organo]], $B$4:$B$1201,M99)</f>
        <v>0</v>
      </c>
      <c r="V99">
        <v>0</v>
      </c>
      <c r="W99">
        <f>COUNTIFS($H$4:$H$1201,Tabla213[[#Headers],[Alternaria]], $G$4:$G$1201,Tabla213[[#This Row],[Organo]], $B$4:$B$1201,M99)</f>
        <v>0</v>
      </c>
      <c r="X99">
        <f>COUNTIFS($H$4:$H$1201,Tabla213[[#Headers],[Botrytis]], $G$4:$G$1201,Tabla213[[#This Row],[Organo]], $B$4:$B$1201,M99)</f>
        <v>0</v>
      </c>
      <c r="Y99">
        <f>COUNTIFS($H$4:$H$1201,Tabla213[[#Headers],[Colletotrichum]], $G$4:$G$1201,Tabla213[[#This Row],[Organo]], $B$4:$B$1201,M99)</f>
        <v>0</v>
      </c>
      <c r="Z99">
        <f>COUNTIFS($H$4:$H$1201,Tabla213[[#Headers],[Aspergillus]], $G$4:$G$1201,Tabla213[[#This Row],[Organo]], $B$4:$B$1201,M99)</f>
        <v>0</v>
      </c>
      <c r="AA99">
        <f>COUNTIFS($H$4:$H$1201,Tabla213[[#Headers],[NO ID]], $G$4:$G$1201,Tabla213[[#This Row],[Organo]], $B$4:$B$1201,M99)</f>
        <v>0</v>
      </c>
      <c r="AB99">
        <f>COUNTIFS($H$4:$H$1201,Tabla213[[#Headers],[Trichoderma]], $G$4:$G$1201,Tabla213[[#This Row],[Organo]], $B$4:$B$1201,M99)</f>
        <v>0</v>
      </c>
      <c r="AC99">
        <f>COUNTIFS($H$4:$H$1201,Tabla213[[#Headers],[Rizophus]], $G$4:$G$1201,Tabla213[[#This Row],[Organo]], $B$4:$B$1201,M99)</f>
        <v>0</v>
      </c>
      <c r="AD99">
        <f>COUNTIFS($H$4:$H$1201,Tabla213[[#Headers],[FALTANTES]], $G$4:$G$1201,Tabla213[[#This Row],[Organo]], $B$4:$B$1201,M99)</f>
        <v>0</v>
      </c>
      <c r="AK99">
        <v>35.200000000000003</v>
      </c>
      <c r="AL99" t="s">
        <v>31</v>
      </c>
      <c r="AM99" t="s">
        <v>114</v>
      </c>
      <c r="AN99" t="s">
        <v>477</v>
      </c>
    </row>
    <row r="100" spans="1:40" x14ac:dyDescent="0.2">
      <c r="A100" s="7">
        <v>96</v>
      </c>
      <c r="B100" s="7">
        <v>4.0999999999999996</v>
      </c>
      <c r="C100" s="1" t="str">
        <f t="shared" si="64"/>
        <v>CANINDO 2</v>
      </c>
      <c r="D100" s="7" t="s">
        <v>127</v>
      </c>
      <c r="E100" s="1" t="str">
        <f t="shared" si="65"/>
        <v>SAYULA</v>
      </c>
      <c r="F100" s="7">
        <v>1</v>
      </c>
      <c r="G100" s="7" t="s">
        <v>476</v>
      </c>
      <c r="H100" s="7" t="s">
        <v>155</v>
      </c>
      <c r="I100" s="7" t="s">
        <v>155</v>
      </c>
      <c r="J100" s="7">
        <v>96</v>
      </c>
      <c r="K100" s="19" t="s">
        <v>638</v>
      </c>
      <c r="M100">
        <v>35.200000000000003</v>
      </c>
      <c r="N100" t="s">
        <v>675</v>
      </c>
      <c r="O100" t="s">
        <v>114</v>
      </c>
      <c r="P100" t="s">
        <v>477</v>
      </c>
      <c r="Q100">
        <f>COUNTIFS($H$4:$H$1201,Tabla213[[#Headers],[Neopestalotiopsis]], $G$4:$G$1201,Tabla213[[#This Row],[Organo]], $B$4:$B$1201,M100)</f>
        <v>0</v>
      </c>
      <c r="R100">
        <f>COUNTIFS($H$4:$H$1201,Tabla213[[#Headers],[Fusarium]], $G$4:$G$1201,Tabla213[[#This Row],[Organo]], $B$4:$B$1201,M100)</f>
        <v>1</v>
      </c>
      <c r="S100">
        <f>COUNTIFS($H$4:$H$1201,Tabla213[[#Headers],[Cylindrocarpon]], $G$4:$G$1201,Tabla213[[#This Row],[Organo]], $B$4:$B$1201,M100)</f>
        <v>0</v>
      </c>
      <c r="T100">
        <f>COUNTIFS($H$4:$H$1201,Tabla213[[#Headers],[Macrophomina]], $G$4:$G$1201,Tabla213[[#This Row],[Organo]], $B$4:$B$1201,M100)</f>
        <v>0</v>
      </c>
      <c r="U100">
        <f>COUNTIFS($H$4:$H$1201,Tabla213[[#Headers],[Rhizoctonia]], $G$4:$G$1201,Tabla213[[#This Row],[Organo]], $B$4:$B$1201,M100)</f>
        <v>1</v>
      </c>
      <c r="V100">
        <v>0</v>
      </c>
      <c r="W100">
        <f>COUNTIFS($H$4:$H$1201,Tabla213[[#Headers],[Alternaria]], $G$4:$G$1201,Tabla213[[#This Row],[Organo]], $B$4:$B$1201,M100)</f>
        <v>0</v>
      </c>
      <c r="X100">
        <f>COUNTIFS($H$4:$H$1201,Tabla213[[#Headers],[Botrytis]], $G$4:$G$1201,Tabla213[[#This Row],[Organo]], $B$4:$B$1201,M100)</f>
        <v>0</v>
      </c>
      <c r="Y100">
        <f>COUNTIFS($H$4:$H$1201,Tabla213[[#Headers],[Colletotrichum]], $G$4:$G$1201,Tabla213[[#This Row],[Organo]], $B$4:$B$1201,M100)</f>
        <v>0</v>
      </c>
      <c r="Z100">
        <f>COUNTIFS($H$4:$H$1201,Tabla213[[#Headers],[Aspergillus]], $G$4:$G$1201,Tabla213[[#This Row],[Organo]], $B$4:$B$1201,M100)</f>
        <v>0</v>
      </c>
      <c r="AA100">
        <f>COUNTIFS($H$4:$H$1201,Tabla213[[#Headers],[NO ID]], $G$4:$G$1201,Tabla213[[#This Row],[Organo]], $B$4:$B$1201,M100)</f>
        <v>0</v>
      </c>
      <c r="AB100">
        <f>COUNTIFS($H$4:$H$1201,Tabla213[[#Headers],[Trichoderma]], $G$4:$G$1201,Tabla213[[#This Row],[Organo]], $B$4:$B$1201,M100)</f>
        <v>0</v>
      </c>
      <c r="AC100">
        <f>COUNTIFS($H$4:$H$1201,Tabla213[[#Headers],[Rizophus]], $G$4:$G$1201,Tabla213[[#This Row],[Organo]], $B$4:$B$1201,M100)</f>
        <v>0</v>
      </c>
      <c r="AD100">
        <f>COUNTIFS($H$4:$H$1201,Tabla213[[#Headers],[FALTANTES]], $G$4:$G$1201,Tabla213[[#This Row],[Organo]], $B$4:$B$1201,M100)</f>
        <v>0</v>
      </c>
      <c r="AF100">
        <f t="shared" ref="AF100" si="96">SUM(Q99:AD100)</f>
        <v>4</v>
      </c>
      <c r="AG100">
        <f>COUNTIF($B$5:$B$1201, Tabla213[[#This Row],[Num. Parcela]])</f>
        <v>4</v>
      </c>
      <c r="AH100" t="b">
        <f t="shared" ref="AH100" si="97">IF(AF100=AG100, TRUE)</f>
        <v>1</v>
      </c>
      <c r="AK100">
        <v>35.200000000000003</v>
      </c>
      <c r="AL100" t="s">
        <v>31</v>
      </c>
      <c r="AM100" t="s">
        <v>114</v>
      </c>
      <c r="AN100" t="s">
        <v>476</v>
      </c>
    </row>
    <row r="101" spans="1:40" x14ac:dyDescent="0.2">
      <c r="A101" s="7">
        <v>97</v>
      </c>
      <c r="B101" s="7">
        <v>4.0999999999999996</v>
      </c>
      <c r="C101" s="1" t="str">
        <f t="shared" si="64"/>
        <v>CANINDO 2</v>
      </c>
      <c r="D101" s="7" t="s">
        <v>127</v>
      </c>
      <c r="E101" s="1" t="str">
        <f t="shared" si="65"/>
        <v>SAYULA</v>
      </c>
      <c r="F101" s="7">
        <v>1</v>
      </c>
      <c r="G101" s="7" t="s">
        <v>476</v>
      </c>
      <c r="H101" s="7" t="s">
        <v>155</v>
      </c>
      <c r="I101" s="7" t="s">
        <v>155</v>
      </c>
      <c r="J101" s="7">
        <v>97</v>
      </c>
      <c r="K101" s="7"/>
      <c r="L101">
        <v>1</v>
      </c>
      <c r="M101">
        <v>36</v>
      </c>
      <c r="N101" t="s">
        <v>678</v>
      </c>
      <c r="O101" t="s">
        <v>115</v>
      </c>
      <c r="P101" t="s">
        <v>476</v>
      </c>
      <c r="Q101">
        <f>COUNTIFS($H$4:$H$1201,Tabla213[[#Headers],[Neopestalotiopsis]], $G$4:$G$1201,Tabla213[[#This Row],[Organo]], $B$4:$B$1201,M101)</f>
        <v>0</v>
      </c>
      <c r="R101">
        <f>COUNTIFS($H$4:$H$1201,Tabla213[[#Headers],[Fusarium]], $G$4:$G$1201,Tabla213[[#This Row],[Organo]], $B$4:$B$1201,M101)</f>
        <v>0</v>
      </c>
      <c r="S101">
        <f>COUNTIFS($H$4:$H$1201,Tabla213[[#Headers],[Cylindrocarpon]], $G$4:$G$1201,Tabla213[[#This Row],[Organo]], $B$4:$B$1201,M101)</f>
        <v>0</v>
      </c>
      <c r="T101">
        <f>COUNTIFS($H$4:$H$1201,Tabla213[[#Headers],[Macrophomina]], $G$4:$G$1201,Tabla213[[#This Row],[Organo]], $B$4:$B$1201,M101)</f>
        <v>0</v>
      </c>
      <c r="U101">
        <f>COUNTIFS($H$4:$H$1201,Tabla213[[#Headers],[Rhizoctonia]], $G$4:$G$1201,Tabla213[[#This Row],[Organo]], $B$4:$B$1201,M101)</f>
        <v>0</v>
      </c>
      <c r="V101">
        <v>0</v>
      </c>
      <c r="W101">
        <f>COUNTIFS($H$4:$H$1201,Tabla213[[#Headers],[Alternaria]], $G$4:$G$1201,Tabla213[[#This Row],[Organo]], $B$4:$B$1201,M101)</f>
        <v>0</v>
      </c>
      <c r="X101">
        <f>COUNTIFS($H$4:$H$1201,Tabla213[[#Headers],[Botrytis]], $G$4:$G$1201,Tabla213[[#This Row],[Organo]], $B$4:$B$1201,M101)</f>
        <v>0</v>
      </c>
      <c r="Y101">
        <f>COUNTIFS($H$4:$H$1201,Tabla213[[#Headers],[Colletotrichum]], $G$4:$G$1201,Tabla213[[#This Row],[Organo]], $B$4:$B$1201,M101)</f>
        <v>0</v>
      </c>
      <c r="Z101">
        <f>COUNTIFS($H$4:$H$1201,Tabla213[[#Headers],[Aspergillus]], $G$4:$G$1201,Tabla213[[#This Row],[Organo]], $B$4:$B$1201,M101)</f>
        <v>0</v>
      </c>
      <c r="AA101">
        <f>COUNTIFS($H$4:$H$1201,Tabla213[[#Headers],[NO ID]], $G$4:$G$1201,Tabla213[[#This Row],[Organo]], $B$4:$B$1201,M101)</f>
        <v>0</v>
      </c>
      <c r="AB101">
        <f>COUNTIFS($H$4:$H$1201,Tabla213[[#Headers],[Trichoderma]], $G$4:$G$1201,Tabla213[[#This Row],[Organo]], $B$4:$B$1201,M101)</f>
        <v>0</v>
      </c>
      <c r="AC101">
        <f>COUNTIFS($H$4:$H$1201,Tabla213[[#Headers],[Rizophus]], $G$4:$G$1201,Tabla213[[#This Row],[Organo]], $B$4:$B$1201,M101)</f>
        <v>0</v>
      </c>
      <c r="AD101">
        <f>COUNTIFS($H$4:$H$1201,Tabla213[[#Headers],[FALTANTES]], $G$4:$G$1201,Tabla213[[#This Row],[Organo]], $B$4:$B$1201,M101)</f>
        <v>0</v>
      </c>
      <c r="AK101">
        <v>36</v>
      </c>
      <c r="AL101" t="s">
        <v>32</v>
      </c>
      <c r="AM101" t="s">
        <v>115</v>
      </c>
      <c r="AN101" t="s">
        <v>477</v>
      </c>
    </row>
    <row r="102" spans="1:40" x14ac:dyDescent="0.2">
      <c r="A102" s="7">
        <v>98</v>
      </c>
      <c r="B102" s="7">
        <v>4.0999999999999996</v>
      </c>
      <c r="C102" s="1" t="str">
        <f t="shared" si="64"/>
        <v>CANINDO 2</v>
      </c>
      <c r="D102" s="7" t="s">
        <v>127</v>
      </c>
      <c r="E102" s="1" t="str">
        <f t="shared" si="65"/>
        <v>SAYULA</v>
      </c>
      <c r="F102" s="7">
        <v>1</v>
      </c>
      <c r="G102" s="7" t="s">
        <v>476</v>
      </c>
      <c r="H102" s="7" t="s">
        <v>155</v>
      </c>
      <c r="I102" s="7" t="s">
        <v>155</v>
      </c>
      <c r="J102" s="7">
        <v>98</v>
      </c>
      <c r="K102" s="7"/>
      <c r="M102">
        <v>36</v>
      </c>
      <c r="N102" t="s">
        <v>678</v>
      </c>
      <c r="O102" t="s">
        <v>115</v>
      </c>
      <c r="P102" t="s">
        <v>477</v>
      </c>
      <c r="Q102">
        <f>COUNTIFS($H$4:$H$1201,Tabla213[[#Headers],[Neopestalotiopsis]], $G$4:$G$1201,Tabla213[[#This Row],[Organo]], $B$4:$B$1201,M102)</f>
        <v>0</v>
      </c>
      <c r="R102">
        <f>COUNTIFS($H$4:$H$1201,Tabla213[[#Headers],[Fusarium]], $G$4:$G$1201,Tabla213[[#This Row],[Organo]], $B$4:$B$1201,M102)</f>
        <v>0</v>
      </c>
      <c r="S102">
        <f>COUNTIFS($H$4:$H$1201,Tabla213[[#Headers],[Cylindrocarpon]], $G$4:$G$1201,Tabla213[[#This Row],[Organo]], $B$4:$B$1201,M102)</f>
        <v>0</v>
      </c>
      <c r="T102">
        <f>COUNTIFS($H$4:$H$1201,Tabla213[[#Headers],[Macrophomina]], $G$4:$G$1201,Tabla213[[#This Row],[Organo]], $B$4:$B$1201,M102)</f>
        <v>0</v>
      </c>
      <c r="U102">
        <f>COUNTIFS($H$4:$H$1201,Tabla213[[#Headers],[Rhizoctonia]], $G$4:$G$1201,Tabla213[[#This Row],[Organo]], $B$4:$B$1201,M102)</f>
        <v>0</v>
      </c>
      <c r="V102">
        <v>0</v>
      </c>
      <c r="W102">
        <f>COUNTIFS($H$4:$H$1201,Tabla213[[#Headers],[Alternaria]], $G$4:$G$1201,Tabla213[[#This Row],[Organo]], $B$4:$B$1201,M102)</f>
        <v>0</v>
      </c>
      <c r="X102">
        <f>COUNTIFS($H$4:$H$1201,Tabla213[[#Headers],[Botrytis]], $G$4:$G$1201,Tabla213[[#This Row],[Organo]], $B$4:$B$1201,M102)</f>
        <v>0</v>
      </c>
      <c r="Y102">
        <f>COUNTIFS($H$4:$H$1201,Tabla213[[#Headers],[Colletotrichum]], $G$4:$G$1201,Tabla213[[#This Row],[Organo]], $B$4:$B$1201,M102)</f>
        <v>0</v>
      </c>
      <c r="Z102">
        <f>COUNTIFS($H$4:$H$1201,Tabla213[[#Headers],[Aspergillus]], $G$4:$G$1201,Tabla213[[#This Row],[Organo]], $B$4:$B$1201,M102)</f>
        <v>0</v>
      </c>
      <c r="AA102">
        <f>COUNTIFS($H$4:$H$1201,Tabla213[[#Headers],[NO ID]], $G$4:$G$1201,Tabla213[[#This Row],[Organo]], $B$4:$B$1201,M102)</f>
        <v>0</v>
      </c>
      <c r="AB102">
        <f>COUNTIFS($H$4:$H$1201,Tabla213[[#Headers],[Trichoderma]], $G$4:$G$1201,Tabla213[[#This Row],[Organo]], $B$4:$B$1201,M102)</f>
        <v>0</v>
      </c>
      <c r="AC102">
        <f>COUNTIFS($H$4:$H$1201,Tabla213[[#Headers],[Rizophus]], $G$4:$G$1201,Tabla213[[#This Row],[Organo]], $B$4:$B$1201,M102)</f>
        <v>0</v>
      </c>
      <c r="AD102">
        <f>COUNTIFS($H$4:$H$1201,Tabla213[[#Headers],[FALTANTES]], $G$4:$G$1201,Tabla213[[#This Row],[Organo]], $B$4:$B$1201,M102)</f>
        <v>0</v>
      </c>
      <c r="AF102">
        <f t="shared" ref="AF102" si="98">SUM(Q101:AD102)</f>
        <v>0</v>
      </c>
      <c r="AG102">
        <f>COUNTIF($B$5:$B$1201, Tabla213[[#This Row],[Num. Parcela]])</f>
        <v>0</v>
      </c>
      <c r="AH102" t="b">
        <f t="shared" ref="AH102" si="99">IF(AF102=AG102, TRUE)</f>
        <v>1</v>
      </c>
      <c r="AK102">
        <v>36</v>
      </c>
      <c r="AL102" t="s">
        <v>32</v>
      </c>
      <c r="AM102" t="s">
        <v>115</v>
      </c>
      <c r="AN102" t="s">
        <v>476</v>
      </c>
    </row>
    <row r="103" spans="1:40" x14ac:dyDescent="0.2">
      <c r="A103" s="7">
        <v>99</v>
      </c>
      <c r="B103" s="7">
        <v>4.0999999999999996</v>
      </c>
      <c r="C103" s="1" t="str">
        <f t="shared" si="64"/>
        <v>CANINDO 2</v>
      </c>
      <c r="D103" s="7" t="s">
        <v>127</v>
      </c>
      <c r="E103" s="1" t="str">
        <f t="shared" si="65"/>
        <v>SAYULA</v>
      </c>
      <c r="F103" s="7">
        <v>2</v>
      </c>
      <c r="G103" s="7" t="s">
        <v>476</v>
      </c>
      <c r="H103" s="7" t="s">
        <v>155</v>
      </c>
      <c r="I103" s="7" t="s">
        <v>155</v>
      </c>
      <c r="J103" s="8">
        <v>99</v>
      </c>
      <c r="K103" s="19" t="s">
        <v>638</v>
      </c>
      <c r="M103">
        <v>36.1</v>
      </c>
      <c r="N103" t="s">
        <v>677</v>
      </c>
      <c r="O103" t="s">
        <v>122</v>
      </c>
      <c r="P103" t="s">
        <v>476</v>
      </c>
      <c r="Q103">
        <f>COUNTIFS($H$4:$H$1201,Tabla213[[#Headers],[Neopestalotiopsis]], $G$4:$G$1201,Tabla213[[#This Row],[Organo]], $B$4:$B$1201,M103)</f>
        <v>0</v>
      </c>
      <c r="R103">
        <f>COUNTIFS($H$4:$H$1201,Tabla213[[#Headers],[Fusarium]], $G$4:$G$1201,Tabla213[[#This Row],[Organo]], $B$4:$B$1201,M103)</f>
        <v>1</v>
      </c>
      <c r="S103">
        <f>COUNTIFS($H$4:$H$1201,Tabla213[[#Headers],[Cylindrocarpon]], $G$4:$G$1201,Tabla213[[#This Row],[Organo]], $B$4:$B$1201,M103)</f>
        <v>0</v>
      </c>
      <c r="T103">
        <f>COUNTIFS($H$4:$H$1201,Tabla213[[#Headers],[Macrophomina]], $G$4:$G$1201,Tabla213[[#This Row],[Organo]], $B$4:$B$1201,M103)</f>
        <v>0</v>
      </c>
      <c r="U103">
        <f>COUNTIFS($H$4:$H$1201,Tabla213[[#Headers],[Rhizoctonia]], $G$4:$G$1201,Tabla213[[#This Row],[Organo]], $B$4:$B$1201,M103)</f>
        <v>0</v>
      </c>
      <c r="V103">
        <v>0</v>
      </c>
      <c r="W103">
        <f>COUNTIFS($H$4:$H$1201,Tabla213[[#Headers],[Alternaria]], $G$4:$G$1201,Tabla213[[#This Row],[Organo]], $B$4:$B$1201,M103)</f>
        <v>0</v>
      </c>
      <c r="X103">
        <f>COUNTIFS($H$4:$H$1201,Tabla213[[#Headers],[Botrytis]], $G$4:$G$1201,Tabla213[[#This Row],[Organo]], $B$4:$B$1201,M103)</f>
        <v>0</v>
      </c>
      <c r="Y103">
        <f>COUNTIFS($H$4:$H$1201,Tabla213[[#Headers],[Colletotrichum]], $G$4:$G$1201,Tabla213[[#This Row],[Organo]], $B$4:$B$1201,M103)</f>
        <v>0</v>
      </c>
      <c r="Z103">
        <f>COUNTIFS($H$4:$H$1201,Tabla213[[#Headers],[Aspergillus]], $G$4:$G$1201,Tabla213[[#This Row],[Organo]], $B$4:$B$1201,M103)</f>
        <v>0</v>
      </c>
      <c r="AA103">
        <f>COUNTIFS($H$4:$H$1201,Tabla213[[#Headers],[NO ID]], $G$4:$G$1201,Tabla213[[#This Row],[Organo]], $B$4:$B$1201,M103)</f>
        <v>0</v>
      </c>
      <c r="AB103">
        <f>COUNTIFS($H$4:$H$1201,Tabla213[[#Headers],[Trichoderma]], $G$4:$G$1201,Tabla213[[#This Row],[Organo]], $B$4:$B$1201,M103)</f>
        <v>0</v>
      </c>
      <c r="AC103">
        <f>COUNTIFS($H$4:$H$1201,Tabla213[[#Headers],[Rizophus]], $G$4:$G$1201,Tabla213[[#This Row],[Organo]], $B$4:$B$1201,M103)</f>
        <v>0</v>
      </c>
      <c r="AD103">
        <f>COUNTIFS($H$4:$H$1201,Tabla213[[#Headers],[FALTANTES]], $G$4:$G$1201,Tabla213[[#This Row],[Organo]], $B$4:$B$1201,M103)</f>
        <v>0</v>
      </c>
      <c r="AK103">
        <v>36.1</v>
      </c>
      <c r="AL103" t="s">
        <v>32</v>
      </c>
      <c r="AM103" t="s">
        <v>122</v>
      </c>
      <c r="AN103" t="s">
        <v>477</v>
      </c>
    </row>
    <row r="104" spans="1:40" x14ac:dyDescent="0.2">
      <c r="A104" s="7">
        <v>100</v>
      </c>
      <c r="B104" s="7">
        <v>4.0999999999999996</v>
      </c>
      <c r="C104" s="1" t="str">
        <f t="shared" si="64"/>
        <v>CANINDO 2</v>
      </c>
      <c r="D104" s="7" t="s">
        <v>127</v>
      </c>
      <c r="E104" s="1" t="str">
        <f t="shared" si="65"/>
        <v>SAYULA</v>
      </c>
      <c r="F104" s="7">
        <v>2</v>
      </c>
      <c r="G104" s="7" t="s">
        <v>476</v>
      </c>
      <c r="H104" s="7" t="s">
        <v>485</v>
      </c>
      <c r="I104" s="12" t="s">
        <v>485</v>
      </c>
      <c r="J104" s="12">
        <v>100</v>
      </c>
      <c r="K104" s="7"/>
      <c r="L104">
        <v>1</v>
      </c>
      <c r="M104">
        <v>36.1</v>
      </c>
      <c r="N104" t="s">
        <v>677</v>
      </c>
      <c r="O104" t="s">
        <v>122</v>
      </c>
      <c r="P104" t="s">
        <v>477</v>
      </c>
      <c r="Q104">
        <f>COUNTIFS($H$4:$H$1201,Tabla213[[#Headers],[Neopestalotiopsis]], $G$4:$G$1201,Tabla213[[#This Row],[Organo]], $B$4:$B$1201,M104)</f>
        <v>0</v>
      </c>
      <c r="R104">
        <f>COUNTIFS($H$4:$H$1201,Tabla213[[#Headers],[Fusarium]], $G$4:$G$1201,Tabla213[[#This Row],[Organo]], $B$4:$B$1201,M104)</f>
        <v>0</v>
      </c>
      <c r="S104">
        <f>COUNTIFS($H$4:$H$1201,Tabla213[[#Headers],[Cylindrocarpon]], $G$4:$G$1201,Tabla213[[#This Row],[Organo]], $B$4:$B$1201,M104)</f>
        <v>1</v>
      </c>
      <c r="T104">
        <f>COUNTIFS($H$4:$H$1201,Tabla213[[#Headers],[Macrophomina]], $G$4:$G$1201,Tabla213[[#This Row],[Organo]], $B$4:$B$1201,M104)</f>
        <v>0</v>
      </c>
      <c r="U104">
        <f>COUNTIFS($H$4:$H$1201,Tabla213[[#Headers],[Rhizoctonia]], $G$4:$G$1201,Tabla213[[#This Row],[Organo]], $B$4:$B$1201,M104)</f>
        <v>0</v>
      </c>
      <c r="V104">
        <v>0</v>
      </c>
      <c r="W104">
        <f>COUNTIFS($H$4:$H$1201,Tabla213[[#Headers],[Alternaria]], $G$4:$G$1201,Tabla213[[#This Row],[Organo]], $B$4:$B$1201,M104)</f>
        <v>0</v>
      </c>
      <c r="X104">
        <f>COUNTIFS($H$4:$H$1201,Tabla213[[#Headers],[Botrytis]], $G$4:$G$1201,Tabla213[[#This Row],[Organo]], $B$4:$B$1201,M104)</f>
        <v>0</v>
      </c>
      <c r="Y104">
        <f>COUNTIFS($H$4:$H$1201,Tabla213[[#Headers],[Colletotrichum]], $G$4:$G$1201,Tabla213[[#This Row],[Organo]], $B$4:$B$1201,M104)</f>
        <v>0</v>
      </c>
      <c r="Z104">
        <f>COUNTIFS($H$4:$H$1201,Tabla213[[#Headers],[Aspergillus]], $G$4:$G$1201,Tabla213[[#This Row],[Organo]], $B$4:$B$1201,M104)</f>
        <v>0</v>
      </c>
      <c r="AA104">
        <f>COUNTIFS($H$4:$H$1201,Tabla213[[#Headers],[NO ID]], $G$4:$G$1201,Tabla213[[#This Row],[Organo]], $B$4:$B$1201,M104)</f>
        <v>1</v>
      </c>
      <c r="AB104">
        <f>COUNTIFS($H$4:$H$1201,Tabla213[[#Headers],[Trichoderma]], $G$4:$G$1201,Tabla213[[#This Row],[Organo]], $B$4:$B$1201,M104)</f>
        <v>1</v>
      </c>
      <c r="AC104">
        <f>COUNTIFS($H$4:$H$1201,Tabla213[[#Headers],[Rizophus]], $G$4:$G$1201,Tabla213[[#This Row],[Organo]], $B$4:$B$1201,M104)</f>
        <v>0</v>
      </c>
      <c r="AD104">
        <f>COUNTIFS($H$4:$H$1201,Tabla213[[#Headers],[FALTANTES]], $G$4:$G$1201,Tabla213[[#This Row],[Organo]], $B$4:$B$1201,M104)</f>
        <v>0</v>
      </c>
      <c r="AF104">
        <f t="shared" ref="AF104" si="100">SUM(Q103:AD104)</f>
        <v>4</v>
      </c>
      <c r="AG104">
        <f>COUNTIF($B$5:$B$1201, Tabla213[[#This Row],[Num. Parcela]])</f>
        <v>4</v>
      </c>
      <c r="AH104" t="b">
        <f t="shared" ref="AH104" si="101">IF(AF104=AG104, TRUE)</f>
        <v>1</v>
      </c>
      <c r="AK104">
        <v>36.1</v>
      </c>
      <c r="AL104" t="s">
        <v>32</v>
      </c>
      <c r="AM104" t="s">
        <v>122</v>
      </c>
      <c r="AN104" t="s">
        <v>476</v>
      </c>
    </row>
    <row r="105" spans="1:40" x14ac:dyDescent="0.2">
      <c r="A105" s="7">
        <v>101</v>
      </c>
      <c r="B105" s="7">
        <v>4.0999999999999996</v>
      </c>
      <c r="C105" s="1" t="str">
        <f t="shared" si="64"/>
        <v>CANINDO 2</v>
      </c>
      <c r="D105" s="7" t="s">
        <v>127</v>
      </c>
      <c r="E105" s="1" t="str">
        <f t="shared" si="65"/>
        <v>SAYULA</v>
      </c>
      <c r="F105" s="7">
        <v>2</v>
      </c>
      <c r="G105" s="7" t="s">
        <v>476</v>
      </c>
      <c r="H105" s="7" t="s">
        <v>475</v>
      </c>
      <c r="I105" s="9" t="s">
        <v>475</v>
      </c>
      <c r="J105" s="9">
        <v>101</v>
      </c>
      <c r="K105" s="7"/>
      <c r="L105">
        <v>1</v>
      </c>
      <c r="M105">
        <v>36.200000000000003</v>
      </c>
      <c r="N105" t="s">
        <v>676</v>
      </c>
      <c r="O105" t="s">
        <v>83</v>
      </c>
      <c r="P105" t="s">
        <v>476</v>
      </c>
      <c r="Q105">
        <f>COUNTIFS($H$4:$H$1201,Tabla213[[#Headers],[Neopestalotiopsis]], $G$4:$G$1201,Tabla213[[#This Row],[Organo]], $B$4:$B$1201,M105)</f>
        <v>0</v>
      </c>
      <c r="R105">
        <f>COUNTIFS($H$4:$H$1201,Tabla213[[#Headers],[Fusarium]], $G$4:$G$1201,Tabla213[[#This Row],[Organo]], $B$4:$B$1201,M105)</f>
        <v>1</v>
      </c>
      <c r="S105">
        <f>COUNTIFS($H$4:$H$1201,Tabla213[[#Headers],[Cylindrocarpon]], $G$4:$G$1201,Tabla213[[#This Row],[Organo]], $B$4:$B$1201,M105)</f>
        <v>0</v>
      </c>
      <c r="T105">
        <f>COUNTIFS($H$4:$H$1201,Tabla213[[#Headers],[Macrophomina]], $G$4:$G$1201,Tabla213[[#This Row],[Organo]], $B$4:$B$1201,M105)</f>
        <v>0</v>
      </c>
      <c r="U105">
        <f>COUNTIFS($H$4:$H$1201,Tabla213[[#Headers],[Rhizoctonia]], $G$4:$G$1201,Tabla213[[#This Row],[Organo]], $B$4:$B$1201,M105)</f>
        <v>0</v>
      </c>
      <c r="V105">
        <v>0</v>
      </c>
      <c r="W105">
        <f>COUNTIFS($H$4:$H$1201,Tabla213[[#Headers],[Alternaria]], $G$4:$G$1201,Tabla213[[#This Row],[Organo]], $B$4:$B$1201,M105)</f>
        <v>0</v>
      </c>
      <c r="X105">
        <f>COUNTIFS($H$4:$H$1201,Tabla213[[#Headers],[Botrytis]], $G$4:$G$1201,Tabla213[[#This Row],[Organo]], $B$4:$B$1201,M105)</f>
        <v>3</v>
      </c>
      <c r="Y105">
        <f>COUNTIFS($H$4:$H$1201,Tabla213[[#Headers],[Colletotrichum]], $G$4:$G$1201,Tabla213[[#This Row],[Organo]], $B$4:$B$1201,M105)</f>
        <v>0</v>
      </c>
      <c r="Z105">
        <f>COUNTIFS($H$4:$H$1201,Tabla213[[#Headers],[Aspergillus]], $G$4:$G$1201,Tabla213[[#This Row],[Organo]], $B$4:$B$1201,M105)</f>
        <v>0</v>
      </c>
      <c r="AA105">
        <f>COUNTIFS($H$4:$H$1201,Tabla213[[#Headers],[NO ID]], $G$4:$G$1201,Tabla213[[#This Row],[Organo]], $B$4:$B$1201,M105)</f>
        <v>0</v>
      </c>
      <c r="AB105">
        <f>COUNTIFS($H$4:$H$1201,Tabla213[[#Headers],[Trichoderma]], $G$4:$G$1201,Tabla213[[#This Row],[Organo]], $B$4:$B$1201,M105)</f>
        <v>0</v>
      </c>
      <c r="AC105">
        <f>COUNTIFS($H$4:$H$1201,Tabla213[[#Headers],[Rizophus]], $G$4:$G$1201,Tabla213[[#This Row],[Organo]], $B$4:$B$1201,M105)</f>
        <v>0</v>
      </c>
      <c r="AD105">
        <f>COUNTIFS($H$4:$H$1201,Tabla213[[#Headers],[FALTANTES]], $G$4:$G$1201,Tabla213[[#This Row],[Organo]], $B$4:$B$1201,M105)</f>
        <v>0</v>
      </c>
      <c r="AK105">
        <v>36.200000000000003</v>
      </c>
      <c r="AL105" t="s">
        <v>32</v>
      </c>
      <c r="AM105" t="s">
        <v>83</v>
      </c>
      <c r="AN105" t="s">
        <v>477</v>
      </c>
    </row>
    <row r="106" spans="1:40" x14ac:dyDescent="0.2">
      <c r="A106" s="7">
        <v>102</v>
      </c>
      <c r="B106" s="7">
        <v>4.0999999999999996</v>
      </c>
      <c r="C106" s="1" t="str">
        <f t="shared" si="64"/>
        <v>CANINDO 2</v>
      </c>
      <c r="D106" s="7" t="s">
        <v>127</v>
      </c>
      <c r="E106" s="1" t="str">
        <f t="shared" si="65"/>
        <v>SAYULA</v>
      </c>
      <c r="F106" s="7">
        <v>1</v>
      </c>
      <c r="G106" s="7" t="s">
        <v>477</v>
      </c>
      <c r="H106" s="7" t="s">
        <v>149</v>
      </c>
      <c r="I106" s="7" t="s">
        <v>484</v>
      </c>
      <c r="J106" s="7">
        <v>102</v>
      </c>
      <c r="K106" s="7"/>
      <c r="M106">
        <v>36.200000000000003</v>
      </c>
      <c r="N106" t="s">
        <v>676</v>
      </c>
      <c r="O106" t="s">
        <v>83</v>
      </c>
      <c r="P106" t="s">
        <v>477</v>
      </c>
      <c r="Q106">
        <f>COUNTIFS($H$4:$H$1201,Tabla213[[#Headers],[Neopestalotiopsis]], $G$4:$G$1201,Tabla213[[#This Row],[Organo]], $B$4:$B$1201,M106)</f>
        <v>0</v>
      </c>
      <c r="R106">
        <f>COUNTIFS($H$4:$H$1201,Tabla213[[#Headers],[Fusarium]], $G$4:$G$1201,Tabla213[[#This Row],[Organo]], $B$4:$B$1201,M106)</f>
        <v>1</v>
      </c>
      <c r="S106">
        <f>COUNTIFS($H$4:$H$1201,Tabla213[[#Headers],[Cylindrocarpon]], $G$4:$G$1201,Tabla213[[#This Row],[Organo]], $B$4:$B$1201,M106)</f>
        <v>0</v>
      </c>
      <c r="T106">
        <f>COUNTIFS($H$4:$H$1201,Tabla213[[#Headers],[Macrophomina]], $G$4:$G$1201,Tabla213[[#This Row],[Organo]], $B$4:$B$1201,M106)</f>
        <v>0</v>
      </c>
      <c r="U106">
        <f>COUNTIFS($H$4:$H$1201,Tabla213[[#Headers],[Rhizoctonia]], $G$4:$G$1201,Tabla213[[#This Row],[Organo]], $B$4:$B$1201,M106)</f>
        <v>0</v>
      </c>
      <c r="V106">
        <v>0</v>
      </c>
      <c r="W106">
        <f>COUNTIFS($H$4:$H$1201,Tabla213[[#Headers],[Alternaria]], $G$4:$G$1201,Tabla213[[#This Row],[Organo]], $B$4:$B$1201,M106)</f>
        <v>0</v>
      </c>
      <c r="X106">
        <f>COUNTIFS($H$4:$H$1201,Tabla213[[#Headers],[Botrytis]], $G$4:$G$1201,Tabla213[[#This Row],[Organo]], $B$4:$B$1201,M106)</f>
        <v>3</v>
      </c>
      <c r="Y106">
        <f>COUNTIFS($H$4:$H$1201,Tabla213[[#Headers],[Colletotrichum]], $G$4:$G$1201,Tabla213[[#This Row],[Organo]], $B$4:$B$1201,M106)</f>
        <v>0</v>
      </c>
      <c r="Z106">
        <f>COUNTIFS($H$4:$H$1201,Tabla213[[#Headers],[Aspergillus]], $G$4:$G$1201,Tabla213[[#This Row],[Organo]], $B$4:$B$1201,M106)</f>
        <v>0</v>
      </c>
      <c r="AA106">
        <f>COUNTIFS($H$4:$H$1201,Tabla213[[#Headers],[NO ID]], $G$4:$G$1201,Tabla213[[#This Row],[Organo]], $B$4:$B$1201,M106)</f>
        <v>0</v>
      </c>
      <c r="AB106">
        <f>COUNTIFS($H$4:$H$1201,Tabla213[[#Headers],[Trichoderma]], $G$4:$G$1201,Tabla213[[#This Row],[Organo]], $B$4:$B$1201,M106)</f>
        <v>2</v>
      </c>
      <c r="AC106">
        <f>COUNTIFS($H$4:$H$1201,Tabla213[[#Headers],[Rizophus]], $G$4:$G$1201,Tabla213[[#This Row],[Organo]], $B$4:$B$1201,M106)</f>
        <v>0</v>
      </c>
      <c r="AD106">
        <f>COUNTIFS($H$4:$H$1201,Tabla213[[#Headers],[FALTANTES]], $G$4:$G$1201,Tabla213[[#This Row],[Organo]], $B$4:$B$1201,M106)</f>
        <v>0</v>
      </c>
      <c r="AF106">
        <f t="shared" ref="AF106" si="102">SUM(Q105:AD106)</f>
        <v>10</v>
      </c>
      <c r="AG106">
        <f>COUNTIF($B$5:$B$1201, Tabla213[[#This Row],[Num. Parcela]])</f>
        <v>10</v>
      </c>
      <c r="AH106" t="b">
        <f t="shared" ref="AH106" si="103">IF(AF106=AG106, TRUE)</f>
        <v>1</v>
      </c>
      <c r="AK106">
        <v>36.200000000000003</v>
      </c>
      <c r="AL106" t="s">
        <v>32</v>
      </c>
      <c r="AM106" t="s">
        <v>83</v>
      </c>
      <c r="AN106" t="s">
        <v>476</v>
      </c>
    </row>
    <row r="107" spans="1:40" x14ac:dyDescent="0.2">
      <c r="A107" s="7">
        <v>103</v>
      </c>
      <c r="B107" s="7">
        <v>4.0999999999999996</v>
      </c>
      <c r="C107" s="1" t="str">
        <f t="shared" si="64"/>
        <v>CANINDO 2</v>
      </c>
      <c r="D107" s="7" t="s">
        <v>127</v>
      </c>
      <c r="E107" s="1" t="str">
        <f t="shared" si="65"/>
        <v>SAYULA</v>
      </c>
      <c r="F107" s="7">
        <v>1</v>
      </c>
      <c r="G107" s="7" t="s">
        <v>477</v>
      </c>
      <c r="H107" s="7" t="s">
        <v>155</v>
      </c>
      <c r="I107" s="7" t="s">
        <v>155</v>
      </c>
      <c r="J107" s="7">
        <v>103</v>
      </c>
      <c r="K107" s="7"/>
      <c r="M107">
        <v>37.1</v>
      </c>
      <c r="N107" t="s">
        <v>646</v>
      </c>
      <c r="O107" t="s">
        <v>119</v>
      </c>
      <c r="P107" t="s">
        <v>476</v>
      </c>
      <c r="Q107">
        <f>COUNTIFS($H$4:$H$1201,Tabla213[[#Headers],[Neopestalotiopsis]], $G$4:$G$1201,Tabla213[[#This Row],[Organo]], $B$4:$B$1201,M107)</f>
        <v>1</v>
      </c>
      <c r="R107">
        <f>COUNTIFS($H$4:$H$1201,Tabla213[[#Headers],[Fusarium]], $G$4:$G$1201,Tabla213[[#This Row],[Organo]], $B$4:$B$1201,M107)</f>
        <v>0</v>
      </c>
      <c r="S107">
        <f>COUNTIFS($H$4:$H$1201,Tabla213[[#Headers],[Cylindrocarpon]], $G$4:$G$1201,Tabla213[[#This Row],[Organo]], $B$4:$B$1201,M107)</f>
        <v>1</v>
      </c>
      <c r="T107">
        <f>COUNTIFS($H$4:$H$1201,Tabla213[[#Headers],[Macrophomina]], $G$4:$G$1201,Tabla213[[#This Row],[Organo]], $B$4:$B$1201,M107)</f>
        <v>0</v>
      </c>
      <c r="U107">
        <f>COUNTIFS($H$4:$H$1201,Tabla213[[#Headers],[Rhizoctonia]], $G$4:$G$1201,Tabla213[[#This Row],[Organo]], $B$4:$B$1201,M107)</f>
        <v>0</v>
      </c>
      <c r="V107">
        <v>0</v>
      </c>
      <c r="W107">
        <f>COUNTIFS($H$4:$H$1201,Tabla213[[#Headers],[Alternaria]], $G$4:$G$1201,Tabla213[[#This Row],[Organo]], $B$4:$B$1201,M107)</f>
        <v>0</v>
      </c>
      <c r="X107">
        <f>COUNTIFS($H$4:$H$1201,Tabla213[[#Headers],[Botrytis]], $G$4:$G$1201,Tabla213[[#This Row],[Organo]], $B$4:$B$1201,M107)</f>
        <v>0</v>
      </c>
      <c r="Y107">
        <f>COUNTIFS($H$4:$H$1201,Tabla213[[#Headers],[Colletotrichum]], $G$4:$G$1201,Tabla213[[#This Row],[Organo]], $B$4:$B$1201,M107)</f>
        <v>0</v>
      </c>
      <c r="Z107">
        <f>COUNTIFS($H$4:$H$1201,Tabla213[[#Headers],[Aspergillus]], $G$4:$G$1201,Tabla213[[#This Row],[Organo]], $B$4:$B$1201,M107)</f>
        <v>0</v>
      </c>
      <c r="AA107">
        <f>COUNTIFS($H$4:$H$1201,Tabla213[[#Headers],[NO ID]], $G$4:$G$1201,Tabla213[[#This Row],[Organo]], $B$4:$B$1201,M107)</f>
        <v>1</v>
      </c>
      <c r="AB107">
        <f>COUNTIFS($H$4:$H$1201,Tabla213[[#Headers],[Trichoderma]], $G$4:$G$1201,Tabla213[[#This Row],[Organo]], $B$4:$B$1201,M107)</f>
        <v>1</v>
      </c>
      <c r="AC107">
        <f>COUNTIFS($H$4:$H$1201,Tabla213[[#Headers],[Rizophus]], $G$4:$G$1201,Tabla213[[#This Row],[Organo]], $B$4:$B$1201,M107)</f>
        <v>0</v>
      </c>
      <c r="AD107">
        <f>COUNTIFS($H$4:$H$1201,Tabla213[[#Headers],[FALTANTES]], $G$4:$G$1201,Tabla213[[#This Row],[Organo]], $B$4:$B$1201,M107)</f>
        <v>0</v>
      </c>
      <c r="AK107">
        <v>37.1</v>
      </c>
      <c r="AL107" t="s">
        <v>33</v>
      </c>
      <c r="AM107" t="s">
        <v>119</v>
      </c>
      <c r="AN107" t="s">
        <v>477</v>
      </c>
    </row>
    <row r="108" spans="1:40" x14ac:dyDescent="0.2">
      <c r="A108" s="7">
        <v>104</v>
      </c>
      <c r="B108" s="7">
        <v>4.0999999999999996</v>
      </c>
      <c r="C108" s="1" t="str">
        <f t="shared" si="64"/>
        <v>CANINDO 2</v>
      </c>
      <c r="D108" s="7" t="s">
        <v>127</v>
      </c>
      <c r="E108" s="1" t="str">
        <f t="shared" si="65"/>
        <v>SAYULA</v>
      </c>
      <c r="F108" s="7">
        <v>2</v>
      </c>
      <c r="G108" s="7" t="s">
        <v>477</v>
      </c>
      <c r="H108" s="7" t="s">
        <v>228</v>
      </c>
      <c r="I108" s="9" t="s">
        <v>482</v>
      </c>
      <c r="J108" s="9">
        <v>104</v>
      </c>
      <c r="K108" s="7"/>
      <c r="M108">
        <v>37.1</v>
      </c>
      <c r="N108" t="s">
        <v>646</v>
      </c>
      <c r="O108" t="s">
        <v>119</v>
      </c>
      <c r="P108" t="s">
        <v>477</v>
      </c>
      <c r="Q108">
        <f>COUNTIFS($H$4:$H$1201,Tabla213[[#Headers],[Neopestalotiopsis]], $G$4:$G$1201,Tabla213[[#This Row],[Organo]], $B$4:$B$1201,M108)</f>
        <v>0</v>
      </c>
      <c r="R108">
        <f>COUNTIFS($H$4:$H$1201,Tabla213[[#Headers],[Fusarium]], $G$4:$G$1201,Tabla213[[#This Row],[Organo]], $B$4:$B$1201,M108)</f>
        <v>1</v>
      </c>
      <c r="S108">
        <f>COUNTIFS($H$4:$H$1201,Tabla213[[#Headers],[Cylindrocarpon]], $G$4:$G$1201,Tabla213[[#This Row],[Organo]], $B$4:$B$1201,M108)</f>
        <v>0</v>
      </c>
      <c r="T108">
        <f>COUNTIFS($H$4:$H$1201,Tabla213[[#Headers],[Macrophomina]], $G$4:$G$1201,Tabla213[[#This Row],[Organo]], $B$4:$B$1201,M108)</f>
        <v>0</v>
      </c>
      <c r="U108">
        <f>COUNTIFS($H$4:$H$1201,Tabla213[[#Headers],[Rhizoctonia]], $G$4:$G$1201,Tabla213[[#This Row],[Organo]], $B$4:$B$1201,M108)</f>
        <v>1</v>
      </c>
      <c r="V108">
        <v>0</v>
      </c>
      <c r="W108">
        <f>COUNTIFS($H$4:$H$1201,Tabla213[[#Headers],[Alternaria]], $G$4:$G$1201,Tabla213[[#This Row],[Organo]], $B$4:$B$1201,M108)</f>
        <v>2</v>
      </c>
      <c r="X108">
        <f>COUNTIFS($H$4:$H$1201,Tabla213[[#Headers],[Botrytis]], $G$4:$G$1201,Tabla213[[#This Row],[Organo]], $B$4:$B$1201,M108)</f>
        <v>0</v>
      </c>
      <c r="Y108">
        <f>COUNTIFS($H$4:$H$1201,Tabla213[[#Headers],[Colletotrichum]], $G$4:$G$1201,Tabla213[[#This Row],[Organo]], $B$4:$B$1201,M108)</f>
        <v>0</v>
      </c>
      <c r="Z108">
        <f>COUNTIFS($H$4:$H$1201,Tabla213[[#Headers],[Aspergillus]], $G$4:$G$1201,Tabla213[[#This Row],[Organo]], $B$4:$B$1201,M108)</f>
        <v>0</v>
      </c>
      <c r="AA108">
        <f>COUNTIFS($H$4:$H$1201,Tabla213[[#Headers],[NO ID]], $G$4:$G$1201,Tabla213[[#This Row],[Organo]], $B$4:$B$1201,M108)</f>
        <v>2</v>
      </c>
      <c r="AB108">
        <f>COUNTIFS($H$4:$H$1201,Tabla213[[#Headers],[Trichoderma]], $G$4:$G$1201,Tabla213[[#This Row],[Organo]], $B$4:$B$1201,M108)</f>
        <v>2</v>
      </c>
      <c r="AC108">
        <f>COUNTIFS($H$4:$H$1201,Tabla213[[#Headers],[Rizophus]], $G$4:$G$1201,Tabla213[[#This Row],[Organo]], $B$4:$B$1201,M108)</f>
        <v>0</v>
      </c>
      <c r="AD108">
        <f>COUNTIFS($H$4:$H$1201,Tabla213[[#Headers],[FALTANTES]], $G$4:$G$1201,Tabla213[[#This Row],[Organo]], $B$4:$B$1201,M108)</f>
        <v>0</v>
      </c>
      <c r="AF108">
        <f t="shared" ref="AF108" si="104">SUM(Q107:AD108)</f>
        <v>12</v>
      </c>
      <c r="AG108">
        <f>COUNTIF($B$5:$B$1201, Tabla213[[#This Row],[Num. Parcela]])</f>
        <v>12</v>
      </c>
      <c r="AH108" t="b">
        <f t="shared" ref="AH108" si="105">IF(AF108=AG108, TRUE)</f>
        <v>1</v>
      </c>
      <c r="AK108">
        <v>37.1</v>
      </c>
      <c r="AL108" t="s">
        <v>33</v>
      </c>
      <c r="AM108" t="s">
        <v>119</v>
      </c>
      <c r="AN108" t="s">
        <v>476</v>
      </c>
    </row>
    <row r="109" spans="1:40" x14ac:dyDescent="0.2">
      <c r="A109" s="7">
        <v>105</v>
      </c>
      <c r="B109" s="7">
        <v>4.0999999999999996</v>
      </c>
      <c r="C109" s="1" t="str">
        <f t="shared" si="64"/>
        <v>CANINDO 2</v>
      </c>
      <c r="D109" s="7" t="s">
        <v>127</v>
      </c>
      <c r="E109" s="1" t="str">
        <f t="shared" si="65"/>
        <v>SAYULA</v>
      </c>
      <c r="F109" s="7">
        <v>2</v>
      </c>
      <c r="G109" s="7" t="s">
        <v>477</v>
      </c>
      <c r="H109" s="7" t="s">
        <v>155</v>
      </c>
      <c r="I109" s="7" t="s">
        <v>155</v>
      </c>
      <c r="J109" s="7">
        <v>105</v>
      </c>
      <c r="K109" s="19" t="s">
        <v>638</v>
      </c>
      <c r="L109">
        <v>1</v>
      </c>
      <c r="M109">
        <v>37.200000000000003</v>
      </c>
      <c r="N109" t="s">
        <v>647</v>
      </c>
      <c r="O109" t="s">
        <v>115</v>
      </c>
      <c r="P109" t="s">
        <v>476</v>
      </c>
      <c r="Q109">
        <f>COUNTIFS($H$4:$H$1201,Tabla213[[#Headers],[Neopestalotiopsis]], $G$4:$G$1201,Tabla213[[#This Row],[Organo]], $B$4:$B$1201,M109)</f>
        <v>0</v>
      </c>
      <c r="R109">
        <f>COUNTIFS($H$4:$H$1201,Tabla213[[#Headers],[Fusarium]], $G$4:$G$1201,Tabla213[[#This Row],[Organo]], $B$4:$B$1201,M109)</f>
        <v>0</v>
      </c>
      <c r="S109">
        <f>COUNTIFS($H$4:$H$1201,Tabla213[[#Headers],[Cylindrocarpon]], $G$4:$G$1201,Tabla213[[#This Row],[Organo]], $B$4:$B$1201,M109)</f>
        <v>1</v>
      </c>
      <c r="T109">
        <f>COUNTIFS($H$4:$H$1201,Tabla213[[#Headers],[Macrophomina]], $G$4:$G$1201,Tabla213[[#This Row],[Organo]], $B$4:$B$1201,M109)</f>
        <v>0</v>
      </c>
      <c r="U109">
        <f>COUNTIFS($H$4:$H$1201,Tabla213[[#Headers],[Rhizoctonia]], $G$4:$G$1201,Tabla213[[#This Row],[Organo]], $B$4:$B$1201,M109)</f>
        <v>0</v>
      </c>
      <c r="V109">
        <v>0</v>
      </c>
      <c r="W109">
        <f>COUNTIFS($H$4:$H$1201,Tabla213[[#Headers],[Alternaria]], $G$4:$G$1201,Tabla213[[#This Row],[Organo]], $B$4:$B$1201,M109)</f>
        <v>0</v>
      </c>
      <c r="X109">
        <f>COUNTIFS($H$4:$H$1201,Tabla213[[#Headers],[Botrytis]], $G$4:$G$1201,Tabla213[[#This Row],[Organo]], $B$4:$B$1201,M109)</f>
        <v>0</v>
      </c>
      <c r="Y109">
        <f>COUNTIFS($H$4:$H$1201,Tabla213[[#Headers],[Colletotrichum]], $G$4:$G$1201,Tabla213[[#This Row],[Organo]], $B$4:$B$1201,M109)</f>
        <v>0</v>
      </c>
      <c r="Z109">
        <f>COUNTIFS($H$4:$H$1201,Tabla213[[#Headers],[Aspergillus]], $G$4:$G$1201,Tabla213[[#This Row],[Organo]], $B$4:$B$1201,M109)</f>
        <v>0</v>
      </c>
      <c r="AA109">
        <f>COUNTIFS($H$4:$H$1201,Tabla213[[#Headers],[NO ID]], $G$4:$G$1201,Tabla213[[#This Row],[Organo]], $B$4:$B$1201,M109)</f>
        <v>1</v>
      </c>
      <c r="AB109">
        <f>COUNTIFS($H$4:$H$1201,Tabla213[[#Headers],[Trichoderma]], $G$4:$G$1201,Tabla213[[#This Row],[Organo]], $B$4:$B$1201,M109)</f>
        <v>0</v>
      </c>
      <c r="AC109">
        <f>COUNTIFS($H$4:$H$1201,Tabla213[[#Headers],[Rizophus]], $G$4:$G$1201,Tabla213[[#This Row],[Organo]], $B$4:$B$1201,M109)</f>
        <v>0</v>
      </c>
      <c r="AD109">
        <f>COUNTIFS($H$4:$H$1201,Tabla213[[#Headers],[FALTANTES]], $G$4:$G$1201,Tabla213[[#This Row],[Organo]], $B$4:$B$1201,M109)</f>
        <v>0</v>
      </c>
      <c r="AK109">
        <v>37.200000000000003</v>
      </c>
      <c r="AL109" t="s">
        <v>33</v>
      </c>
      <c r="AM109" t="s">
        <v>123</v>
      </c>
      <c r="AN109" t="s">
        <v>477</v>
      </c>
    </row>
    <row r="110" spans="1:40" x14ac:dyDescent="0.2">
      <c r="A110" s="7">
        <v>106</v>
      </c>
      <c r="B110" s="7">
        <v>4.0999999999999996</v>
      </c>
      <c r="C110" s="1" t="str">
        <f t="shared" si="64"/>
        <v>CANINDO 2</v>
      </c>
      <c r="D110" s="7" t="s">
        <v>127</v>
      </c>
      <c r="E110" s="1" t="str">
        <f t="shared" si="65"/>
        <v>SAYULA</v>
      </c>
      <c r="F110" s="7">
        <v>1</v>
      </c>
      <c r="G110" s="7" t="s">
        <v>477</v>
      </c>
      <c r="H110" s="7" t="s">
        <v>228</v>
      </c>
      <c r="I110" s="9" t="s">
        <v>487</v>
      </c>
      <c r="J110" s="9">
        <v>106</v>
      </c>
      <c r="K110" s="21" t="s">
        <v>639</v>
      </c>
      <c r="M110">
        <v>37.200000000000003</v>
      </c>
      <c r="N110" t="s">
        <v>647</v>
      </c>
      <c r="O110" t="s">
        <v>115</v>
      </c>
      <c r="P110" t="s">
        <v>477</v>
      </c>
      <c r="Q110">
        <f>COUNTIFS($H$4:$H$1201,Tabla213[[#Headers],[Neopestalotiopsis]], $G$4:$G$1201,Tabla213[[#This Row],[Organo]], $B$4:$B$1201,M110)</f>
        <v>0</v>
      </c>
      <c r="R110">
        <f>COUNTIFS($H$4:$H$1201,Tabla213[[#Headers],[Fusarium]], $G$4:$G$1201,Tabla213[[#This Row],[Organo]], $B$4:$B$1201,M110)</f>
        <v>2</v>
      </c>
      <c r="S110">
        <f>COUNTIFS($H$4:$H$1201,Tabla213[[#Headers],[Cylindrocarpon]], $G$4:$G$1201,Tabla213[[#This Row],[Organo]], $B$4:$B$1201,M110)</f>
        <v>3</v>
      </c>
      <c r="T110">
        <f>COUNTIFS($H$4:$H$1201,Tabla213[[#Headers],[Macrophomina]], $G$4:$G$1201,Tabla213[[#This Row],[Organo]], $B$4:$B$1201,M110)</f>
        <v>0</v>
      </c>
      <c r="U110">
        <f>COUNTIFS($H$4:$H$1201,Tabla213[[#Headers],[Rhizoctonia]], $G$4:$G$1201,Tabla213[[#This Row],[Organo]], $B$4:$B$1201,M110)</f>
        <v>1</v>
      </c>
      <c r="V110">
        <v>0</v>
      </c>
      <c r="W110">
        <f>COUNTIFS($H$4:$H$1201,Tabla213[[#Headers],[Alternaria]], $G$4:$G$1201,Tabla213[[#This Row],[Organo]], $B$4:$B$1201,M110)</f>
        <v>0</v>
      </c>
      <c r="X110">
        <f>COUNTIFS($H$4:$H$1201,Tabla213[[#Headers],[Botrytis]], $G$4:$G$1201,Tabla213[[#This Row],[Organo]], $B$4:$B$1201,M110)</f>
        <v>0</v>
      </c>
      <c r="Y110">
        <f>COUNTIFS($H$4:$H$1201,Tabla213[[#Headers],[Colletotrichum]], $G$4:$G$1201,Tabla213[[#This Row],[Organo]], $B$4:$B$1201,M110)</f>
        <v>0</v>
      </c>
      <c r="Z110">
        <f>COUNTIFS($H$4:$H$1201,Tabla213[[#Headers],[Aspergillus]], $G$4:$G$1201,Tabla213[[#This Row],[Organo]], $B$4:$B$1201,M110)</f>
        <v>0</v>
      </c>
      <c r="AA110">
        <f>COUNTIFS($H$4:$H$1201,Tabla213[[#Headers],[NO ID]], $G$4:$G$1201,Tabla213[[#This Row],[Organo]], $B$4:$B$1201,M110)</f>
        <v>0</v>
      </c>
      <c r="AB110">
        <f>COUNTIFS($H$4:$H$1201,Tabla213[[#Headers],[Trichoderma]], $G$4:$G$1201,Tabla213[[#This Row],[Organo]], $B$4:$B$1201,M110)</f>
        <v>0</v>
      </c>
      <c r="AC110">
        <f>COUNTIFS($H$4:$H$1201,Tabla213[[#Headers],[Rizophus]], $G$4:$G$1201,Tabla213[[#This Row],[Organo]], $B$4:$B$1201,M110)</f>
        <v>0</v>
      </c>
      <c r="AD110">
        <f>COUNTIFS($H$4:$H$1201,Tabla213[[#Headers],[FALTANTES]], $G$4:$G$1201,Tabla213[[#This Row],[Organo]], $B$4:$B$1201,M110)</f>
        <v>0</v>
      </c>
      <c r="AF110">
        <f t="shared" ref="AF110" si="106">SUM(Q109:AD110)</f>
        <v>8</v>
      </c>
      <c r="AG110">
        <f>COUNTIF($B$5:$B$1201, Tabla213[[#This Row],[Num. Parcela]])</f>
        <v>8</v>
      </c>
      <c r="AH110" t="b">
        <f t="shared" ref="AH110" si="107">IF(AF110=AG110, TRUE)</f>
        <v>1</v>
      </c>
      <c r="AK110">
        <v>37.200000000000003</v>
      </c>
      <c r="AL110" t="s">
        <v>33</v>
      </c>
      <c r="AM110" t="s">
        <v>123</v>
      </c>
      <c r="AN110" t="s">
        <v>476</v>
      </c>
    </row>
    <row r="111" spans="1:40" x14ac:dyDescent="0.2">
      <c r="A111" s="7">
        <v>107</v>
      </c>
      <c r="B111" s="7">
        <v>4.0999999999999996</v>
      </c>
      <c r="C111" s="1" t="str">
        <f t="shared" si="64"/>
        <v>CANINDO 2</v>
      </c>
      <c r="D111" s="7" t="s">
        <v>127</v>
      </c>
      <c r="E111" s="1" t="str">
        <f t="shared" si="65"/>
        <v>SAYULA</v>
      </c>
      <c r="F111" s="7">
        <v>1</v>
      </c>
      <c r="G111" s="7" t="s">
        <v>477</v>
      </c>
      <c r="H111" s="7" t="s">
        <v>149</v>
      </c>
      <c r="I111" s="7" t="s">
        <v>149</v>
      </c>
      <c r="J111" s="7">
        <v>107</v>
      </c>
      <c r="K111" s="19" t="s">
        <v>638</v>
      </c>
      <c r="M111">
        <v>37.299999999999997</v>
      </c>
      <c r="N111" t="s">
        <v>679</v>
      </c>
      <c r="O111" t="s">
        <v>115</v>
      </c>
      <c r="P111" t="s">
        <v>476</v>
      </c>
      <c r="Q111">
        <f>COUNTIFS($H$4:$H$1201,Tabla213[[#Headers],[Neopestalotiopsis]], $G$4:$G$1201,Tabla213[[#This Row],[Organo]], $B$4:$B$1201,M111)</f>
        <v>1</v>
      </c>
      <c r="R111">
        <f>COUNTIFS($H$4:$H$1201,Tabla213[[#Headers],[Fusarium]], $G$4:$G$1201,Tabla213[[#This Row],[Organo]], $B$4:$B$1201,M111)</f>
        <v>2</v>
      </c>
      <c r="S111">
        <f>COUNTIFS($H$4:$H$1201,Tabla213[[#Headers],[Cylindrocarpon]], $G$4:$G$1201,Tabla213[[#This Row],[Organo]], $B$4:$B$1201,M111)</f>
        <v>1</v>
      </c>
      <c r="T111">
        <f>COUNTIFS($H$4:$H$1201,Tabla213[[#Headers],[Macrophomina]], $G$4:$G$1201,Tabla213[[#This Row],[Organo]], $B$4:$B$1201,M111)</f>
        <v>0</v>
      </c>
      <c r="U111">
        <f>COUNTIFS($H$4:$H$1201,Tabla213[[#Headers],[Rhizoctonia]], $G$4:$G$1201,Tabla213[[#This Row],[Organo]], $B$4:$B$1201,M111)</f>
        <v>0</v>
      </c>
      <c r="V111">
        <v>0</v>
      </c>
      <c r="W111">
        <f>COUNTIFS($H$4:$H$1201,Tabla213[[#Headers],[Alternaria]], $G$4:$G$1201,Tabla213[[#This Row],[Organo]], $B$4:$B$1201,M111)</f>
        <v>0</v>
      </c>
      <c r="X111">
        <f>COUNTIFS($H$4:$H$1201,Tabla213[[#Headers],[Botrytis]], $G$4:$G$1201,Tabla213[[#This Row],[Organo]], $B$4:$B$1201,M111)</f>
        <v>0</v>
      </c>
      <c r="Y111">
        <f>COUNTIFS($H$4:$H$1201,Tabla213[[#Headers],[Colletotrichum]], $G$4:$G$1201,Tabla213[[#This Row],[Organo]], $B$4:$B$1201,M111)</f>
        <v>0</v>
      </c>
      <c r="Z111">
        <f>COUNTIFS($H$4:$H$1201,Tabla213[[#Headers],[Aspergillus]], $G$4:$G$1201,Tabla213[[#This Row],[Organo]], $B$4:$B$1201,M111)</f>
        <v>0</v>
      </c>
      <c r="AA111">
        <f>COUNTIFS($H$4:$H$1201,Tabla213[[#Headers],[NO ID]], $G$4:$G$1201,Tabla213[[#This Row],[Organo]], $B$4:$B$1201,M111)</f>
        <v>0</v>
      </c>
      <c r="AB111">
        <f>COUNTIFS($H$4:$H$1201,Tabla213[[#Headers],[Trichoderma]], $G$4:$G$1201,Tabla213[[#This Row],[Organo]], $B$4:$B$1201,M111)</f>
        <v>0</v>
      </c>
      <c r="AC111">
        <f>COUNTIFS($H$4:$H$1201,Tabla213[[#Headers],[Rizophus]], $G$4:$G$1201,Tabla213[[#This Row],[Organo]], $B$4:$B$1201,M111)</f>
        <v>0</v>
      </c>
      <c r="AD111">
        <f>COUNTIFS($H$4:$H$1201,Tabla213[[#Headers],[FALTANTES]], $G$4:$G$1201,Tabla213[[#This Row],[Organo]], $B$4:$B$1201,M111)</f>
        <v>0</v>
      </c>
      <c r="AK111">
        <v>37.299999999999997</v>
      </c>
      <c r="AL111" t="s">
        <v>33</v>
      </c>
      <c r="AM111" t="s">
        <v>124</v>
      </c>
      <c r="AN111" t="s">
        <v>477</v>
      </c>
    </row>
    <row r="112" spans="1:40" x14ac:dyDescent="0.2">
      <c r="A112" s="7">
        <v>108</v>
      </c>
      <c r="B112" s="7">
        <v>4.0999999999999996</v>
      </c>
      <c r="C112" s="1" t="str">
        <f t="shared" si="64"/>
        <v>CANINDO 2</v>
      </c>
      <c r="D112" s="7" t="s">
        <v>127</v>
      </c>
      <c r="E112" s="1" t="str">
        <f t="shared" si="65"/>
        <v>SAYULA</v>
      </c>
      <c r="F112" s="7">
        <v>2</v>
      </c>
      <c r="G112" s="7" t="s">
        <v>477</v>
      </c>
      <c r="H112" s="7" t="s">
        <v>228</v>
      </c>
      <c r="I112" s="9" t="s">
        <v>487</v>
      </c>
      <c r="J112" s="9">
        <v>108</v>
      </c>
      <c r="K112" s="7"/>
      <c r="M112">
        <v>37.299999999999997</v>
      </c>
      <c r="N112" t="s">
        <v>679</v>
      </c>
      <c r="O112" t="s">
        <v>115</v>
      </c>
      <c r="P112" t="s">
        <v>477</v>
      </c>
      <c r="Q112">
        <f>COUNTIFS($H$4:$H$1201,Tabla213[[#Headers],[Neopestalotiopsis]], $G$4:$G$1201,Tabla213[[#This Row],[Organo]], $B$4:$B$1201,M112)</f>
        <v>4</v>
      </c>
      <c r="R112">
        <f>COUNTIFS($H$4:$H$1201,Tabla213[[#Headers],[Fusarium]], $G$4:$G$1201,Tabla213[[#This Row],[Organo]], $B$4:$B$1201,M112)</f>
        <v>3</v>
      </c>
      <c r="S112">
        <f>COUNTIFS($H$4:$H$1201,Tabla213[[#Headers],[Cylindrocarpon]], $G$4:$G$1201,Tabla213[[#This Row],[Organo]], $B$4:$B$1201,M112)</f>
        <v>0</v>
      </c>
      <c r="T112">
        <f>COUNTIFS($H$4:$H$1201,Tabla213[[#Headers],[Macrophomina]], $G$4:$G$1201,Tabla213[[#This Row],[Organo]], $B$4:$B$1201,M112)</f>
        <v>0</v>
      </c>
      <c r="U112">
        <f>COUNTIFS($H$4:$H$1201,Tabla213[[#Headers],[Rhizoctonia]], $G$4:$G$1201,Tabla213[[#This Row],[Organo]], $B$4:$B$1201,M112)</f>
        <v>0</v>
      </c>
      <c r="V112">
        <v>0</v>
      </c>
      <c r="W112">
        <f>COUNTIFS($H$4:$H$1201,Tabla213[[#Headers],[Alternaria]], $G$4:$G$1201,Tabla213[[#This Row],[Organo]], $B$4:$B$1201,M112)</f>
        <v>0</v>
      </c>
      <c r="X112">
        <f>COUNTIFS($H$4:$H$1201,Tabla213[[#Headers],[Botrytis]], $G$4:$G$1201,Tabla213[[#This Row],[Organo]], $B$4:$B$1201,M112)</f>
        <v>0</v>
      </c>
      <c r="Y112">
        <f>COUNTIFS($H$4:$H$1201,Tabla213[[#Headers],[Colletotrichum]], $G$4:$G$1201,Tabla213[[#This Row],[Organo]], $B$4:$B$1201,M112)</f>
        <v>0</v>
      </c>
      <c r="Z112">
        <f>COUNTIFS($H$4:$H$1201,Tabla213[[#Headers],[Aspergillus]], $G$4:$G$1201,Tabla213[[#This Row],[Organo]], $B$4:$B$1201,M112)</f>
        <v>0</v>
      </c>
      <c r="AA112">
        <f>COUNTIFS($H$4:$H$1201,Tabla213[[#Headers],[NO ID]], $G$4:$G$1201,Tabla213[[#This Row],[Organo]], $B$4:$B$1201,M112)</f>
        <v>1</v>
      </c>
      <c r="AB112">
        <f>COUNTIFS($H$4:$H$1201,Tabla213[[#Headers],[Trichoderma]], $G$4:$G$1201,Tabla213[[#This Row],[Organo]], $B$4:$B$1201,M112)</f>
        <v>0</v>
      </c>
      <c r="AC112">
        <f>COUNTIFS($H$4:$H$1201,Tabla213[[#Headers],[Rizophus]], $G$4:$G$1201,Tabla213[[#This Row],[Organo]], $B$4:$B$1201,M112)</f>
        <v>0</v>
      </c>
      <c r="AD112">
        <f>COUNTIFS($H$4:$H$1201,Tabla213[[#Headers],[FALTANTES]], $G$4:$G$1201,Tabla213[[#This Row],[Organo]], $B$4:$B$1201,M112)</f>
        <v>0</v>
      </c>
      <c r="AF112">
        <f t="shared" ref="AF112" si="108">SUM(Q111:AD112)</f>
        <v>12</v>
      </c>
      <c r="AG112">
        <f>COUNTIF($B$5:$B$1201, Tabla213[[#This Row],[Num. Parcela]])</f>
        <v>12</v>
      </c>
      <c r="AH112" t="b">
        <f t="shared" ref="AH112" si="109">IF(AF112=AG112, TRUE)</f>
        <v>1</v>
      </c>
      <c r="AK112">
        <v>37.299999999999997</v>
      </c>
      <c r="AL112" t="s">
        <v>33</v>
      </c>
      <c r="AM112" t="s">
        <v>124</v>
      </c>
      <c r="AN112" t="s">
        <v>476</v>
      </c>
    </row>
    <row r="113" spans="1:40" x14ac:dyDescent="0.2">
      <c r="A113" s="7">
        <v>109</v>
      </c>
      <c r="B113" s="7">
        <v>4.0999999999999996</v>
      </c>
      <c r="C113" s="1" t="str">
        <f t="shared" si="64"/>
        <v>CANINDO 2</v>
      </c>
      <c r="D113" s="7" t="s">
        <v>127</v>
      </c>
      <c r="E113" s="1" t="str">
        <f t="shared" si="65"/>
        <v>SAYULA</v>
      </c>
      <c r="F113" s="7">
        <v>2</v>
      </c>
      <c r="G113" s="7" t="s">
        <v>477</v>
      </c>
      <c r="H113" s="7" t="s">
        <v>488</v>
      </c>
      <c r="I113" s="9" t="s">
        <v>488</v>
      </c>
      <c r="J113" s="9">
        <v>109</v>
      </c>
      <c r="K113" s="7"/>
      <c r="M113">
        <v>38.1</v>
      </c>
      <c r="N113" t="s">
        <v>680</v>
      </c>
      <c r="O113" t="s">
        <v>116</v>
      </c>
      <c r="P113" t="s">
        <v>476</v>
      </c>
      <c r="Q113">
        <f>COUNTIFS($H$4:$H$1201,Tabla213[[#Headers],[Neopestalotiopsis]], $G$4:$G$1201,Tabla213[[#This Row],[Organo]], $B$4:$B$1201,M113)</f>
        <v>1</v>
      </c>
      <c r="R113">
        <f>COUNTIFS($H$4:$H$1201,Tabla213[[#Headers],[Fusarium]], $G$4:$G$1201,Tabla213[[#This Row],[Organo]], $B$4:$B$1201,M113)</f>
        <v>2</v>
      </c>
      <c r="S113">
        <f>COUNTIFS($H$4:$H$1201,Tabla213[[#Headers],[Cylindrocarpon]], $G$4:$G$1201,Tabla213[[#This Row],[Organo]], $B$4:$B$1201,M113)</f>
        <v>0</v>
      </c>
      <c r="T113">
        <f>COUNTIFS($H$4:$H$1201,Tabla213[[#Headers],[Macrophomina]], $G$4:$G$1201,Tabla213[[#This Row],[Organo]], $B$4:$B$1201,M113)</f>
        <v>0</v>
      </c>
      <c r="U113">
        <f>COUNTIFS($H$4:$H$1201,Tabla213[[#Headers],[Rhizoctonia]], $G$4:$G$1201,Tabla213[[#This Row],[Organo]], $B$4:$B$1201,M113)</f>
        <v>0</v>
      </c>
      <c r="V113">
        <v>0</v>
      </c>
      <c r="W113">
        <f>COUNTIFS($H$4:$H$1201,Tabla213[[#Headers],[Alternaria]], $G$4:$G$1201,Tabla213[[#This Row],[Organo]], $B$4:$B$1201,M113)</f>
        <v>0</v>
      </c>
      <c r="X113">
        <f>COUNTIFS($H$4:$H$1201,Tabla213[[#Headers],[Botrytis]], $G$4:$G$1201,Tabla213[[#This Row],[Organo]], $B$4:$B$1201,M113)</f>
        <v>0</v>
      </c>
      <c r="Y113">
        <f>COUNTIFS($H$4:$H$1201,Tabla213[[#Headers],[Colletotrichum]], $G$4:$G$1201,Tabla213[[#This Row],[Organo]], $B$4:$B$1201,M113)</f>
        <v>0</v>
      </c>
      <c r="Z113">
        <f>COUNTIFS($H$4:$H$1201,Tabla213[[#Headers],[Aspergillus]], $G$4:$G$1201,Tabla213[[#This Row],[Organo]], $B$4:$B$1201,M113)</f>
        <v>0</v>
      </c>
      <c r="AA113">
        <f>COUNTIFS($H$4:$H$1201,Tabla213[[#Headers],[NO ID]], $G$4:$G$1201,Tabla213[[#This Row],[Organo]], $B$4:$B$1201,M113)</f>
        <v>0</v>
      </c>
      <c r="AB113">
        <f>COUNTIFS($H$4:$H$1201,Tabla213[[#Headers],[Trichoderma]], $G$4:$G$1201,Tabla213[[#This Row],[Organo]], $B$4:$B$1201,M113)</f>
        <v>0</v>
      </c>
      <c r="AC113">
        <f>COUNTIFS($H$4:$H$1201,Tabla213[[#Headers],[Rizophus]], $G$4:$G$1201,Tabla213[[#This Row],[Organo]], $B$4:$B$1201,M113)</f>
        <v>0</v>
      </c>
      <c r="AD113">
        <f>COUNTIFS($H$4:$H$1201,Tabla213[[#Headers],[FALTANTES]], $G$4:$G$1201,Tabla213[[#This Row],[Organo]], $B$4:$B$1201,M113)</f>
        <v>0</v>
      </c>
      <c r="AK113">
        <v>38.1</v>
      </c>
      <c r="AL113" t="s">
        <v>34</v>
      </c>
      <c r="AM113" t="s">
        <v>116</v>
      </c>
      <c r="AN113" t="s">
        <v>477</v>
      </c>
    </row>
    <row r="114" spans="1:40" x14ac:dyDescent="0.2">
      <c r="A114" s="7">
        <v>110</v>
      </c>
      <c r="B114" s="7">
        <v>4.2</v>
      </c>
      <c r="C114" s="1" t="str">
        <f t="shared" si="64"/>
        <v>CANINDO 3</v>
      </c>
      <c r="D114" s="7" t="s">
        <v>127</v>
      </c>
      <c r="E114" s="1" t="str">
        <f t="shared" si="65"/>
        <v>SANTA MARIA</v>
      </c>
      <c r="F114" s="7">
        <v>1</v>
      </c>
      <c r="G114" s="7" t="s">
        <v>476</v>
      </c>
      <c r="H114" s="7" t="s">
        <v>155</v>
      </c>
      <c r="I114" s="7" t="s">
        <v>155</v>
      </c>
      <c r="J114" s="7">
        <v>110</v>
      </c>
      <c r="K114" s="7"/>
      <c r="M114">
        <v>38.1</v>
      </c>
      <c r="N114" t="s">
        <v>680</v>
      </c>
      <c r="O114" t="s">
        <v>116</v>
      </c>
      <c r="P114" t="s">
        <v>477</v>
      </c>
      <c r="Q114">
        <f>COUNTIFS($H$4:$H$1201,Tabla213[[#Headers],[Neopestalotiopsis]], $G$4:$G$1201,Tabla213[[#This Row],[Organo]], $B$4:$B$1201,M114)</f>
        <v>0</v>
      </c>
      <c r="R114">
        <f>COUNTIFS($H$4:$H$1201,Tabla213[[#Headers],[Fusarium]], $G$4:$G$1201,Tabla213[[#This Row],[Organo]], $B$4:$B$1201,M114)</f>
        <v>0</v>
      </c>
      <c r="S114">
        <f>COUNTIFS($H$4:$H$1201,Tabla213[[#Headers],[Cylindrocarpon]], $G$4:$G$1201,Tabla213[[#This Row],[Organo]], $B$4:$B$1201,M114)</f>
        <v>1</v>
      </c>
      <c r="T114">
        <f>COUNTIFS($H$4:$H$1201,Tabla213[[#Headers],[Macrophomina]], $G$4:$G$1201,Tabla213[[#This Row],[Organo]], $B$4:$B$1201,M114)</f>
        <v>0</v>
      </c>
      <c r="U114">
        <f>COUNTIFS($H$4:$H$1201,Tabla213[[#Headers],[Rhizoctonia]], $G$4:$G$1201,Tabla213[[#This Row],[Organo]], $B$4:$B$1201,M114)</f>
        <v>0</v>
      </c>
      <c r="V114">
        <v>0</v>
      </c>
      <c r="W114">
        <f>COUNTIFS($H$4:$H$1201,Tabla213[[#Headers],[Alternaria]], $G$4:$G$1201,Tabla213[[#This Row],[Organo]], $B$4:$B$1201,M114)</f>
        <v>0</v>
      </c>
      <c r="X114">
        <f>COUNTIFS($H$4:$H$1201,Tabla213[[#Headers],[Botrytis]], $G$4:$G$1201,Tabla213[[#This Row],[Organo]], $B$4:$B$1201,M114)</f>
        <v>0</v>
      </c>
      <c r="Y114">
        <f>COUNTIFS($H$4:$H$1201,Tabla213[[#Headers],[Colletotrichum]], $G$4:$G$1201,Tabla213[[#This Row],[Organo]], $B$4:$B$1201,M114)</f>
        <v>0</v>
      </c>
      <c r="Z114">
        <f>COUNTIFS($H$4:$H$1201,Tabla213[[#Headers],[Aspergillus]], $G$4:$G$1201,Tabla213[[#This Row],[Organo]], $B$4:$B$1201,M114)</f>
        <v>0</v>
      </c>
      <c r="AA114">
        <f>COUNTIFS($H$4:$H$1201,Tabla213[[#Headers],[NO ID]], $G$4:$G$1201,Tabla213[[#This Row],[Organo]], $B$4:$B$1201,M114)</f>
        <v>0</v>
      </c>
      <c r="AB114">
        <f>COUNTIFS($H$4:$H$1201,Tabla213[[#Headers],[Trichoderma]], $G$4:$G$1201,Tabla213[[#This Row],[Organo]], $B$4:$B$1201,M114)</f>
        <v>0</v>
      </c>
      <c r="AC114">
        <f>COUNTIFS($H$4:$H$1201,Tabla213[[#Headers],[Rizophus]], $G$4:$G$1201,Tabla213[[#This Row],[Organo]], $B$4:$B$1201,M114)</f>
        <v>0</v>
      </c>
      <c r="AD114">
        <f>COUNTIFS($H$4:$H$1201,Tabla213[[#Headers],[FALTANTES]], $G$4:$G$1201,Tabla213[[#This Row],[Organo]], $B$4:$B$1201,M114)</f>
        <v>0</v>
      </c>
      <c r="AF114">
        <f t="shared" ref="AF114" si="110">SUM(Q113:AD114)</f>
        <v>4</v>
      </c>
      <c r="AG114">
        <f>COUNTIF($B$5:$B$1201, Tabla213[[#This Row],[Num. Parcela]])</f>
        <v>4</v>
      </c>
      <c r="AH114" t="b">
        <f t="shared" ref="AH114" si="111">IF(AF114=AG114, TRUE)</f>
        <v>1</v>
      </c>
      <c r="AK114">
        <v>38.1</v>
      </c>
      <c r="AL114" t="s">
        <v>34</v>
      </c>
      <c r="AM114" t="s">
        <v>116</v>
      </c>
      <c r="AN114" t="s">
        <v>476</v>
      </c>
    </row>
    <row r="115" spans="1:40" x14ac:dyDescent="0.2">
      <c r="A115" s="7">
        <v>111</v>
      </c>
      <c r="B115" s="7">
        <v>4.2</v>
      </c>
      <c r="C115" s="1" t="str">
        <f t="shared" si="64"/>
        <v>CANINDO 3</v>
      </c>
      <c r="D115" s="7" t="s">
        <v>127</v>
      </c>
      <c r="E115" s="1" t="str">
        <f t="shared" si="65"/>
        <v>SANTA MARIA</v>
      </c>
      <c r="F115" s="7">
        <v>1</v>
      </c>
      <c r="G115" s="7" t="s">
        <v>476</v>
      </c>
      <c r="H115" s="7" t="s">
        <v>155</v>
      </c>
      <c r="I115" s="7" t="s">
        <v>155</v>
      </c>
      <c r="J115" s="7">
        <v>111</v>
      </c>
      <c r="K115" s="19" t="s">
        <v>638</v>
      </c>
      <c r="M115">
        <v>38.200000000000003</v>
      </c>
      <c r="N115" t="s">
        <v>682</v>
      </c>
      <c r="O115" t="s">
        <v>114</v>
      </c>
      <c r="P115" t="s">
        <v>476</v>
      </c>
      <c r="Q115">
        <f>COUNTIFS($H$4:$H$1201,Tabla213[[#Headers],[Neopestalotiopsis]], $G$4:$G$1201,Tabla213[[#This Row],[Organo]], $B$4:$B$1201,M115)</f>
        <v>3</v>
      </c>
      <c r="R115">
        <f>COUNTIFS($H$4:$H$1201,Tabla213[[#Headers],[Fusarium]], $G$4:$G$1201,Tabla213[[#This Row],[Organo]], $B$4:$B$1201,M115)</f>
        <v>1</v>
      </c>
      <c r="S115">
        <f>COUNTIFS($H$4:$H$1201,Tabla213[[#Headers],[Cylindrocarpon]], $G$4:$G$1201,Tabla213[[#This Row],[Organo]], $B$4:$B$1201,M115)</f>
        <v>0</v>
      </c>
      <c r="T115">
        <f>COUNTIFS($H$4:$H$1201,Tabla213[[#Headers],[Macrophomina]], $G$4:$G$1201,Tabla213[[#This Row],[Organo]], $B$4:$B$1201,M115)</f>
        <v>0</v>
      </c>
      <c r="U115">
        <f>COUNTIFS($H$4:$H$1201,Tabla213[[#Headers],[Rhizoctonia]], $G$4:$G$1201,Tabla213[[#This Row],[Organo]], $B$4:$B$1201,M115)</f>
        <v>0</v>
      </c>
      <c r="V115">
        <v>0</v>
      </c>
      <c r="W115">
        <f>COUNTIFS($H$4:$H$1201,Tabla213[[#Headers],[Alternaria]], $G$4:$G$1201,Tabla213[[#This Row],[Organo]], $B$4:$B$1201,M115)</f>
        <v>0</v>
      </c>
      <c r="X115">
        <f>COUNTIFS($H$4:$H$1201,Tabla213[[#Headers],[Botrytis]], $G$4:$G$1201,Tabla213[[#This Row],[Organo]], $B$4:$B$1201,M115)</f>
        <v>0</v>
      </c>
      <c r="Y115">
        <f>COUNTIFS($H$4:$H$1201,Tabla213[[#Headers],[Colletotrichum]], $G$4:$G$1201,Tabla213[[#This Row],[Organo]], $B$4:$B$1201,M115)</f>
        <v>0</v>
      </c>
      <c r="Z115">
        <f>COUNTIFS($H$4:$H$1201,Tabla213[[#Headers],[Aspergillus]], $G$4:$G$1201,Tabla213[[#This Row],[Organo]], $B$4:$B$1201,M115)</f>
        <v>0</v>
      </c>
      <c r="AA115">
        <f>COUNTIFS($H$4:$H$1201,Tabla213[[#Headers],[NO ID]], $G$4:$G$1201,Tabla213[[#This Row],[Organo]], $B$4:$B$1201,M115)</f>
        <v>1</v>
      </c>
      <c r="AB115">
        <f>COUNTIFS($H$4:$H$1201,Tabla213[[#Headers],[Trichoderma]], $G$4:$G$1201,Tabla213[[#This Row],[Organo]], $B$4:$B$1201,M115)</f>
        <v>0</v>
      </c>
      <c r="AC115">
        <f>COUNTIFS($H$4:$H$1201,Tabla213[[#Headers],[Rizophus]], $G$4:$G$1201,Tabla213[[#This Row],[Organo]], $B$4:$B$1201,M115)</f>
        <v>0</v>
      </c>
      <c r="AD115">
        <f>COUNTIFS($H$4:$H$1201,Tabla213[[#Headers],[FALTANTES]], $G$4:$G$1201,Tabla213[[#This Row],[Organo]], $B$4:$B$1201,M115)</f>
        <v>0</v>
      </c>
      <c r="AK115">
        <v>38.200000000000003</v>
      </c>
      <c r="AL115" t="s">
        <v>34</v>
      </c>
      <c r="AM115" t="s">
        <v>114</v>
      </c>
      <c r="AN115" t="s">
        <v>477</v>
      </c>
    </row>
    <row r="116" spans="1:40" x14ac:dyDescent="0.2">
      <c r="A116" s="7">
        <v>112</v>
      </c>
      <c r="B116" s="7">
        <v>4.2</v>
      </c>
      <c r="C116" s="1" t="str">
        <f t="shared" si="64"/>
        <v>CANINDO 3</v>
      </c>
      <c r="D116" s="7" t="s">
        <v>127</v>
      </c>
      <c r="E116" s="1" t="str">
        <f t="shared" si="65"/>
        <v>SANTA MARIA</v>
      </c>
      <c r="F116" s="7">
        <v>1</v>
      </c>
      <c r="G116" s="7" t="s">
        <v>476</v>
      </c>
      <c r="H116" s="7" t="s">
        <v>475</v>
      </c>
      <c r="I116" s="9" t="s">
        <v>475</v>
      </c>
      <c r="J116" s="9">
        <v>112</v>
      </c>
      <c r="K116" s="7"/>
      <c r="M116">
        <v>38.200000000000003</v>
      </c>
      <c r="N116" t="s">
        <v>682</v>
      </c>
      <c r="O116" t="s">
        <v>114</v>
      </c>
      <c r="P116" t="s">
        <v>477</v>
      </c>
      <c r="Q116">
        <f>COUNTIFS($H$4:$H$1201,Tabla213[[#Headers],[Neopestalotiopsis]], $G$4:$G$1201,Tabla213[[#This Row],[Organo]], $B$4:$B$1201,M116)</f>
        <v>2</v>
      </c>
      <c r="R116">
        <f>COUNTIFS($H$4:$H$1201,Tabla213[[#Headers],[Fusarium]], $G$4:$G$1201,Tabla213[[#This Row],[Organo]], $B$4:$B$1201,M116)</f>
        <v>1</v>
      </c>
      <c r="S116">
        <f>COUNTIFS($H$4:$H$1201,Tabla213[[#Headers],[Cylindrocarpon]], $G$4:$G$1201,Tabla213[[#This Row],[Organo]], $B$4:$B$1201,M116)</f>
        <v>1</v>
      </c>
      <c r="T116">
        <f>COUNTIFS($H$4:$H$1201,Tabla213[[#Headers],[Macrophomina]], $G$4:$G$1201,Tabla213[[#This Row],[Organo]], $B$4:$B$1201,M116)</f>
        <v>0</v>
      </c>
      <c r="U116">
        <f>COUNTIFS($H$4:$H$1201,Tabla213[[#Headers],[Rhizoctonia]], $G$4:$G$1201,Tabla213[[#This Row],[Organo]], $B$4:$B$1201,M116)</f>
        <v>0</v>
      </c>
      <c r="V116">
        <v>0</v>
      </c>
      <c r="W116">
        <f>COUNTIFS($H$4:$H$1201,Tabla213[[#Headers],[Alternaria]], $G$4:$G$1201,Tabla213[[#This Row],[Organo]], $B$4:$B$1201,M116)</f>
        <v>2</v>
      </c>
      <c r="X116">
        <f>COUNTIFS($H$4:$H$1201,Tabla213[[#Headers],[Botrytis]], $G$4:$G$1201,Tabla213[[#This Row],[Organo]], $B$4:$B$1201,M116)</f>
        <v>0</v>
      </c>
      <c r="Y116">
        <f>COUNTIFS($H$4:$H$1201,Tabla213[[#Headers],[Colletotrichum]], $G$4:$G$1201,Tabla213[[#This Row],[Organo]], $B$4:$B$1201,M116)</f>
        <v>0</v>
      </c>
      <c r="Z116">
        <f>COUNTIFS($H$4:$H$1201,Tabla213[[#Headers],[Aspergillus]], $G$4:$G$1201,Tabla213[[#This Row],[Organo]], $B$4:$B$1201,M116)</f>
        <v>0</v>
      </c>
      <c r="AA116">
        <f>COUNTIFS($H$4:$H$1201,Tabla213[[#Headers],[NO ID]], $G$4:$G$1201,Tabla213[[#This Row],[Organo]], $B$4:$B$1201,M116)</f>
        <v>0</v>
      </c>
      <c r="AB116">
        <f>COUNTIFS($H$4:$H$1201,Tabla213[[#Headers],[Trichoderma]], $G$4:$G$1201,Tabla213[[#This Row],[Organo]], $B$4:$B$1201,M116)</f>
        <v>2</v>
      </c>
      <c r="AC116">
        <f>COUNTIFS($H$4:$H$1201,Tabla213[[#Headers],[Rizophus]], $G$4:$G$1201,Tabla213[[#This Row],[Organo]], $B$4:$B$1201,M116)</f>
        <v>0</v>
      </c>
      <c r="AD116">
        <f>COUNTIFS($H$4:$H$1201,Tabla213[[#Headers],[FALTANTES]], $G$4:$G$1201,Tabla213[[#This Row],[Organo]], $B$4:$B$1201,M116)</f>
        <v>0</v>
      </c>
      <c r="AF116">
        <f t="shared" ref="AF116" si="112">SUM(Q115:AD116)</f>
        <v>13</v>
      </c>
      <c r="AG116">
        <f>COUNTIF($B$5:$B$1201, Tabla213[[#This Row],[Num. Parcela]])</f>
        <v>13</v>
      </c>
      <c r="AH116" t="b">
        <f t="shared" ref="AH116" si="113">IF(AF116=AG116, TRUE)</f>
        <v>1</v>
      </c>
      <c r="AK116">
        <v>38.200000000000003</v>
      </c>
      <c r="AL116" t="s">
        <v>34</v>
      </c>
      <c r="AM116" t="s">
        <v>114</v>
      </c>
      <c r="AN116" t="s">
        <v>476</v>
      </c>
    </row>
    <row r="117" spans="1:40" x14ac:dyDescent="0.2">
      <c r="A117" s="7">
        <v>113</v>
      </c>
      <c r="B117" s="7">
        <v>4.2</v>
      </c>
      <c r="C117" s="1" t="str">
        <f t="shared" si="64"/>
        <v>CANINDO 3</v>
      </c>
      <c r="D117" s="7" t="s">
        <v>127</v>
      </c>
      <c r="E117" s="1" t="str">
        <f t="shared" si="65"/>
        <v>SANTA MARIA</v>
      </c>
      <c r="F117" s="7">
        <v>2</v>
      </c>
      <c r="G117" s="7" t="s">
        <v>476</v>
      </c>
      <c r="H117" s="7" t="s">
        <v>155</v>
      </c>
      <c r="I117" s="7" t="s">
        <v>155</v>
      </c>
      <c r="J117" s="7">
        <v>113</v>
      </c>
      <c r="K117" s="7"/>
      <c r="M117">
        <v>38.299999999999997</v>
      </c>
      <c r="N117" t="s">
        <v>681</v>
      </c>
      <c r="O117" t="s">
        <v>119</v>
      </c>
      <c r="P117" t="s">
        <v>476</v>
      </c>
      <c r="Q117">
        <f>COUNTIFS($H$4:$H$1201,Tabla213[[#Headers],[Neopestalotiopsis]], $G$4:$G$1201,Tabla213[[#This Row],[Organo]], $B$4:$B$1201,M117)</f>
        <v>0</v>
      </c>
      <c r="R117">
        <f>COUNTIFS($H$4:$H$1201,Tabla213[[#Headers],[Fusarium]], $G$4:$G$1201,Tabla213[[#This Row],[Organo]], $B$4:$B$1201,M117)</f>
        <v>0</v>
      </c>
      <c r="S117">
        <f>COUNTIFS($H$4:$H$1201,Tabla213[[#Headers],[Cylindrocarpon]], $G$4:$G$1201,Tabla213[[#This Row],[Organo]], $B$4:$B$1201,M117)</f>
        <v>0</v>
      </c>
      <c r="T117">
        <f>COUNTIFS($H$4:$H$1201,Tabla213[[#Headers],[Macrophomina]], $G$4:$G$1201,Tabla213[[#This Row],[Organo]], $B$4:$B$1201,M117)</f>
        <v>0</v>
      </c>
      <c r="U117">
        <f>COUNTIFS($H$4:$H$1201,Tabla213[[#Headers],[Rhizoctonia]], $G$4:$G$1201,Tabla213[[#This Row],[Organo]], $B$4:$B$1201,M117)</f>
        <v>0</v>
      </c>
      <c r="V117">
        <v>0</v>
      </c>
      <c r="W117">
        <f>COUNTIFS($H$4:$H$1201,Tabla213[[#Headers],[Alternaria]], $G$4:$G$1201,Tabla213[[#This Row],[Organo]], $B$4:$B$1201,M117)</f>
        <v>0</v>
      </c>
      <c r="X117">
        <f>COUNTIFS($H$4:$H$1201,Tabla213[[#Headers],[Botrytis]], $G$4:$G$1201,Tabla213[[#This Row],[Organo]], $B$4:$B$1201,M117)</f>
        <v>0</v>
      </c>
      <c r="Y117">
        <f>COUNTIFS($H$4:$H$1201,Tabla213[[#Headers],[Colletotrichum]], $G$4:$G$1201,Tabla213[[#This Row],[Organo]], $B$4:$B$1201,M117)</f>
        <v>0</v>
      </c>
      <c r="Z117">
        <f>COUNTIFS($H$4:$H$1201,Tabla213[[#Headers],[Aspergillus]], $G$4:$G$1201,Tabla213[[#This Row],[Organo]], $B$4:$B$1201,M117)</f>
        <v>0</v>
      </c>
      <c r="AA117">
        <f>COUNTIFS($H$4:$H$1201,Tabla213[[#Headers],[NO ID]], $G$4:$G$1201,Tabla213[[#This Row],[Organo]], $B$4:$B$1201,M117)</f>
        <v>0</v>
      </c>
      <c r="AB117">
        <f>COUNTIFS($H$4:$H$1201,Tabla213[[#Headers],[Trichoderma]], $G$4:$G$1201,Tabla213[[#This Row],[Organo]], $B$4:$B$1201,M117)</f>
        <v>0</v>
      </c>
      <c r="AC117">
        <f>COUNTIFS($H$4:$H$1201,Tabla213[[#Headers],[Rizophus]], $G$4:$G$1201,Tabla213[[#This Row],[Organo]], $B$4:$B$1201,M117)</f>
        <v>0</v>
      </c>
      <c r="AD117">
        <f>COUNTIFS($H$4:$H$1201,Tabla213[[#Headers],[FALTANTES]], $G$4:$G$1201,Tabla213[[#This Row],[Organo]], $B$4:$B$1201,M117)</f>
        <v>0</v>
      </c>
      <c r="AK117">
        <v>38.299999999999997</v>
      </c>
      <c r="AL117" t="s">
        <v>34</v>
      </c>
      <c r="AM117" t="s">
        <v>119</v>
      </c>
      <c r="AN117" t="s">
        <v>477</v>
      </c>
    </row>
    <row r="118" spans="1:40" x14ac:dyDescent="0.2">
      <c r="A118" s="7">
        <v>114</v>
      </c>
      <c r="B118" s="7">
        <v>4.2</v>
      </c>
      <c r="C118" s="1" t="str">
        <f t="shared" si="64"/>
        <v>CANINDO 3</v>
      </c>
      <c r="D118" s="7" t="s">
        <v>127</v>
      </c>
      <c r="E118" s="1" t="str">
        <f t="shared" si="65"/>
        <v>SANTA MARIA</v>
      </c>
      <c r="F118" s="7">
        <v>2</v>
      </c>
      <c r="G118" s="7" t="s">
        <v>476</v>
      </c>
      <c r="H118" s="7" t="s">
        <v>155</v>
      </c>
      <c r="I118" s="7" t="s">
        <v>155</v>
      </c>
      <c r="J118" s="7">
        <v>114</v>
      </c>
      <c r="K118" s="7"/>
      <c r="M118">
        <v>38.299999999999997</v>
      </c>
      <c r="N118" t="s">
        <v>681</v>
      </c>
      <c r="O118" t="s">
        <v>119</v>
      </c>
      <c r="P118" t="s">
        <v>477</v>
      </c>
      <c r="Q118">
        <f>COUNTIFS($H$4:$H$1201,Tabla213[[#Headers],[Neopestalotiopsis]], $G$4:$G$1201,Tabla213[[#This Row],[Organo]], $B$4:$B$1201,M118)</f>
        <v>0</v>
      </c>
      <c r="R118">
        <f>COUNTIFS($H$4:$H$1201,Tabla213[[#Headers],[Fusarium]], $G$4:$G$1201,Tabla213[[#This Row],[Organo]], $B$4:$B$1201,M118)</f>
        <v>0</v>
      </c>
      <c r="S118">
        <f>COUNTIFS($H$4:$H$1201,Tabla213[[#Headers],[Cylindrocarpon]], $G$4:$G$1201,Tabla213[[#This Row],[Organo]], $B$4:$B$1201,M118)</f>
        <v>0</v>
      </c>
      <c r="T118">
        <f>COUNTIFS($H$4:$H$1201,Tabla213[[#Headers],[Macrophomina]], $G$4:$G$1201,Tabla213[[#This Row],[Organo]], $B$4:$B$1201,M118)</f>
        <v>0</v>
      </c>
      <c r="U118">
        <f>COUNTIFS($H$4:$H$1201,Tabla213[[#Headers],[Rhizoctonia]], $G$4:$G$1201,Tabla213[[#This Row],[Organo]], $B$4:$B$1201,M118)</f>
        <v>0</v>
      </c>
      <c r="V118">
        <v>0</v>
      </c>
      <c r="W118">
        <f>COUNTIFS($H$4:$H$1201,Tabla213[[#Headers],[Alternaria]], $G$4:$G$1201,Tabla213[[#This Row],[Organo]], $B$4:$B$1201,M118)</f>
        <v>0</v>
      </c>
      <c r="X118">
        <f>COUNTIFS($H$4:$H$1201,Tabla213[[#Headers],[Botrytis]], $G$4:$G$1201,Tabla213[[#This Row],[Organo]], $B$4:$B$1201,M118)</f>
        <v>0</v>
      </c>
      <c r="Y118">
        <f>COUNTIFS($H$4:$H$1201,Tabla213[[#Headers],[Colletotrichum]], $G$4:$G$1201,Tabla213[[#This Row],[Organo]], $B$4:$B$1201,M118)</f>
        <v>0</v>
      </c>
      <c r="Z118">
        <f>COUNTIFS($H$4:$H$1201,Tabla213[[#Headers],[Aspergillus]], $G$4:$G$1201,Tabla213[[#This Row],[Organo]], $B$4:$B$1201,M118)</f>
        <v>0</v>
      </c>
      <c r="AA118">
        <f>COUNTIFS($H$4:$H$1201,Tabla213[[#Headers],[NO ID]], $G$4:$G$1201,Tabla213[[#This Row],[Organo]], $B$4:$B$1201,M118)</f>
        <v>0</v>
      </c>
      <c r="AB118">
        <f>COUNTIFS($H$4:$H$1201,Tabla213[[#Headers],[Trichoderma]], $G$4:$G$1201,Tabla213[[#This Row],[Organo]], $B$4:$B$1201,M118)</f>
        <v>0</v>
      </c>
      <c r="AC118">
        <f>COUNTIFS($H$4:$H$1201,Tabla213[[#Headers],[Rizophus]], $G$4:$G$1201,Tabla213[[#This Row],[Organo]], $B$4:$B$1201,M118)</f>
        <v>0</v>
      </c>
      <c r="AD118">
        <f>COUNTIFS($H$4:$H$1201,Tabla213[[#Headers],[FALTANTES]], $G$4:$G$1201,Tabla213[[#This Row],[Organo]], $B$4:$B$1201,M118)</f>
        <v>0</v>
      </c>
      <c r="AF118">
        <f t="shared" ref="AF118" si="114">SUM(Q117:AD118)</f>
        <v>0</v>
      </c>
      <c r="AG118">
        <f>COUNTIF($B$5:$B$1201, Tabla213[[#This Row],[Num. Parcela]])</f>
        <v>0</v>
      </c>
      <c r="AH118" t="b">
        <f t="shared" ref="AH118" si="115">IF(AF118=AG118, TRUE)</f>
        <v>1</v>
      </c>
      <c r="AK118">
        <v>38.299999999999997</v>
      </c>
      <c r="AL118" t="s">
        <v>34</v>
      </c>
      <c r="AM118" t="s">
        <v>119</v>
      </c>
      <c r="AN118" t="s">
        <v>476</v>
      </c>
    </row>
    <row r="119" spans="1:40" x14ac:dyDescent="0.2">
      <c r="A119" s="7">
        <v>115</v>
      </c>
      <c r="B119" s="7">
        <v>4.2</v>
      </c>
      <c r="C119" s="1" t="str">
        <f t="shared" si="64"/>
        <v>CANINDO 3</v>
      </c>
      <c r="D119" s="7" t="s">
        <v>127</v>
      </c>
      <c r="E119" s="1" t="str">
        <f t="shared" si="65"/>
        <v>SANTA MARIA</v>
      </c>
      <c r="F119" s="7">
        <v>2</v>
      </c>
      <c r="G119" s="7" t="s">
        <v>476</v>
      </c>
      <c r="H119" s="7" t="s">
        <v>155</v>
      </c>
      <c r="I119" s="7" t="s">
        <v>155</v>
      </c>
      <c r="J119" s="7">
        <v>115</v>
      </c>
      <c r="K119" s="19" t="s">
        <v>638</v>
      </c>
      <c r="M119">
        <v>39</v>
      </c>
      <c r="N119" t="s">
        <v>35</v>
      </c>
      <c r="O119" t="s">
        <v>115</v>
      </c>
      <c r="P119" t="s">
        <v>476</v>
      </c>
      <c r="Q119">
        <f>COUNTIFS($H$4:$H$1201,Tabla213[[#Headers],[Neopestalotiopsis]], $G$4:$G$1201,Tabla213[[#This Row],[Organo]], $B$4:$B$1201,M119)</f>
        <v>3</v>
      </c>
      <c r="R119">
        <f>COUNTIFS($H$4:$H$1201,Tabla213[[#Headers],[Fusarium]], $G$4:$G$1201,Tabla213[[#This Row],[Organo]], $B$4:$B$1201,M119)</f>
        <v>1</v>
      </c>
      <c r="S119">
        <f>COUNTIFS($H$4:$H$1201,Tabla213[[#Headers],[Cylindrocarpon]], $G$4:$G$1201,Tabla213[[#This Row],[Organo]], $B$4:$B$1201,M119)</f>
        <v>0</v>
      </c>
      <c r="T119">
        <f>COUNTIFS($H$4:$H$1201,Tabla213[[#Headers],[Macrophomina]], $G$4:$G$1201,Tabla213[[#This Row],[Organo]], $B$4:$B$1201,M119)</f>
        <v>0</v>
      </c>
      <c r="U119">
        <f>COUNTIFS($H$4:$H$1201,Tabla213[[#Headers],[Rhizoctonia]], $G$4:$G$1201,Tabla213[[#This Row],[Organo]], $B$4:$B$1201,M119)</f>
        <v>0</v>
      </c>
      <c r="V119">
        <v>0</v>
      </c>
      <c r="W119">
        <f>COUNTIFS($H$4:$H$1201,Tabla213[[#Headers],[Alternaria]], $G$4:$G$1201,Tabla213[[#This Row],[Organo]], $B$4:$B$1201,M119)</f>
        <v>0</v>
      </c>
      <c r="X119">
        <f>COUNTIFS($H$4:$H$1201,Tabla213[[#Headers],[Botrytis]], $G$4:$G$1201,Tabla213[[#This Row],[Organo]], $B$4:$B$1201,M119)</f>
        <v>0</v>
      </c>
      <c r="Y119">
        <f>COUNTIFS($H$4:$H$1201,Tabla213[[#Headers],[Colletotrichum]], $G$4:$G$1201,Tabla213[[#This Row],[Organo]], $B$4:$B$1201,M119)</f>
        <v>0</v>
      </c>
      <c r="Z119">
        <f>COUNTIFS($H$4:$H$1201,Tabla213[[#Headers],[Aspergillus]], $G$4:$G$1201,Tabla213[[#This Row],[Organo]], $B$4:$B$1201,M119)</f>
        <v>0</v>
      </c>
      <c r="AA119">
        <f>COUNTIFS($H$4:$H$1201,Tabla213[[#Headers],[NO ID]], $G$4:$G$1201,Tabla213[[#This Row],[Organo]], $B$4:$B$1201,M119)</f>
        <v>0</v>
      </c>
      <c r="AB119">
        <f>COUNTIFS($H$4:$H$1201,Tabla213[[#Headers],[Trichoderma]], $G$4:$G$1201,Tabla213[[#This Row],[Organo]], $B$4:$B$1201,M119)</f>
        <v>0</v>
      </c>
      <c r="AC119">
        <f>COUNTIFS($H$4:$H$1201,Tabla213[[#Headers],[Rizophus]], $G$4:$G$1201,Tabla213[[#This Row],[Organo]], $B$4:$B$1201,M119)</f>
        <v>0</v>
      </c>
      <c r="AD119">
        <f>COUNTIFS($H$4:$H$1201,Tabla213[[#Headers],[FALTANTES]], $G$4:$G$1201,Tabla213[[#This Row],[Organo]], $B$4:$B$1201,M119)</f>
        <v>0</v>
      </c>
      <c r="AK119">
        <v>39</v>
      </c>
      <c r="AL119" t="s">
        <v>35</v>
      </c>
      <c r="AM119" t="s">
        <v>115</v>
      </c>
      <c r="AN119" t="s">
        <v>477</v>
      </c>
    </row>
    <row r="120" spans="1:40" x14ac:dyDescent="0.2">
      <c r="A120" s="7">
        <v>116</v>
      </c>
      <c r="B120" s="7">
        <v>4.2</v>
      </c>
      <c r="C120" s="1" t="str">
        <f t="shared" si="64"/>
        <v>CANINDO 3</v>
      </c>
      <c r="D120" s="7" t="s">
        <v>127</v>
      </c>
      <c r="E120" s="1" t="str">
        <f t="shared" si="65"/>
        <v>SANTA MARIA</v>
      </c>
      <c r="F120" s="7">
        <v>1</v>
      </c>
      <c r="G120" s="7" t="s">
        <v>477</v>
      </c>
      <c r="H120" s="7" t="s">
        <v>155</v>
      </c>
      <c r="I120" s="7" t="s">
        <v>155</v>
      </c>
      <c r="J120" s="7">
        <v>116</v>
      </c>
      <c r="K120" s="7"/>
      <c r="M120">
        <v>39</v>
      </c>
      <c r="N120" t="s">
        <v>35</v>
      </c>
      <c r="O120" t="s">
        <v>115</v>
      </c>
      <c r="P120" t="s">
        <v>477</v>
      </c>
      <c r="Q120">
        <f>COUNTIFS($H$4:$H$1201,Tabla213[[#Headers],[Neopestalotiopsis]], $G$4:$G$1201,Tabla213[[#This Row],[Organo]], $B$4:$B$1201,M120)</f>
        <v>2</v>
      </c>
      <c r="R120">
        <f>COUNTIFS($H$4:$H$1201,Tabla213[[#Headers],[Fusarium]], $G$4:$G$1201,Tabla213[[#This Row],[Organo]], $B$4:$B$1201,M120)</f>
        <v>1</v>
      </c>
      <c r="S120">
        <f>COUNTIFS($H$4:$H$1201,Tabla213[[#Headers],[Cylindrocarpon]], $G$4:$G$1201,Tabla213[[#This Row],[Organo]], $B$4:$B$1201,M120)</f>
        <v>1</v>
      </c>
      <c r="T120">
        <f>COUNTIFS($H$4:$H$1201,Tabla213[[#Headers],[Macrophomina]], $G$4:$G$1201,Tabla213[[#This Row],[Organo]], $B$4:$B$1201,M120)</f>
        <v>0</v>
      </c>
      <c r="U120">
        <f>COUNTIFS($H$4:$H$1201,Tabla213[[#Headers],[Rhizoctonia]], $G$4:$G$1201,Tabla213[[#This Row],[Organo]], $B$4:$B$1201,M120)</f>
        <v>2</v>
      </c>
      <c r="V120">
        <v>0</v>
      </c>
      <c r="W120">
        <f>COUNTIFS($H$4:$H$1201,Tabla213[[#Headers],[Alternaria]], $G$4:$G$1201,Tabla213[[#This Row],[Organo]], $B$4:$B$1201,M120)</f>
        <v>0</v>
      </c>
      <c r="X120">
        <f>COUNTIFS($H$4:$H$1201,Tabla213[[#Headers],[Botrytis]], $G$4:$G$1201,Tabla213[[#This Row],[Organo]], $B$4:$B$1201,M120)</f>
        <v>0</v>
      </c>
      <c r="Y120">
        <f>COUNTIFS($H$4:$H$1201,Tabla213[[#Headers],[Colletotrichum]], $G$4:$G$1201,Tabla213[[#This Row],[Organo]], $B$4:$B$1201,M120)</f>
        <v>0</v>
      </c>
      <c r="Z120">
        <f>COUNTIFS($H$4:$H$1201,Tabla213[[#Headers],[Aspergillus]], $G$4:$G$1201,Tabla213[[#This Row],[Organo]], $B$4:$B$1201,M120)</f>
        <v>0</v>
      </c>
      <c r="AA120">
        <f>COUNTIFS($H$4:$H$1201,Tabla213[[#Headers],[NO ID]], $G$4:$G$1201,Tabla213[[#This Row],[Organo]], $B$4:$B$1201,M120)</f>
        <v>0</v>
      </c>
      <c r="AB120">
        <f>COUNTIFS($H$4:$H$1201,Tabla213[[#Headers],[Trichoderma]], $G$4:$G$1201,Tabla213[[#This Row],[Organo]], $B$4:$B$1201,M120)</f>
        <v>0</v>
      </c>
      <c r="AC120">
        <f>COUNTIFS($H$4:$H$1201,Tabla213[[#Headers],[Rizophus]], $G$4:$G$1201,Tabla213[[#This Row],[Organo]], $B$4:$B$1201,M120)</f>
        <v>0</v>
      </c>
      <c r="AD120">
        <f>COUNTIFS($H$4:$H$1201,Tabla213[[#Headers],[FALTANTES]], $G$4:$G$1201,Tabla213[[#This Row],[Organo]], $B$4:$B$1201,M120)</f>
        <v>0</v>
      </c>
      <c r="AF120">
        <f t="shared" ref="AF120" si="116">SUM(Q119:AD120)</f>
        <v>10</v>
      </c>
      <c r="AG120">
        <f>COUNTIF($B$5:$B$1201, Tabla213[[#This Row],[Num. Parcela]])</f>
        <v>10</v>
      </c>
      <c r="AH120" t="b">
        <f t="shared" ref="AH120" si="117">IF(AF120=AG120, TRUE)</f>
        <v>1</v>
      </c>
      <c r="AK120">
        <v>39</v>
      </c>
      <c r="AL120" t="s">
        <v>35</v>
      </c>
      <c r="AM120" t="s">
        <v>115</v>
      </c>
      <c r="AN120" t="s">
        <v>476</v>
      </c>
    </row>
    <row r="121" spans="1:40" x14ac:dyDescent="0.2">
      <c r="A121" s="7">
        <v>117</v>
      </c>
      <c r="B121" s="7">
        <v>4.2</v>
      </c>
      <c r="C121" s="1" t="str">
        <f t="shared" si="64"/>
        <v>CANINDO 3</v>
      </c>
      <c r="D121" s="7" t="s">
        <v>127</v>
      </c>
      <c r="E121" s="1" t="str">
        <f t="shared" si="65"/>
        <v>SANTA MARIA</v>
      </c>
      <c r="F121" s="7">
        <v>1</v>
      </c>
      <c r="G121" s="7" t="s">
        <v>477</v>
      </c>
      <c r="H121" s="7" t="s">
        <v>485</v>
      </c>
      <c r="I121" s="10" t="s">
        <v>485</v>
      </c>
      <c r="J121" s="10">
        <v>117</v>
      </c>
      <c r="K121" s="7"/>
      <c r="M121">
        <v>40.1</v>
      </c>
      <c r="N121" t="s">
        <v>683</v>
      </c>
      <c r="O121" t="s">
        <v>126</v>
      </c>
      <c r="P121" t="s">
        <v>476</v>
      </c>
      <c r="Q121">
        <f>COUNTIFS($H$4:$H$1201,Tabla213[[#Headers],[Neopestalotiopsis]], $G$4:$G$1201,Tabla213[[#This Row],[Organo]], $B$4:$B$1201,M121)</f>
        <v>5</v>
      </c>
      <c r="R121">
        <f>COUNTIFS($H$4:$H$1201,Tabla213[[#Headers],[Fusarium]], $G$4:$G$1201,Tabla213[[#This Row],[Organo]], $B$4:$B$1201,M121)</f>
        <v>1</v>
      </c>
      <c r="S121">
        <f>COUNTIFS($H$4:$H$1201,Tabla213[[#Headers],[Cylindrocarpon]], $G$4:$G$1201,Tabla213[[#This Row],[Organo]], $B$4:$B$1201,M121)</f>
        <v>0</v>
      </c>
      <c r="T121">
        <f>COUNTIFS($H$4:$H$1201,Tabla213[[#Headers],[Macrophomina]], $G$4:$G$1201,Tabla213[[#This Row],[Organo]], $B$4:$B$1201,M121)</f>
        <v>0</v>
      </c>
      <c r="U121">
        <f>COUNTIFS($H$4:$H$1201,Tabla213[[#Headers],[Rhizoctonia]], $G$4:$G$1201,Tabla213[[#This Row],[Organo]], $B$4:$B$1201,M121)</f>
        <v>0</v>
      </c>
      <c r="V121">
        <v>0</v>
      </c>
      <c r="W121">
        <f>COUNTIFS($H$4:$H$1201,Tabla213[[#Headers],[Alternaria]], $G$4:$G$1201,Tabla213[[#This Row],[Organo]], $B$4:$B$1201,M121)</f>
        <v>0</v>
      </c>
      <c r="X121">
        <f>COUNTIFS($H$4:$H$1201,Tabla213[[#Headers],[Botrytis]], $G$4:$G$1201,Tabla213[[#This Row],[Organo]], $B$4:$B$1201,M121)</f>
        <v>0</v>
      </c>
      <c r="Y121">
        <f>COUNTIFS($H$4:$H$1201,Tabla213[[#Headers],[Colletotrichum]], $G$4:$G$1201,Tabla213[[#This Row],[Organo]], $B$4:$B$1201,M121)</f>
        <v>0</v>
      </c>
      <c r="Z121">
        <f>COUNTIFS($H$4:$H$1201,Tabla213[[#Headers],[Aspergillus]], $G$4:$G$1201,Tabla213[[#This Row],[Organo]], $B$4:$B$1201,M121)</f>
        <v>0</v>
      </c>
      <c r="AA121">
        <f>COUNTIFS($H$4:$H$1201,Tabla213[[#Headers],[NO ID]], $G$4:$G$1201,Tabla213[[#This Row],[Organo]], $B$4:$B$1201,M121)</f>
        <v>0</v>
      </c>
      <c r="AB121">
        <f>COUNTIFS($H$4:$H$1201,Tabla213[[#Headers],[Trichoderma]], $G$4:$G$1201,Tabla213[[#This Row],[Organo]], $B$4:$B$1201,M121)</f>
        <v>0</v>
      </c>
      <c r="AC121">
        <f>COUNTIFS($H$4:$H$1201,Tabla213[[#Headers],[Rizophus]], $G$4:$G$1201,Tabla213[[#This Row],[Organo]], $B$4:$B$1201,M121)</f>
        <v>0</v>
      </c>
      <c r="AD121">
        <f>COUNTIFS($H$4:$H$1201,Tabla213[[#Headers],[FALTANTES]], $G$4:$G$1201,Tabla213[[#This Row],[Organo]], $B$4:$B$1201,M121)</f>
        <v>0</v>
      </c>
      <c r="AK121">
        <v>40</v>
      </c>
      <c r="AL121" t="s">
        <v>36</v>
      </c>
      <c r="AM121" t="s">
        <v>121</v>
      </c>
      <c r="AN121" t="s">
        <v>477</v>
      </c>
    </row>
    <row r="122" spans="1:40" x14ac:dyDescent="0.2">
      <c r="A122" s="7">
        <v>118</v>
      </c>
      <c r="B122" s="7">
        <v>4.2</v>
      </c>
      <c r="C122" s="1" t="str">
        <f t="shared" si="64"/>
        <v>CANINDO 3</v>
      </c>
      <c r="D122" s="7" t="s">
        <v>127</v>
      </c>
      <c r="E122" s="1" t="str">
        <f t="shared" si="65"/>
        <v>SANTA MARIA</v>
      </c>
      <c r="F122" s="7">
        <v>2</v>
      </c>
      <c r="G122" s="7" t="s">
        <v>477</v>
      </c>
      <c r="H122" s="7" t="s">
        <v>472</v>
      </c>
      <c r="I122" s="7" t="s">
        <v>472</v>
      </c>
      <c r="J122" s="7">
        <v>118</v>
      </c>
      <c r="K122" s="19" t="s">
        <v>638</v>
      </c>
      <c r="M122">
        <v>40.1</v>
      </c>
      <c r="N122" t="s">
        <v>683</v>
      </c>
      <c r="O122" t="s">
        <v>126</v>
      </c>
      <c r="P122" t="s">
        <v>477</v>
      </c>
      <c r="Q122">
        <f>COUNTIFS($H$4:$H$1201,Tabla213[[#Headers],[Neopestalotiopsis]], $G$4:$G$1201,Tabla213[[#This Row],[Organo]], $B$4:$B$1201,M122)</f>
        <v>1</v>
      </c>
      <c r="R122">
        <f>COUNTIFS($H$4:$H$1201,Tabla213[[#Headers],[Fusarium]], $G$4:$G$1201,Tabla213[[#This Row],[Organo]], $B$4:$B$1201,M122)</f>
        <v>4</v>
      </c>
      <c r="S122">
        <f>COUNTIFS($H$4:$H$1201,Tabla213[[#Headers],[Cylindrocarpon]], $G$4:$G$1201,Tabla213[[#This Row],[Organo]], $B$4:$B$1201,M122)</f>
        <v>0</v>
      </c>
      <c r="T122">
        <f>COUNTIFS($H$4:$H$1201,Tabla213[[#Headers],[Macrophomina]], $G$4:$G$1201,Tabla213[[#This Row],[Organo]], $B$4:$B$1201,M122)</f>
        <v>0</v>
      </c>
      <c r="U122">
        <f>COUNTIFS($H$4:$H$1201,Tabla213[[#Headers],[Rhizoctonia]], $G$4:$G$1201,Tabla213[[#This Row],[Organo]], $B$4:$B$1201,M122)</f>
        <v>2</v>
      </c>
      <c r="V122">
        <v>0</v>
      </c>
      <c r="W122">
        <f>COUNTIFS($H$4:$H$1201,Tabla213[[#Headers],[Alternaria]], $G$4:$G$1201,Tabla213[[#This Row],[Organo]], $B$4:$B$1201,M122)</f>
        <v>0</v>
      </c>
      <c r="X122">
        <f>COUNTIFS($H$4:$H$1201,Tabla213[[#Headers],[Botrytis]], $G$4:$G$1201,Tabla213[[#This Row],[Organo]], $B$4:$B$1201,M122)</f>
        <v>0</v>
      </c>
      <c r="Y122">
        <f>COUNTIFS($H$4:$H$1201,Tabla213[[#Headers],[Colletotrichum]], $G$4:$G$1201,Tabla213[[#This Row],[Organo]], $B$4:$B$1201,M122)</f>
        <v>0</v>
      </c>
      <c r="Z122">
        <f>COUNTIFS($H$4:$H$1201,Tabla213[[#Headers],[Aspergillus]], $G$4:$G$1201,Tabla213[[#This Row],[Organo]], $B$4:$B$1201,M122)</f>
        <v>0</v>
      </c>
      <c r="AA122">
        <f>COUNTIFS($H$4:$H$1201,Tabla213[[#Headers],[NO ID]], $G$4:$G$1201,Tabla213[[#This Row],[Organo]], $B$4:$B$1201,M122)</f>
        <v>0</v>
      </c>
      <c r="AB122">
        <f>COUNTIFS($H$4:$H$1201,Tabla213[[#Headers],[Trichoderma]], $G$4:$G$1201,Tabla213[[#This Row],[Organo]], $B$4:$B$1201,M122)</f>
        <v>1</v>
      </c>
      <c r="AC122">
        <f>COUNTIFS($H$4:$H$1201,Tabla213[[#Headers],[Rizophus]], $G$4:$G$1201,Tabla213[[#This Row],[Organo]], $B$4:$B$1201,M122)</f>
        <v>0</v>
      </c>
      <c r="AD122">
        <f>COUNTIFS($H$4:$H$1201,Tabla213[[#Headers],[FALTANTES]], $G$4:$G$1201,Tabla213[[#This Row],[Organo]], $B$4:$B$1201,M122)</f>
        <v>0</v>
      </c>
      <c r="AF122">
        <f t="shared" ref="AF122" si="118">SUM(Q121:AD122)</f>
        <v>14</v>
      </c>
      <c r="AG122">
        <f>COUNTIF($B$5:$B$1201, Tabla213[[#This Row],[Num. Parcela]])</f>
        <v>14</v>
      </c>
      <c r="AH122" t="b">
        <f t="shared" ref="AH122" si="119">IF(AF122=AG122, TRUE)</f>
        <v>1</v>
      </c>
      <c r="AK122">
        <v>40</v>
      </c>
      <c r="AL122" t="s">
        <v>36</v>
      </c>
      <c r="AM122" t="s">
        <v>121</v>
      </c>
      <c r="AN122" t="s">
        <v>476</v>
      </c>
    </row>
    <row r="123" spans="1:40" x14ac:dyDescent="0.2">
      <c r="A123" s="7">
        <v>119</v>
      </c>
      <c r="B123" s="7">
        <v>4.2</v>
      </c>
      <c r="C123" s="1" t="str">
        <f t="shared" si="64"/>
        <v>CANINDO 3</v>
      </c>
      <c r="D123" s="7" t="s">
        <v>127</v>
      </c>
      <c r="E123" s="1" t="str">
        <f t="shared" si="65"/>
        <v>SANTA MARIA</v>
      </c>
      <c r="F123" s="7">
        <v>2</v>
      </c>
      <c r="G123" s="7" t="s">
        <v>477</v>
      </c>
      <c r="H123" s="7" t="s">
        <v>228</v>
      </c>
      <c r="I123" s="9" t="s">
        <v>487</v>
      </c>
      <c r="J123" s="9">
        <v>119</v>
      </c>
      <c r="K123" s="7"/>
      <c r="L123">
        <v>1</v>
      </c>
      <c r="M123">
        <v>40.200000000000003</v>
      </c>
      <c r="N123" t="s">
        <v>684</v>
      </c>
      <c r="O123" t="s">
        <v>125</v>
      </c>
      <c r="P123" t="s">
        <v>476</v>
      </c>
      <c r="Q123">
        <f>COUNTIFS($H$4:$H$1201,Tabla213[[#Headers],[Neopestalotiopsis]], $G$4:$G$1201,Tabla213[[#This Row],[Organo]], $B$4:$B$1201,M123)</f>
        <v>0</v>
      </c>
      <c r="R123">
        <f>COUNTIFS($H$4:$H$1201,Tabla213[[#Headers],[Fusarium]], $G$4:$G$1201,Tabla213[[#This Row],[Organo]], $B$4:$B$1201,M123)</f>
        <v>0</v>
      </c>
      <c r="S123">
        <f>COUNTIFS($H$4:$H$1201,Tabla213[[#Headers],[Cylindrocarpon]], $G$4:$G$1201,Tabla213[[#This Row],[Organo]], $B$4:$B$1201,M123)</f>
        <v>0</v>
      </c>
      <c r="T123">
        <f>COUNTIFS($H$4:$H$1201,Tabla213[[#Headers],[Macrophomina]], $G$4:$G$1201,Tabla213[[#This Row],[Organo]], $B$4:$B$1201,M123)</f>
        <v>0</v>
      </c>
      <c r="U123">
        <f>COUNTIFS($H$4:$H$1201,Tabla213[[#Headers],[Rhizoctonia]], $G$4:$G$1201,Tabla213[[#This Row],[Organo]], $B$4:$B$1201,M123)</f>
        <v>0</v>
      </c>
      <c r="V123">
        <v>0</v>
      </c>
      <c r="W123">
        <f>COUNTIFS($H$4:$H$1201,Tabla213[[#Headers],[Alternaria]], $G$4:$G$1201,Tabla213[[#This Row],[Organo]], $B$4:$B$1201,M123)</f>
        <v>0</v>
      </c>
      <c r="X123">
        <f>COUNTIFS($H$4:$H$1201,Tabla213[[#Headers],[Botrytis]], $G$4:$G$1201,Tabla213[[#This Row],[Organo]], $B$4:$B$1201,M123)</f>
        <v>0</v>
      </c>
      <c r="Y123">
        <f>COUNTIFS($H$4:$H$1201,Tabla213[[#Headers],[Colletotrichum]], $G$4:$G$1201,Tabla213[[#This Row],[Organo]], $B$4:$B$1201,M123)</f>
        <v>0</v>
      </c>
      <c r="Z123">
        <f>COUNTIFS($H$4:$H$1201,Tabla213[[#Headers],[Aspergillus]], $G$4:$G$1201,Tabla213[[#This Row],[Organo]], $B$4:$B$1201,M123)</f>
        <v>0</v>
      </c>
      <c r="AA123">
        <f>COUNTIFS($H$4:$H$1201,Tabla213[[#Headers],[NO ID]], $G$4:$G$1201,Tabla213[[#This Row],[Organo]], $B$4:$B$1201,M123)</f>
        <v>0</v>
      </c>
      <c r="AB123">
        <f>COUNTIFS($H$4:$H$1201,Tabla213[[#Headers],[Trichoderma]], $G$4:$G$1201,Tabla213[[#This Row],[Organo]], $B$4:$B$1201,M123)</f>
        <v>0</v>
      </c>
      <c r="AC123">
        <f>COUNTIFS($H$4:$H$1201,Tabla213[[#Headers],[Rizophus]], $G$4:$G$1201,Tabla213[[#This Row],[Organo]], $B$4:$B$1201,M123)</f>
        <v>0</v>
      </c>
      <c r="AD123">
        <f>COUNTIFS($H$4:$H$1201,Tabla213[[#Headers],[FALTANTES]], $G$4:$G$1201,Tabla213[[#This Row],[Organo]], $B$4:$B$1201,M123)</f>
        <v>0</v>
      </c>
      <c r="AK123">
        <v>40.1</v>
      </c>
      <c r="AL123" t="s">
        <v>36</v>
      </c>
      <c r="AM123" t="s">
        <v>125</v>
      </c>
      <c r="AN123" t="s">
        <v>477</v>
      </c>
    </row>
    <row r="124" spans="1:40" x14ac:dyDescent="0.2">
      <c r="A124" s="7">
        <v>120</v>
      </c>
      <c r="B124" s="7">
        <v>4.2</v>
      </c>
      <c r="C124" s="1" t="str">
        <f t="shared" si="64"/>
        <v>CANINDO 3</v>
      </c>
      <c r="D124" s="7" t="s">
        <v>127</v>
      </c>
      <c r="E124" s="1" t="str">
        <f t="shared" si="65"/>
        <v>SANTA MARIA</v>
      </c>
      <c r="F124" s="7">
        <v>2</v>
      </c>
      <c r="G124" s="7" t="s">
        <v>477</v>
      </c>
      <c r="H124" s="7" t="s">
        <v>149</v>
      </c>
      <c r="I124" s="7" t="s">
        <v>149</v>
      </c>
      <c r="J124" s="7">
        <v>120</v>
      </c>
      <c r="K124" s="19" t="s">
        <v>638</v>
      </c>
      <c r="M124">
        <v>40.200000000000003</v>
      </c>
      <c r="N124" t="s">
        <v>684</v>
      </c>
      <c r="O124" t="s">
        <v>125</v>
      </c>
      <c r="P124" t="s">
        <v>477</v>
      </c>
      <c r="Q124">
        <f>COUNTIFS($H$4:$H$1201,Tabla213[[#Headers],[Neopestalotiopsis]], $G$4:$G$1201,Tabla213[[#This Row],[Organo]], $B$4:$B$1201,M124)</f>
        <v>0</v>
      </c>
      <c r="R124">
        <f>COUNTIFS($H$4:$H$1201,Tabla213[[#Headers],[Fusarium]], $G$4:$G$1201,Tabla213[[#This Row],[Organo]], $B$4:$B$1201,M124)</f>
        <v>2</v>
      </c>
      <c r="S124">
        <f>COUNTIFS($H$4:$H$1201,Tabla213[[#Headers],[Cylindrocarpon]], $G$4:$G$1201,Tabla213[[#This Row],[Organo]], $B$4:$B$1201,M124)</f>
        <v>0</v>
      </c>
      <c r="T124">
        <f>COUNTIFS($H$4:$H$1201,Tabla213[[#Headers],[Macrophomina]], $G$4:$G$1201,Tabla213[[#This Row],[Organo]], $B$4:$B$1201,M124)</f>
        <v>0</v>
      </c>
      <c r="U124">
        <f>COUNTIFS($H$4:$H$1201,Tabla213[[#Headers],[Rhizoctonia]], $G$4:$G$1201,Tabla213[[#This Row],[Organo]], $B$4:$B$1201,M124)</f>
        <v>0</v>
      </c>
      <c r="V124">
        <v>0</v>
      </c>
      <c r="W124">
        <f>COUNTIFS($H$4:$H$1201,Tabla213[[#Headers],[Alternaria]], $G$4:$G$1201,Tabla213[[#This Row],[Organo]], $B$4:$B$1201,M124)</f>
        <v>0</v>
      </c>
      <c r="X124">
        <f>COUNTIFS($H$4:$H$1201,Tabla213[[#Headers],[Botrytis]], $G$4:$G$1201,Tabla213[[#This Row],[Organo]], $B$4:$B$1201,M124)</f>
        <v>1</v>
      </c>
      <c r="Y124">
        <f>COUNTIFS($H$4:$H$1201,Tabla213[[#Headers],[Colletotrichum]], $G$4:$G$1201,Tabla213[[#This Row],[Organo]], $B$4:$B$1201,M124)</f>
        <v>0</v>
      </c>
      <c r="Z124">
        <f>COUNTIFS($H$4:$H$1201,Tabla213[[#Headers],[Aspergillus]], $G$4:$G$1201,Tabla213[[#This Row],[Organo]], $B$4:$B$1201,M124)</f>
        <v>0</v>
      </c>
      <c r="AA124">
        <f>COUNTIFS($H$4:$H$1201,Tabla213[[#Headers],[NO ID]], $G$4:$G$1201,Tabla213[[#This Row],[Organo]], $B$4:$B$1201,M124)</f>
        <v>0</v>
      </c>
      <c r="AB124">
        <f>COUNTIFS($H$4:$H$1201,Tabla213[[#Headers],[Trichoderma]], $G$4:$G$1201,Tabla213[[#This Row],[Organo]], $B$4:$B$1201,M124)</f>
        <v>0</v>
      </c>
      <c r="AC124">
        <f>COUNTIFS($H$4:$H$1201,Tabla213[[#Headers],[Rizophus]], $G$4:$G$1201,Tabla213[[#This Row],[Organo]], $B$4:$B$1201,M124)</f>
        <v>0</v>
      </c>
      <c r="AD124">
        <f>COUNTIFS($H$4:$H$1201,Tabla213[[#Headers],[FALTANTES]], $G$4:$G$1201,Tabla213[[#This Row],[Organo]], $B$4:$B$1201,M124)</f>
        <v>0</v>
      </c>
      <c r="AF124">
        <f t="shared" ref="AF124" si="120">SUM(Q123:AD124)</f>
        <v>3</v>
      </c>
      <c r="AG124">
        <f>COUNTIF($B$5:$B$1201, Tabla213[[#This Row],[Num. Parcela]])</f>
        <v>3</v>
      </c>
      <c r="AH124" t="b">
        <f t="shared" ref="AH124" si="121">IF(AF124=AG124, TRUE)</f>
        <v>1</v>
      </c>
      <c r="AK124">
        <v>40.1</v>
      </c>
      <c r="AL124" t="s">
        <v>36</v>
      </c>
      <c r="AM124" t="s">
        <v>125</v>
      </c>
      <c r="AN124" t="s">
        <v>476</v>
      </c>
    </row>
    <row r="125" spans="1:40" x14ac:dyDescent="0.2">
      <c r="A125" s="7">
        <v>121</v>
      </c>
      <c r="B125" s="7">
        <v>4.2</v>
      </c>
      <c r="C125" s="1" t="str">
        <f t="shared" si="64"/>
        <v>CANINDO 3</v>
      </c>
      <c r="D125" s="7" t="s">
        <v>127</v>
      </c>
      <c r="E125" s="1" t="str">
        <f t="shared" si="65"/>
        <v>SANTA MARIA</v>
      </c>
      <c r="F125" s="7">
        <v>1</v>
      </c>
      <c r="G125" s="7" t="s">
        <v>477</v>
      </c>
      <c r="H125" s="7" t="s">
        <v>149</v>
      </c>
      <c r="I125" s="8" t="s">
        <v>478</v>
      </c>
      <c r="J125" s="8">
        <v>121</v>
      </c>
      <c r="K125" s="7"/>
      <c r="L125">
        <v>1</v>
      </c>
      <c r="M125">
        <v>40.299999999999997</v>
      </c>
      <c r="N125" t="s">
        <v>36</v>
      </c>
      <c r="O125" t="s">
        <v>125</v>
      </c>
      <c r="P125" t="s">
        <v>476</v>
      </c>
      <c r="Q125">
        <f>COUNTIFS($H$4:$H$1201,Tabla213[[#Headers],[Neopestalotiopsis]], $G$4:$G$1201,Tabla213[[#This Row],[Organo]], $B$4:$B$1201,M125)</f>
        <v>0</v>
      </c>
      <c r="R125">
        <f>COUNTIFS($H$4:$H$1201,Tabla213[[#Headers],[Fusarium]], $G$4:$G$1201,Tabla213[[#This Row],[Organo]], $B$4:$B$1201,M125)</f>
        <v>0</v>
      </c>
      <c r="S125">
        <f>COUNTIFS($H$4:$H$1201,Tabla213[[#Headers],[Cylindrocarpon]], $G$4:$G$1201,Tabla213[[#This Row],[Organo]], $B$4:$B$1201,M125)</f>
        <v>0</v>
      </c>
      <c r="T125">
        <f>COUNTIFS($H$4:$H$1201,Tabla213[[#Headers],[Macrophomina]], $G$4:$G$1201,Tabla213[[#This Row],[Organo]], $B$4:$B$1201,M125)</f>
        <v>0</v>
      </c>
      <c r="U125">
        <f>COUNTIFS($H$4:$H$1201,Tabla213[[#Headers],[Rhizoctonia]], $G$4:$G$1201,Tabla213[[#This Row],[Organo]], $B$4:$B$1201,M125)</f>
        <v>0</v>
      </c>
      <c r="V125">
        <v>0</v>
      </c>
      <c r="W125">
        <f>COUNTIFS($H$4:$H$1201,Tabla213[[#Headers],[Alternaria]], $G$4:$G$1201,Tabla213[[#This Row],[Organo]], $B$4:$B$1201,M125)</f>
        <v>0</v>
      </c>
      <c r="X125">
        <f>COUNTIFS($H$4:$H$1201,Tabla213[[#Headers],[Botrytis]], $G$4:$G$1201,Tabla213[[#This Row],[Organo]], $B$4:$B$1201,M125)</f>
        <v>0</v>
      </c>
      <c r="Y125">
        <f>COUNTIFS($H$4:$H$1201,Tabla213[[#Headers],[Colletotrichum]], $G$4:$G$1201,Tabla213[[#This Row],[Organo]], $B$4:$B$1201,M125)</f>
        <v>0</v>
      </c>
      <c r="Z125">
        <f>COUNTIFS($H$4:$H$1201,Tabla213[[#Headers],[Aspergillus]], $G$4:$G$1201,Tabla213[[#This Row],[Organo]], $B$4:$B$1201,M125)</f>
        <v>0</v>
      </c>
      <c r="AA125">
        <f>COUNTIFS($H$4:$H$1201,Tabla213[[#Headers],[NO ID]], $G$4:$G$1201,Tabla213[[#This Row],[Organo]], $B$4:$B$1201,M125)</f>
        <v>0</v>
      </c>
      <c r="AB125">
        <f>COUNTIFS($H$4:$H$1201,Tabla213[[#Headers],[Trichoderma]], $G$4:$G$1201,Tabla213[[#This Row],[Organo]], $B$4:$B$1201,M125)</f>
        <v>0</v>
      </c>
      <c r="AC125">
        <f>COUNTIFS($H$4:$H$1201,Tabla213[[#Headers],[Rizophus]], $G$4:$G$1201,Tabla213[[#This Row],[Organo]], $B$4:$B$1201,M125)</f>
        <v>0</v>
      </c>
      <c r="AD125">
        <f>COUNTIFS($H$4:$H$1201,Tabla213[[#Headers],[FALTANTES]], $G$4:$G$1201,Tabla213[[#This Row],[Organo]], $B$4:$B$1201,M125)</f>
        <v>0</v>
      </c>
      <c r="AK125">
        <v>41.2</v>
      </c>
      <c r="AL125" t="s">
        <v>36</v>
      </c>
      <c r="AM125" t="s">
        <v>125</v>
      </c>
      <c r="AN125" t="s">
        <v>477</v>
      </c>
    </row>
    <row r="126" spans="1:40" x14ac:dyDescent="0.2">
      <c r="A126" s="7">
        <v>122</v>
      </c>
      <c r="B126" s="7">
        <v>4.2</v>
      </c>
      <c r="C126" s="1" t="str">
        <f t="shared" si="64"/>
        <v>CANINDO 3</v>
      </c>
      <c r="D126" s="7" t="s">
        <v>127</v>
      </c>
      <c r="E126" s="1" t="str">
        <f t="shared" si="65"/>
        <v>SANTA MARIA</v>
      </c>
      <c r="F126" s="7">
        <v>1</v>
      </c>
      <c r="G126" s="7" t="s">
        <v>477</v>
      </c>
      <c r="H126" s="7" t="s">
        <v>485</v>
      </c>
      <c r="I126" s="10" t="s">
        <v>485</v>
      </c>
      <c r="J126" s="10">
        <v>122</v>
      </c>
      <c r="K126" s="7"/>
      <c r="M126">
        <v>40.299999999999997</v>
      </c>
      <c r="N126" t="s">
        <v>36</v>
      </c>
      <c r="O126" t="s">
        <v>125</v>
      </c>
      <c r="P126" t="s">
        <v>477</v>
      </c>
      <c r="Q126">
        <f>COUNTIFS($H$4:$H$1201,Tabla213[[#Headers],[Neopestalotiopsis]], $G$4:$G$1201,Tabla213[[#This Row],[Organo]], $B$4:$B$1201,M126)</f>
        <v>0</v>
      </c>
      <c r="R126">
        <f>COUNTIFS($H$4:$H$1201,Tabla213[[#Headers],[Fusarium]], $G$4:$G$1201,Tabla213[[#This Row],[Organo]], $B$4:$B$1201,M126)</f>
        <v>0</v>
      </c>
      <c r="S126">
        <f>COUNTIFS($H$4:$H$1201,Tabla213[[#Headers],[Cylindrocarpon]], $G$4:$G$1201,Tabla213[[#This Row],[Organo]], $B$4:$B$1201,M126)</f>
        <v>0</v>
      </c>
      <c r="T126">
        <f>COUNTIFS($H$4:$H$1201,Tabla213[[#Headers],[Macrophomina]], $G$4:$G$1201,Tabla213[[#This Row],[Organo]], $B$4:$B$1201,M126)</f>
        <v>0</v>
      </c>
      <c r="U126">
        <f>COUNTIFS($H$4:$H$1201,Tabla213[[#Headers],[Rhizoctonia]], $G$4:$G$1201,Tabla213[[#This Row],[Organo]], $B$4:$B$1201,M126)</f>
        <v>0</v>
      </c>
      <c r="V126">
        <v>0</v>
      </c>
      <c r="W126">
        <f>COUNTIFS($H$4:$H$1201,Tabla213[[#Headers],[Alternaria]], $G$4:$G$1201,Tabla213[[#This Row],[Organo]], $B$4:$B$1201,M126)</f>
        <v>0</v>
      </c>
      <c r="X126">
        <f>COUNTIFS($H$4:$H$1201,Tabla213[[#Headers],[Botrytis]], $G$4:$G$1201,Tabla213[[#This Row],[Organo]], $B$4:$B$1201,M126)</f>
        <v>0</v>
      </c>
      <c r="Y126">
        <f>COUNTIFS($H$4:$H$1201,Tabla213[[#Headers],[Colletotrichum]], $G$4:$G$1201,Tabla213[[#This Row],[Organo]], $B$4:$B$1201,M126)</f>
        <v>0</v>
      </c>
      <c r="Z126">
        <f>COUNTIFS($H$4:$H$1201,Tabla213[[#Headers],[Aspergillus]], $G$4:$G$1201,Tabla213[[#This Row],[Organo]], $B$4:$B$1201,M126)</f>
        <v>0</v>
      </c>
      <c r="AA126">
        <f>COUNTIFS($H$4:$H$1201,Tabla213[[#Headers],[NO ID]], $G$4:$G$1201,Tabla213[[#This Row],[Organo]], $B$4:$B$1201,M126)</f>
        <v>0</v>
      </c>
      <c r="AB126">
        <f>COUNTIFS($H$4:$H$1201,Tabla213[[#Headers],[Trichoderma]], $G$4:$G$1201,Tabla213[[#This Row],[Organo]], $B$4:$B$1201,M126)</f>
        <v>0</v>
      </c>
      <c r="AC126">
        <f>COUNTIFS($H$4:$H$1201,Tabla213[[#Headers],[Rizophus]], $G$4:$G$1201,Tabla213[[#This Row],[Organo]], $B$4:$B$1201,M126)</f>
        <v>0</v>
      </c>
      <c r="AD126">
        <f>COUNTIFS($H$4:$H$1201,Tabla213[[#Headers],[FALTANTES]], $G$4:$G$1201,Tabla213[[#This Row],[Organo]], $B$4:$B$1201,M126)</f>
        <v>0</v>
      </c>
      <c r="AF126">
        <f t="shared" ref="AF126" si="122">SUM(Q125:AD126)</f>
        <v>0</v>
      </c>
      <c r="AG126">
        <f>COUNTIF($B$5:$B$1201, Tabla213[[#This Row],[Num. Parcela]])</f>
        <v>0</v>
      </c>
      <c r="AH126" t="b">
        <f t="shared" ref="AH126" si="123">IF(AF126=AG126, TRUE)</f>
        <v>1</v>
      </c>
      <c r="AK126">
        <v>41.2</v>
      </c>
      <c r="AL126" t="s">
        <v>36</v>
      </c>
      <c r="AM126" t="s">
        <v>125</v>
      </c>
      <c r="AN126" t="s">
        <v>476</v>
      </c>
    </row>
    <row r="127" spans="1:40" x14ac:dyDescent="0.2">
      <c r="A127" s="7">
        <v>123</v>
      </c>
      <c r="B127" s="7">
        <v>4.2</v>
      </c>
      <c r="C127" s="1" t="str">
        <f t="shared" si="64"/>
        <v>CANINDO 3</v>
      </c>
      <c r="D127" s="7" t="s">
        <v>127</v>
      </c>
      <c r="E127" s="1" t="str">
        <f t="shared" si="65"/>
        <v>SANTA MARIA</v>
      </c>
      <c r="F127" s="7">
        <v>2</v>
      </c>
      <c r="G127" s="7" t="s">
        <v>477</v>
      </c>
      <c r="H127" s="7" t="s">
        <v>149</v>
      </c>
      <c r="I127" s="7" t="s">
        <v>149</v>
      </c>
      <c r="J127" s="7">
        <v>123</v>
      </c>
      <c r="K127" s="19" t="s">
        <v>638</v>
      </c>
      <c r="M127">
        <v>41</v>
      </c>
      <c r="N127" t="s">
        <v>37</v>
      </c>
      <c r="O127" t="s">
        <v>126</v>
      </c>
      <c r="P127" t="s">
        <v>476</v>
      </c>
      <c r="Q127">
        <f>COUNTIFS($H$4:$H$1201,Tabla213[[#Headers],[Neopestalotiopsis]], $G$4:$G$1201,Tabla213[[#This Row],[Organo]], $B$4:$B$1201,M127)</f>
        <v>4</v>
      </c>
      <c r="R127">
        <f>COUNTIFS($H$4:$H$1201,Tabla213[[#Headers],[Fusarium]], $G$4:$G$1201,Tabla213[[#This Row],[Organo]], $B$4:$B$1201,M127)</f>
        <v>2</v>
      </c>
      <c r="S127">
        <f>COUNTIFS($H$4:$H$1201,Tabla213[[#Headers],[Cylindrocarpon]], $G$4:$G$1201,Tabla213[[#This Row],[Organo]], $B$4:$B$1201,M127)</f>
        <v>0</v>
      </c>
      <c r="T127">
        <f>COUNTIFS($H$4:$H$1201,Tabla213[[#Headers],[Macrophomina]], $G$4:$G$1201,Tabla213[[#This Row],[Organo]], $B$4:$B$1201,M127)</f>
        <v>0</v>
      </c>
      <c r="U127">
        <f>COUNTIFS($H$4:$H$1201,Tabla213[[#Headers],[Rhizoctonia]], $G$4:$G$1201,Tabla213[[#This Row],[Organo]], $B$4:$B$1201,M127)</f>
        <v>0</v>
      </c>
      <c r="V127">
        <v>0</v>
      </c>
      <c r="W127">
        <f>COUNTIFS($H$4:$H$1201,Tabla213[[#Headers],[Alternaria]], $G$4:$G$1201,Tabla213[[#This Row],[Organo]], $B$4:$B$1201,M127)</f>
        <v>0</v>
      </c>
      <c r="X127">
        <f>COUNTIFS($H$4:$H$1201,Tabla213[[#Headers],[Botrytis]], $G$4:$G$1201,Tabla213[[#This Row],[Organo]], $B$4:$B$1201,M127)</f>
        <v>0</v>
      </c>
      <c r="Y127">
        <f>COUNTIFS($H$4:$H$1201,Tabla213[[#Headers],[Colletotrichum]], $G$4:$G$1201,Tabla213[[#This Row],[Organo]], $B$4:$B$1201,M127)</f>
        <v>0</v>
      </c>
      <c r="Z127">
        <f>COUNTIFS($H$4:$H$1201,Tabla213[[#Headers],[Aspergillus]], $G$4:$G$1201,Tabla213[[#This Row],[Organo]], $B$4:$B$1201,M127)</f>
        <v>0</v>
      </c>
      <c r="AA127">
        <f>COUNTIFS($H$4:$H$1201,Tabla213[[#Headers],[NO ID]], $G$4:$G$1201,Tabla213[[#This Row],[Organo]], $B$4:$B$1201,M127)</f>
        <v>0</v>
      </c>
      <c r="AB127">
        <f>COUNTIFS($H$4:$H$1201,Tabla213[[#Headers],[Trichoderma]], $G$4:$G$1201,Tabla213[[#This Row],[Organo]], $B$4:$B$1201,M127)</f>
        <v>0</v>
      </c>
      <c r="AC127">
        <f>COUNTIFS($H$4:$H$1201,Tabla213[[#Headers],[Rizophus]], $G$4:$G$1201,Tabla213[[#This Row],[Organo]], $B$4:$B$1201,M127)</f>
        <v>0</v>
      </c>
      <c r="AD127">
        <f>COUNTIFS($H$4:$H$1201,Tabla213[[#Headers],[FALTANTES]], $G$4:$G$1201,Tabla213[[#This Row],[Organo]], $B$4:$B$1201,M127)</f>
        <v>0</v>
      </c>
      <c r="AK127">
        <v>41.3</v>
      </c>
      <c r="AL127" t="s">
        <v>37</v>
      </c>
      <c r="AM127" t="s">
        <v>126</v>
      </c>
      <c r="AN127" t="s">
        <v>477</v>
      </c>
    </row>
    <row r="128" spans="1:40" x14ac:dyDescent="0.2">
      <c r="A128" s="7">
        <v>124</v>
      </c>
      <c r="B128" s="7">
        <v>4.2</v>
      </c>
      <c r="C128" s="1" t="str">
        <f t="shared" si="64"/>
        <v>CANINDO 3</v>
      </c>
      <c r="D128" s="7" t="s">
        <v>127</v>
      </c>
      <c r="E128" s="1" t="str">
        <f t="shared" si="65"/>
        <v>SANTA MARIA</v>
      </c>
      <c r="F128" s="7">
        <v>2</v>
      </c>
      <c r="G128" s="7" t="s">
        <v>477</v>
      </c>
      <c r="H128" s="7" t="s">
        <v>228</v>
      </c>
      <c r="I128" s="9" t="s">
        <v>487</v>
      </c>
      <c r="J128" s="9">
        <v>124</v>
      </c>
      <c r="K128" s="7"/>
      <c r="M128">
        <v>41</v>
      </c>
      <c r="N128" t="s">
        <v>37</v>
      </c>
      <c r="O128" t="s">
        <v>126</v>
      </c>
      <c r="P128" t="s">
        <v>477</v>
      </c>
      <c r="Q128">
        <f>COUNTIFS($H$4:$H$1201,Tabla213[[#Headers],[Neopestalotiopsis]], $G$4:$G$1201,Tabla213[[#This Row],[Organo]], $B$4:$B$1201,M128)</f>
        <v>3</v>
      </c>
      <c r="R128">
        <f>COUNTIFS($H$4:$H$1201,Tabla213[[#Headers],[Fusarium]], $G$4:$G$1201,Tabla213[[#This Row],[Organo]], $B$4:$B$1201,M128)</f>
        <v>3</v>
      </c>
      <c r="S128">
        <f>COUNTIFS($H$4:$H$1201,Tabla213[[#Headers],[Cylindrocarpon]], $G$4:$G$1201,Tabla213[[#This Row],[Organo]], $B$4:$B$1201,M128)</f>
        <v>2</v>
      </c>
      <c r="T128">
        <f>COUNTIFS($H$4:$H$1201,Tabla213[[#Headers],[Macrophomina]], $G$4:$G$1201,Tabla213[[#This Row],[Organo]], $B$4:$B$1201,M128)</f>
        <v>0</v>
      </c>
      <c r="U128">
        <f>COUNTIFS($H$4:$H$1201,Tabla213[[#Headers],[Rhizoctonia]], $G$4:$G$1201,Tabla213[[#This Row],[Organo]], $B$4:$B$1201,M128)</f>
        <v>0</v>
      </c>
      <c r="V128">
        <v>1</v>
      </c>
      <c r="W128">
        <f>COUNTIFS($H$4:$H$1201,Tabla213[[#Headers],[Alternaria]], $G$4:$G$1201,Tabla213[[#This Row],[Organo]], $B$4:$B$1201,M128)</f>
        <v>0</v>
      </c>
      <c r="X128">
        <f>COUNTIFS($H$4:$H$1201,Tabla213[[#Headers],[Botrytis]], $G$4:$G$1201,Tabla213[[#This Row],[Organo]], $B$4:$B$1201,M128)</f>
        <v>0</v>
      </c>
      <c r="Y128">
        <f>COUNTIFS($H$4:$H$1201,Tabla213[[#Headers],[Colletotrichum]], $G$4:$G$1201,Tabla213[[#This Row],[Organo]], $B$4:$B$1201,M128)</f>
        <v>0</v>
      </c>
      <c r="Z128">
        <f>COUNTIFS($H$4:$H$1201,Tabla213[[#Headers],[Aspergillus]], $G$4:$G$1201,Tabla213[[#This Row],[Organo]], $B$4:$B$1201,M128)</f>
        <v>0</v>
      </c>
      <c r="AA128">
        <f>COUNTIFS($H$4:$H$1201,Tabla213[[#Headers],[NO ID]], $G$4:$G$1201,Tabla213[[#This Row],[Organo]], $B$4:$B$1201,M128)</f>
        <v>0</v>
      </c>
      <c r="AB128">
        <f>COUNTIFS($H$4:$H$1201,Tabla213[[#Headers],[Trichoderma]], $G$4:$G$1201,Tabla213[[#This Row],[Organo]], $B$4:$B$1201,M128)</f>
        <v>0</v>
      </c>
      <c r="AC128">
        <f>COUNTIFS($H$4:$H$1201,Tabla213[[#Headers],[Rizophus]], $G$4:$G$1201,Tabla213[[#This Row],[Organo]], $B$4:$B$1201,M128)</f>
        <v>0</v>
      </c>
      <c r="AD128">
        <f>COUNTIFS($H$4:$H$1201,Tabla213[[#Headers],[FALTANTES]], $G$4:$G$1201,Tabla213[[#This Row],[Organo]], $B$4:$B$1201,M128)</f>
        <v>0</v>
      </c>
      <c r="AF128">
        <f t="shared" ref="AF128" si="124">SUM(Q127:AD128)</f>
        <v>15</v>
      </c>
      <c r="AG128">
        <f>COUNTIF($B$5:$B$1201, Tabla213[[#This Row],[Num. Parcela]])</f>
        <v>15</v>
      </c>
      <c r="AH128" t="b">
        <f t="shared" ref="AH128" si="125">IF(AF128=AG128, TRUE)</f>
        <v>1</v>
      </c>
      <c r="AK128">
        <v>41.3</v>
      </c>
      <c r="AL128" t="s">
        <v>37</v>
      </c>
      <c r="AM128" t="s">
        <v>126</v>
      </c>
      <c r="AN128" t="s">
        <v>476</v>
      </c>
    </row>
    <row r="129" spans="1:40" x14ac:dyDescent="0.2">
      <c r="A129" s="7">
        <v>125</v>
      </c>
      <c r="B129" s="7">
        <v>4.2</v>
      </c>
      <c r="C129" s="1" t="str">
        <f t="shared" si="64"/>
        <v>CANINDO 3</v>
      </c>
      <c r="D129" s="7" t="s">
        <v>127</v>
      </c>
      <c r="E129" s="1" t="str">
        <f t="shared" si="65"/>
        <v>SANTA MARIA</v>
      </c>
      <c r="F129" s="7">
        <v>2</v>
      </c>
      <c r="G129" s="7" t="s">
        <v>477</v>
      </c>
      <c r="H129" s="7" t="s">
        <v>228</v>
      </c>
      <c r="I129" s="9" t="s">
        <v>487</v>
      </c>
      <c r="J129" s="9">
        <v>125</v>
      </c>
      <c r="K129" s="7"/>
      <c r="M129">
        <v>42</v>
      </c>
      <c r="N129" t="s">
        <v>685</v>
      </c>
      <c r="O129" t="s">
        <v>138</v>
      </c>
      <c r="P129" t="s">
        <v>476</v>
      </c>
      <c r="Q129">
        <f>COUNTIFS($H$4:$H$1201,Tabla213[[#Headers],[Neopestalotiopsis]], $G$4:$G$1201,Tabla213[[#This Row],[Organo]], $B$4:$B$1201,M129)</f>
        <v>4</v>
      </c>
      <c r="R129">
        <f>COUNTIFS($H$4:$H$1201,Tabla213[[#Headers],[Fusarium]], $G$4:$G$1201,Tabla213[[#This Row],[Organo]], $B$4:$B$1201,M129)</f>
        <v>0</v>
      </c>
      <c r="S129">
        <f>COUNTIFS($H$4:$H$1201,Tabla213[[#Headers],[Cylindrocarpon]], $G$4:$G$1201,Tabla213[[#This Row],[Organo]], $B$4:$B$1201,M129)</f>
        <v>0</v>
      </c>
      <c r="T129">
        <f>COUNTIFS($H$4:$H$1201,Tabla213[[#Headers],[Macrophomina]], $G$4:$G$1201,Tabla213[[#This Row],[Organo]], $B$4:$B$1201,M129)</f>
        <v>0</v>
      </c>
      <c r="U129">
        <f>COUNTIFS($H$4:$H$1201,Tabla213[[#Headers],[Rhizoctonia]], $G$4:$G$1201,Tabla213[[#This Row],[Organo]], $B$4:$B$1201,M129)</f>
        <v>0</v>
      </c>
      <c r="V129">
        <v>0</v>
      </c>
      <c r="W129">
        <f>COUNTIFS($H$4:$H$1201,Tabla213[[#Headers],[Alternaria]], $G$4:$G$1201,Tabla213[[#This Row],[Organo]], $B$4:$B$1201,M129)</f>
        <v>0</v>
      </c>
      <c r="X129">
        <f>COUNTIFS($H$4:$H$1201,Tabla213[[#Headers],[Botrytis]], $G$4:$G$1201,Tabla213[[#This Row],[Organo]], $B$4:$B$1201,M129)</f>
        <v>0</v>
      </c>
      <c r="Y129">
        <f>COUNTIFS($H$4:$H$1201,Tabla213[[#Headers],[Colletotrichum]], $G$4:$G$1201,Tabla213[[#This Row],[Organo]], $B$4:$B$1201,M129)</f>
        <v>0</v>
      </c>
      <c r="Z129">
        <f>COUNTIFS($H$4:$H$1201,Tabla213[[#Headers],[Aspergillus]], $G$4:$G$1201,Tabla213[[#This Row],[Organo]], $B$4:$B$1201,M129)</f>
        <v>0</v>
      </c>
      <c r="AA129">
        <f>COUNTIFS($H$4:$H$1201,Tabla213[[#Headers],[NO ID]], $G$4:$G$1201,Tabla213[[#This Row],[Organo]], $B$4:$B$1201,M129)</f>
        <v>0</v>
      </c>
      <c r="AB129">
        <f>COUNTIFS($H$4:$H$1201,Tabla213[[#Headers],[Trichoderma]], $G$4:$G$1201,Tabla213[[#This Row],[Organo]], $B$4:$B$1201,M129)</f>
        <v>0</v>
      </c>
      <c r="AC129">
        <f>COUNTIFS($H$4:$H$1201,Tabla213[[#Headers],[Rizophus]], $G$4:$G$1201,Tabla213[[#This Row],[Organo]], $B$4:$B$1201,M129)</f>
        <v>0</v>
      </c>
      <c r="AD129">
        <f>COUNTIFS($H$4:$H$1201,Tabla213[[#Headers],[FALTANTES]], $G$4:$G$1201,Tabla213[[#This Row],[Organo]], $B$4:$B$1201,M129)</f>
        <v>0</v>
      </c>
      <c r="AK129">
        <v>42</v>
      </c>
      <c r="AL129" t="s">
        <v>96</v>
      </c>
      <c r="AM129" t="s">
        <v>138</v>
      </c>
      <c r="AN129" t="s">
        <v>477</v>
      </c>
    </row>
    <row r="130" spans="1:40" x14ac:dyDescent="0.2">
      <c r="A130" s="7">
        <v>126</v>
      </c>
      <c r="B130" s="7">
        <v>4.3</v>
      </c>
      <c r="C130" s="1" t="str">
        <f t="shared" si="64"/>
        <v>CANINDO 1</v>
      </c>
      <c r="D130" s="7" t="s">
        <v>127</v>
      </c>
      <c r="E130" s="1" t="str">
        <f t="shared" si="65"/>
        <v>NIÑA</v>
      </c>
      <c r="F130" s="7">
        <v>1</v>
      </c>
      <c r="G130" s="7" t="s">
        <v>476</v>
      </c>
      <c r="H130" s="7" t="s">
        <v>155</v>
      </c>
      <c r="I130" s="7" t="s">
        <v>155</v>
      </c>
      <c r="J130" s="7">
        <v>126</v>
      </c>
      <c r="K130" s="19" t="s">
        <v>638</v>
      </c>
      <c r="M130">
        <v>42</v>
      </c>
      <c r="N130" t="s">
        <v>685</v>
      </c>
      <c r="O130" t="s">
        <v>138</v>
      </c>
      <c r="P130" t="s">
        <v>477</v>
      </c>
      <c r="Q130">
        <f>COUNTIFS($H$4:$H$1201,Tabla213[[#Headers],[Neopestalotiopsis]], $G$4:$G$1201,Tabla213[[#This Row],[Organo]], $B$4:$B$1201,M130)</f>
        <v>4</v>
      </c>
      <c r="R130">
        <f>COUNTIFS($H$4:$H$1201,Tabla213[[#Headers],[Fusarium]], $G$4:$G$1201,Tabla213[[#This Row],[Organo]], $B$4:$B$1201,M130)</f>
        <v>1</v>
      </c>
      <c r="S130">
        <f>COUNTIFS($H$4:$H$1201,Tabla213[[#Headers],[Cylindrocarpon]], $G$4:$G$1201,Tabla213[[#This Row],[Organo]], $B$4:$B$1201,M130)</f>
        <v>0</v>
      </c>
      <c r="T130">
        <f>COUNTIFS($H$4:$H$1201,Tabla213[[#Headers],[Macrophomina]], $G$4:$G$1201,Tabla213[[#This Row],[Organo]], $B$4:$B$1201,M130)</f>
        <v>0</v>
      </c>
      <c r="U130">
        <f>COUNTIFS($H$4:$H$1201,Tabla213[[#Headers],[Rhizoctonia]], $G$4:$G$1201,Tabla213[[#This Row],[Organo]], $B$4:$B$1201,M130)</f>
        <v>1</v>
      </c>
      <c r="V130">
        <v>0</v>
      </c>
      <c r="W130">
        <f>COUNTIFS($H$4:$H$1201,Tabla213[[#Headers],[Alternaria]], $G$4:$G$1201,Tabla213[[#This Row],[Organo]], $B$4:$B$1201,M130)</f>
        <v>0</v>
      </c>
      <c r="X130">
        <f>COUNTIFS($H$4:$H$1201,Tabla213[[#Headers],[Botrytis]], $G$4:$G$1201,Tabla213[[#This Row],[Organo]], $B$4:$B$1201,M130)</f>
        <v>2</v>
      </c>
      <c r="Y130">
        <f>COUNTIFS($H$4:$H$1201,Tabla213[[#Headers],[Colletotrichum]], $G$4:$G$1201,Tabla213[[#This Row],[Organo]], $B$4:$B$1201,M130)</f>
        <v>0</v>
      </c>
      <c r="Z130">
        <f>COUNTIFS($H$4:$H$1201,Tabla213[[#Headers],[Aspergillus]], $G$4:$G$1201,Tabla213[[#This Row],[Organo]], $B$4:$B$1201,M130)</f>
        <v>0</v>
      </c>
      <c r="AA130">
        <f>COUNTIFS($H$4:$H$1201,Tabla213[[#Headers],[NO ID]], $G$4:$G$1201,Tabla213[[#This Row],[Organo]], $B$4:$B$1201,M130)</f>
        <v>0</v>
      </c>
      <c r="AB130">
        <f>COUNTIFS($H$4:$H$1201,Tabla213[[#Headers],[Trichoderma]], $G$4:$G$1201,Tabla213[[#This Row],[Organo]], $B$4:$B$1201,M130)</f>
        <v>0</v>
      </c>
      <c r="AC130">
        <f>COUNTIFS($H$4:$H$1201,Tabla213[[#Headers],[Rizophus]], $G$4:$G$1201,Tabla213[[#This Row],[Organo]], $B$4:$B$1201,M130)</f>
        <v>0</v>
      </c>
      <c r="AD130">
        <f>COUNTIFS($H$4:$H$1201,Tabla213[[#Headers],[FALTANTES]], $G$4:$G$1201,Tabla213[[#This Row],[Organo]], $B$4:$B$1201,M130)</f>
        <v>0</v>
      </c>
      <c r="AF130">
        <f t="shared" ref="AF130" si="126">SUM(Q129:AD130)</f>
        <v>12</v>
      </c>
      <c r="AG130">
        <f>COUNTIF($B$5:$B$1201, Tabla213[[#This Row],[Num. Parcela]])</f>
        <v>12</v>
      </c>
      <c r="AH130" t="b">
        <f t="shared" ref="AH130" si="127">IF(AF130=AG130, TRUE)</f>
        <v>1</v>
      </c>
      <c r="AK130">
        <v>42</v>
      </c>
      <c r="AL130" t="s">
        <v>96</v>
      </c>
      <c r="AM130" t="s">
        <v>138</v>
      </c>
      <c r="AN130" t="s">
        <v>476</v>
      </c>
    </row>
    <row r="131" spans="1:40" x14ac:dyDescent="0.2">
      <c r="A131" s="7">
        <v>127</v>
      </c>
      <c r="B131" s="7">
        <v>4.3</v>
      </c>
      <c r="C131" s="1" t="str">
        <f t="shared" si="64"/>
        <v>CANINDO 1</v>
      </c>
      <c r="D131" s="7" t="s">
        <v>127</v>
      </c>
      <c r="E131" s="1" t="str">
        <f t="shared" si="65"/>
        <v>NIÑA</v>
      </c>
      <c r="F131" s="7">
        <v>1</v>
      </c>
      <c r="G131" s="7" t="s">
        <v>476</v>
      </c>
      <c r="H131" s="7" t="s">
        <v>155</v>
      </c>
      <c r="I131" s="7" t="s">
        <v>155</v>
      </c>
      <c r="J131" s="7">
        <v>127</v>
      </c>
      <c r="K131" s="7"/>
      <c r="M131">
        <v>43</v>
      </c>
      <c r="N131" t="s">
        <v>686</v>
      </c>
      <c r="O131" t="s">
        <v>109</v>
      </c>
      <c r="P131" t="s">
        <v>476</v>
      </c>
      <c r="Q131">
        <f>COUNTIFS($H$4:$H$1201,Tabla213[[#Headers],[Neopestalotiopsis]], $G$4:$G$1201,Tabla213[[#This Row],[Organo]], $B$4:$B$1201,M131)</f>
        <v>5</v>
      </c>
      <c r="R131">
        <f>COUNTIFS($H$4:$H$1201,Tabla213[[#Headers],[Fusarium]], $G$4:$G$1201,Tabla213[[#This Row],[Organo]], $B$4:$B$1201,M131)</f>
        <v>0</v>
      </c>
      <c r="S131">
        <f>COUNTIFS($H$4:$H$1201,Tabla213[[#Headers],[Cylindrocarpon]], $G$4:$G$1201,Tabla213[[#This Row],[Organo]], $B$4:$B$1201,M131)</f>
        <v>0</v>
      </c>
      <c r="T131">
        <f>COUNTIFS($H$4:$H$1201,Tabla213[[#Headers],[Macrophomina]], $G$4:$G$1201,Tabla213[[#This Row],[Organo]], $B$4:$B$1201,M131)</f>
        <v>0</v>
      </c>
      <c r="U131">
        <f>COUNTIFS($H$4:$H$1201,Tabla213[[#Headers],[Rhizoctonia]], $G$4:$G$1201,Tabla213[[#This Row],[Organo]], $B$4:$B$1201,M131)</f>
        <v>0</v>
      </c>
      <c r="V131">
        <v>0</v>
      </c>
      <c r="W131">
        <f>COUNTIFS($H$4:$H$1201,Tabla213[[#Headers],[Alternaria]], $G$4:$G$1201,Tabla213[[#This Row],[Organo]], $B$4:$B$1201,M131)</f>
        <v>0</v>
      </c>
      <c r="X131">
        <f>COUNTIFS($H$4:$H$1201,Tabla213[[#Headers],[Botrytis]], $G$4:$G$1201,Tabla213[[#This Row],[Organo]], $B$4:$B$1201,M131)</f>
        <v>0</v>
      </c>
      <c r="Y131">
        <f>COUNTIFS($H$4:$H$1201,Tabla213[[#Headers],[Colletotrichum]], $G$4:$G$1201,Tabla213[[#This Row],[Organo]], $B$4:$B$1201,M131)</f>
        <v>0</v>
      </c>
      <c r="Z131">
        <f>COUNTIFS($H$4:$H$1201,Tabla213[[#Headers],[Aspergillus]], $G$4:$G$1201,Tabla213[[#This Row],[Organo]], $B$4:$B$1201,M131)</f>
        <v>0</v>
      </c>
      <c r="AA131">
        <f>COUNTIFS($H$4:$H$1201,Tabla213[[#Headers],[NO ID]], $G$4:$G$1201,Tabla213[[#This Row],[Organo]], $B$4:$B$1201,M131)</f>
        <v>0</v>
      </c>
      <c r="AB131">
        <f>COUNTIFS($H$4:$H$1201,Tabla213[[#Headers],[Trichoderma]], $G$4:$G$1201,Tabla213[[#This Row],[Organo]], $B$4:$B$1201,M131)</f>
        <v>0</v>
      </c>
      <c r="AC131">
        <f>COUNTIFS($H$4:$H$1201,Tabla213[[#Headers],[Rizophus]], $G$4:$G$1201,Tabla213[[#This Row],[Organo]], $B$4:$B$1201,M131)</f>
        <v>0</v>
      </c>
      <c r="AD131">
        <f>COUNTIFS($H$4:$H$1201,Tabla213[[#Headers],[FALTANTES]], $G$4:$G$1201,Tabla213[[#This Row],[Organo]], $B$4:$B$1201,M131)</f>
        <v>0</v>
      </c>
      <c r="AK131">
        <v>43</v>
      </c>
      <c r="AL131" t="s">
        <v>96</v>
      </c>
      <c r="AM131" t="s">
        <v>109</v>
      </c>
      <c r="AN131" t="s">
        <v>477</v>
      </c>
    </row>
    <row r="132" spans="1:40" x14ac:dyDescent="0.2">
      <c r="A132" s="7">
        <v>128</v>
      </c>
      <c r="B132" s="7">
        <v>4.3</v>
      </c>
      <c r="C132" s="1" t="str">
        <f t="shared" si="64"/>
        <v>CANINDO 1</v>
      </c>
      <c r="D132" s="7" t="s">
        <v>127</v>
      </c>
      <c r="E132" s="1" t="str">
        <f t="shared" si="65"/>
        <v>NIÑA</v>
      </c>
      <c r="F132" s="7">
        <v>1</v>
      </c>
      <c r="G132" s="7" t="s">
        <v>476</v>
      </c>
      <c r="H132" s="7" t="s">
        <v>149</v>
      </c>
      <c r="I132" s="7" t="s">
        <v>149</v>
      </c>
      <c r="J132" s="7">
        <v>128</v>
      </c>
      <c r="K132" s="19" t="s">
        <v>638</v>
      </c>
      <c r="M132">
        <v>43</v>
      </c>
      <c r="N132" t="s">
        <v>686</v>
      </c>
      <c r="O132" t="s">
        <v>109</v>
      </c>
      <c r="P132" t="s">
        <v>477</v>
      </c>
      <c r="Q132">
        <f>COUNTIFS($H$4:$H$1201,Tabla213[[#Headers],[Neopestalotiopsis]], $G$4:$G$1201,Tabla213[[#This Row],[Organo]], $B$4:$B$1201,M132)</f>
        <v>3</v>
      </c>
      <c r="R132">
        <f>COUNTIFS($H$4:$H$1201,Tabla213[[#Headers],[Fusarium]], $G$4:$G$1201,Tabla213[[#This Row],[Organo]], $B$4:$B$1201,M132)</f>
        <v>1</v>
      </c>
      <c r="S132">
        <f>COUNTIFS($H$4:$H$1201,Tabla213[[#Headers],[Cylindrocarpon]], $G$4:$G$1201,Tabla213[[#This Row],[Organo]], $B$4:$B$1201,M132)</f>
        <v>0</v>
      </c>
      <c r="T132">
        <f>COUNTIFS($H$4:$H$1201,Tabla213[[#Headers],[Macrophomina]], $G$4:$G$1201,Tabla213[[#This Row],[Organo]], $B$4:$B$1201,M132)</f>
        <v>0</v>
      </c>
      <c r="U132">
        <f>COUNTIFS($H$4:$H$1201,Tabla213[[#Headers],[Rhizoctonia]], $G$4:$G$1201,Tabla213[[#This Row],[Organo]], $B$4:$B$1201,M132)</f>
        <v>2</v>
      </c>
      <c r="V132">
        <v>0</v>
      </c>
      <c r="W132">
        <f>COUNTIFS($H$4:$H$1201,Tabla213[[#Headers],[Alternaria]], $G$4:$G$1201,Tabla213[[#This Row],[Organo]], $B$4:$B$1201,M132)</f>
        <v>0</v>
      </c>
      <c r="X132">
        <f>COUNTIFS($H$4:$H$1201,Tabla213[[#Headers],[Botrytis]], $G$4:$G$1201,Tabla213[[#This Row],[Organo]], $B$4:$B$1201,M132)</f>
        <v>0</v>
      </c>
      <c r="Y132">
        <f>COUNTIFS($H$4:$H$1201,Tabla213[[#Headers],[Colletotrichum]], $G$4:$G$1201,Tabla213[[#This Row],[Organo]], $B$4:$B$1201,M132)</f>
        <v>0</v>
      </c>
      <c r="Z132">
        <f>COUNTIFS($H$4:$H$1201,Tabla213[[#Headers],[Aspergillus]], $G$4:$G$1201,Tabla213[[#This Row],[Organo]], $B$4:$B$1201,M132)</f>
        <v>0</v>
      </c>
      <c r="AA132">
        <f>COUNTIFS($H$4:$H$1201,Tabla213[[#Headers],[NO ID]], $G$4:$G$1201,Tabla213[[#This Row],[Organo]], $B$4:$B$1201,M132)</f>
        <v>0</v>
      </c>
      <c r="AB132">
        <f>COUNTIFS($H$4:$H$1201,Tabla213[[#Headers],[Trichoderma]], $G$4:$G$1201,Tabla213[[#This Row],[Organo]], $B$4:$B$1201,M132)</f>
        <v>1</v>
      </c>
      <c r="AC132">
        <f>COUNTIFS($H$4:$H$1201,Tabla213[[#Headers],[Rizophus]], $G$4:$G$1201,Tabla213[[#This Row],[Organo]], $B$4:$B$1201,M132)</f>
        <v>0</v>
      </c>
      <c r="AD132">
        <f>COUNTIFS($H$4:$H$1201,Tabla213[[#Headers],[FALTANTES]], $G$4:$G$1201,Tabla213[[#This Row],[Organo]], $B$4:$B$1201,M132)</f>
        <v>0</v>
      </c>
      <c r="AF132">
        <f t="shared" ref="AF132" si="128">SUM(Q131:AD132)</f>
        <v>12</v>
      </c>
      <c r="AG132">
        <f>COUNTIF($B$5:$B$1201, Tabla213[[#This Row],[Num. Parcela]])</f>
        <v>12</v>
      </c>
      <c r="AH132" t="b">
        <f t="shared" ref="AH132" si="129">IF(AF132=AG132, TRUE)</f>
        <v>1</v>
      </c>
      <c r="AK132">
        <v>43</v>
      </c>
      <c r="AL132" t="s">
        <v>96</v>
      </c>
      <c r="AM132" t="s">
        <v>109</v>
      </c>
      <c r="AN132" t="s">
        <v>476</v>
      </c>
    </row>
    <row r="133" spans="1:40" x14ac:dyDescent="0.2">
      <c r="A133" s="7">
        <v>129</v>
      </c>
      <c r="B133" s="7">
        <v>4.3</v>
      </c>
      <c r="C133" s="1" t="str">
        <f t="shared" ref="C133:C196" si="130">IF(B133=1.1,"EL PEJO 1",IF(B133=1.2,"EL PEJO 2",IF(B133=1.3,"EL PEJO 3",IF(B133=1.4,"EL PEJO 4",IF(B133=2,"LA MAGUELLERA",IF(B133=3,"RANCHO ALVAREZ",IF(B133=4.1,"CANINDO 2",IF(B133=4.2,"CANINDO 3",IF(B133=4.3,"CANINDO 1",IF(B133=5.1,"CIRILLO 2",IF(B133=5.2,"CIRILLO 1",IF(B133=6,"PANTANO MEDIO",IF(B133=7,"PANTABAJO",IF(B133=8.1,"CHAVA MARTINEZ 1",IF(B133=8.2,"CHAVA MARTINEZ 2",IF(B133=9.1,"TIERRA DE POLLO 1",IF(B133=9.2,"TIERRA DE POLLO 2",IF(B133=10,"TIERRA DE GARCIA",IF(B133=11,"LA GALERA 1",IF(B133=12,"GALERA 2",IF(B133=13,"GALERA 3",IF(B133=14.1,"EL TRIANGULO 1",IF(B133=14.2,"EL TRIANGULO 2",IF(B133=15.1,"LA CRUZ 1",IF(B133=15.2,"LA CRUZ 2",IF(B133=16.1,"LUIS ROMERO 1",IF(B133=16.2,"LUIS ROMERO 2",IF(B133=17,"MAURILIO 1",IF(B133=18,"HUGO NAVARRO 1",)))))))))))))))))))))))))))))</f>
        <v>CANINDO 1</v>
      </c>
      <c r="D133" s="7" t="s">
        <v>127</v>
      </c>
      <c r="E133" s="1" t="str">
        <f t="shared" ref="E133:E196" si="131">IF(B133=1.1,"SENSATION",IF(B133=1.2,"VICTOR",IF(B133=1.3,"SANTA MARIA",IF(B133=1.4,"WARRIOR",IF(B133=2,"SAYULA",IF(B133=3,"SAYULA",IF(B133=4.1,"SAYULA",IF(B133=4.2,"SANTA MARIA",IF(B133=4.3,"NIÑA",IF(B133=5.1,"SAYULA",IF(B133=5.2,"SENSATION",IF(B133=6,"FORTUNA",IF(B133=7,"SENSATION",IF(B133=8.1,"FORTUNA",IF(B133=8.2,"ADELANTO",IF(B133=9.1,"GIDDINGS",IF(B133=9.2,"SANTA MARIA",IF(B133=10,"FORTUNA",IF(B133=11,"SENSATION",IF(B133=12,"SENSATION",IF(B133=13,"FRONTERA",IF(B133=14.1,"SENSATION",IF(B133=14.2,"CODIGO",IF(B133=15.1,"FRONTERA",IF(B133=15.2,"SAYULA",IF(B133=16.1,"SANTA MARIA &amp; FRONTERA",IF(B133=16.2,"SAYULA",IF(B133=17,"NO DOCUMENTADO",IF(B133=18,"NO DOCUMENTADO",IF(B133=19,"NO DOCUMENTADO"))))))))))))))))))))))))))))))</f>
        <v>NIÑA</v>
      </c>
      <c r="F133" s="7">
        <v>2</v>
      </c>
      <c r="G133" s="7" t="s">
        <v>476</v>
      </c>
      <c r="H133" s="7" t="s">
        <v>155</v>
      </c>
      <c r="I133" s="7" t="s">
        <v>155</v>
      </c>
      <c r="J133" s="7">
        <v>129</v>
      </c>
      <c r="K133" s="19" t="s">
        <v>638</v>
      </c>
      <c r="M133">
        <v>44</v>
      </c>
      <c r="N133" t="s">
        <v>687</v>
      </c>
      <c r="O133" t="s">
        <v>138</v>
      </c>
      <c r="P133" t="s">
        <v>476</v>
      </c>
      <c r="Q133">
        <f>COUNTIFS($H$4:$H$1201,Tabla213[[#Headers],[Neopestalotiopsis]], $G$4:$G$1201,Tabla213[[#This Row],[Organo]], $B$4:$B$1201,M133)</f>
        <v>1</v>
      </c>
      <c r="R133">
        <f>COUNTIFS($H$4:$H$1201,Tabla213[[#Headers],[Fusarium]], $G$4:$G$1201,Tabla213[[#This Row],[Organo]], $B$4:$B$1201,M133)</f>
        <v>0</v>
      </c>
      <c r="S133">
        <f>COUNTIFS($H$4:$H$1201,Tabla213[[#Headers],[Cylindrocarpon]], $G$4:$G$1201,Tabla213[[#This Row],[Organo]], $B$4:$B$1201,M133)</f>
        <v>0</v>
      </c>
      <c r="T133">
        <f>COUNTIFS($H$4:$H$1201,Tabla213[[#Headers],[Macrophomina]], $G$4:$G$1201,Tabla213[[#This Row],[Organo]], $B$4:$B$1201,M133)</f>
        <v>0</v>
      </c>
      <c r="U133">
        <f>COUNTIFS($H$4:$H$1201,Tabla213[[#Headers],[Rhizoctonia]], $G$4:$G$1201,Tabla213[[#This Row],[Organo]], $B$4:$B$1201,M133)</f>
        <v>1</v>
      </c>
      <c r="V133">
        <v>0</v>
      </c>
      <c r="W133">
        <f>COUNTIFS($H$4:$H$1201,Tabla213[[#Headers],[Alternaria]], $G$4:$G$1201,Tabla213[[#This Row],[Organo]], $B$4:$B$1201,M133)</f>
        <v>0</v>
      </c>
      <c r="X133">
        <f>COUNTIFS($H$4:$H$1201,Tabla213[[#Headers],[Botrytis]], $G$4:$G$1201,Tabla213[[#This Row],[Organo]], $B$4:$B$1201,M133)</f>
        <v>0</v>
      </c>
      <c r="Y133">
        <f>COUNTIFS($H$4:$H$1201,Tabla213[[#Headers],[Colletotrichum]], $G$4:$G$1201,Tabla213[[#This Row],[Organo]], $B$4:$B$1201,M133)</f>
        <v>0</v>
      </c>
      <c r="Z133">
        <f>COUNTIFS($H$4:$H$1201,Tabla213[[#Headers],[Aspergillus]], $G$4:$G$1201,Tabla213[[#This Row],[Organo]], $B$4:$B$1201,M133)</f>
        <v>0</v>
      </c>
      <c r="AA133">
        <f>COUNTIFS($H$4:$H$1201,Tabla213[[#Headers],[NO ID]], $G$4:$G$1201,Tabla213[[#This Row],[Organo]], $B$4:$B$1201,M133)</f>
        <v>0</v>
      </c>
      <c r="AB133">
        <f>COUNTIFS($H$4:$H$1201,Tabla213[[#Headers],[Trichoderma]], $G$4:$G$1201,Tabla213[[#This Row],[Organo]], $B$4:$B$1201,M133)</f>
        <v>0</v>
      </c>
      <c r="AC133">
        <f>COUNTIFS($H$4:$H$1201,Tabla213[[#Headers],[Rizophus]], $G$4:$G$1201,Tabla213[[#This Row],[Organo]], $B$4:$B$1201,M133)</f>
        <v>0</v>
      </c>
      <c r="AD133">
        <f>COUNTIFS($H$4:$H$1201,Tabla213[[#Headers],[FALTANTES]], $G$4:$G$1201,Tabla213[[#This Row],[Organo]], $B$4:$B$1201,M133)</f>
        <v>0</v>
      </c>
      <c r="AK133">
        <v>44</v>
      </c>
      <c r="AL133" t="s">
        <v>96</v>
      </c>
      <c r="AM133" t="s">
        <v>138</v>
      </c>
      <c r="AN133" t="s">
        <v>477</v>
      </c>
    </row>
    <row r="134" spans="1:40" x14ac:dyDescent="0.2">
      <c r="A134" s="7">
        <v>130</v>
      </c>
      <c r="B134" s="7">
        <v>4.3</v>
      </c>
      <c r="C134" s="1" t="str">
        <f t="shared" si="130"/>
        <v>CANINDO 1</v>
      </c>
      <c r="D134" s="7" t="s">
        <v>127</v>
      </c>
      <c r="E134" s="1" t="str">
        <f t="shared" si="131"/>
        <v>NIÑA</v>
      </c>
      <c r="F134" s="7">
        <v>2</v>
      </c>
      <c r="G134" s="7" t="s">
        <v>476</v>
      </c>
      <c r="H134" s="7" t="s">
        <v>228</v>
      </c>
      <c r="I134" s="9" t="s">
        <v>487</v>
      </c>
      <c r="J134" s="9">
        <v>130</v>
      </c>
      <c r="K134" s="7"/>
      <c r="M134">
        <v>44</v>
      </c>
      <c r="N134" t="s">
        <v>687</v>
      </c>
      <c r="O134" t="s">
        <v>138</v>
      </c>
      <c r="P134" t="s">
        <v>477</v>
      </c>
      <c r="Q134">
        <f>COUNTIFS($H$4:$H$1201,Tabla213[[#Headers],[Neopestalotiopsis]], $G$4:$G$1201,Tabla213[[#This Row],[Organo]], $B$4:$B$1201,M134)</f>
        <v>0</v>
      </c>
      <c r="R134">
        <f>COUNTIFS($H$4:$H$1201,Tabla213[[#Headers],[Fusarium]], $G$4:$G$1201,Tabla213[[#This Row],[Organo]], $B$4:$B$1201,M134)</f>
        <v>0</v>
      </c>
      <c r="S134">
        <f>COUNTIFS($H$4:$H$1201,Tabla213[[#Headers],[Cylindrocarpon]], $G$4:$G$1201,Tabla213[[#This Row],[Organo]], $B$4:$B$1201,M134)</f>
        <v>0</v>
      </c>
      <c r="T134">
        <f>COUNTIFS($H$4:$H$1201,Tabla213[[#Headers],[Macrophomina]], $G$4:$G$1201,Tabla213[[#This Row],[Organo]], $B$4:$B$1201,M134)</f>
        <v>0</v>
      </c>
      <c r="U134">
        <f>COUNTIFS($H$4:$H$1201,Tabla213[[#Headers],[Rhizoctonia]], $G$4:$G$1201,Tabla213[[#This Row],[Organo]], $B$4:$B$1201,M134)</f>
        <v>4</v>
      </c>
      <c r="V134">
        <v>0</v>
      </c>
      <c r="W134">
        <f>COUNTIFS($H$4:$H$1201,Tabla213[[#Headers],[Alternaria]], $G$4:$G$1201,Tabla213[[#This Row],[Organo]], $B$4:$B$1201,M134)</f>
        <v>0</v>
      </c>
      <c r="X134">
        <f>COUNTIFS($H$4:$H$1201,Tabla213[[#Headers],[Botrytis]], $G$4:$G$1201,Tabla213[[#This Row],[Organo]], $B$4:$B$1201,M134)</f>
        <v>0</v>
      </c>
      <c r="Y134">
        <f>COUNTIFS($H$4:$H$1201,Tabla213[[#Headers],[Colletotrichum]], $G$4:$G$1201,Tabla213[[#This Row],[Organo]], $B$4:$B$1201,M134)</f>
        <v>0</v>
      </c>
      <c r="Z134">
        <f>COUNTIFS($H$4:$H$1201,Tabla213[[#Headers],[Aspergillus]], $G$4:$G$1201,Tabla213[[#This Row],[Organo]], $B$4:$B$1201,M134)</f>
        <v>0</v>
      </c>
      <c r="AA134">
        <f>COUNTIFS($H$4:$H$1201,Tabla213[[#Headers],[NO ID]], $G$4:$G$1201,Tabla213[[#This Row],[Organo]], $B$4:$B$1201,M134)</f>
        <v>0</v>
      </c>
      <c r="AB134">
        <f>COUNTIFS($H$4:$H$1201,Tabla213[[#Headers],[Trichoderma]], $G$4:$G$1201,Tabla213[[#This Row],[Organo]], $B$4:$B$1201,M134)</f>
        <v>0</v>
      </c>
      <c r="AC134">
        <f>COUNTIFS($H$4:$H$1201,Tabla213[[#Headers],[Rizophus]], $G$4:$G$1201,Tabla213[[#This Row],[Organo]], $B$4:$B$1201,M134)</f>
        <v>0</v>
      </c>
      <c r="AD134">
        <f>COUNTIFS($H$4:$H$1201,Tabla213[[#Headers],[FALTANTES]], $G$4:$G$1201,Tabla213[[#This Row],[Organo]], $B$4:$B$1201,M134)</f>
        <v>0</v>
      </c>
      <c r="AF134">
        <f t="shared" ref="AF134" si="132">SUM(Q133:AD134)</f>
        <v>6</v>
      </c>
      <c r="AG134">
        <f>COUNTIF($B$5:$B$1201, Tabla213[[#This Row],[Num. Parcela]])</f>
        <v>6</v>
      </c>
      <c r="AH134" t="b">
        <f t="shared" ref="AH134" si="133">IF(AF134=AG134, TRUE)</f>
        <v>1</v>
      </c>
      <c r="AK134">
        <v>44</v>
      </c>
      <c r="AL134" t="s">
        <v>96</v>
      </c>
      <c r="AM134" t="s">
        <v>138</v>
      </c>
      <c r="AN134" t="s">
        <v>476</v>
      </c>
    </row>
    <row r="135" spans="1:40" x14ac:dyDescent="0.2">
      <c r="A135" s="7">
        <v>131</v>
      </c>
      <c r="B135" s="7">
        <v>4.3</v>
      </c>
      <c r="C135" s="1" t="str">
        <f t="shared" si="130"/>
        <v>CANINDO 1</v>
      </c>
      <c r="D135" s="7" t="s">
        <v>127</v>
      </c>
      <c r="E135" s="1" t="str">
        <f t="shared" si="131"/>
        <v>NIÑA</v>
      </c>
      <c r="F135" s="7">
        <v>2</v>
      </c>
      <c r="G135" s="7" t="s">
        <v>476</v>
      </c>
      <c r="H135" s="7" t="s">
        <v>155</v>
      </c>
      <c r="I135" s="7" t="s">
        <v>155</v>
      </c>
      <c r="J135" s="7">
        <v>131</v>
      </c>
      <c r="K135" s="7"/>
      <c r="M135">
        <v>45</v>
      </c>
      <c r="N135" t="s">
        <v>688</v>
      </c>
      <c r="O135" t="s">
        <v>109</v>
      </c>
      <c r="P135" t="s">
        <v>476</v>
      </c>
      <c r="Q135">
        <f>COUNTIFS($H$4:$H$1201,Tabla213[[#Headers],[Neopestalotiopsis]], $G$4:$G$1201,Tabla213[[#This Row],[Organo]], $B$4:$B$1201,M135)</f>
        <v>4</v>
      </c>
      <c r="R135">
        <f>COUNTIFS($H$4:$H$1201,Tabla213[[#Headers],[Fusarium]], $G$4:$G$1201,Tabla213[[#This Row],[Organo]], $B$4:$B$1201,M135)</f>
        <v>0</v>
      </c>
      <c r="S135">
        <f>COUNTIFS($H$4:$H$1201,Tabla213[[#Headers],[Cylindrocarpon]], $G$4:$G$1201,Tabla213[[#This Row],[Organo]], $B$4:$B$1201,M135)</f>
        <v>0</v>
      </c>
      <c r="T135">
        <f>COUNTIFS($H$4:$H$1201,Tabla213[[#Headers],[Macrophomina]], $G$4:$G$1201,Tabla213[[#This Row],[Organo]], $B$4:$B$1201,M135)</f>
        <v>0</v>
      </c>
      <c r="U135">
        <f>COUNTIFS($H$4:$H$1201,Tabla213[[#Headers],[Rhizoctonia]], $G$4:$G$1201,Tabla213[[#This Row],[Organo]], $B$4:$B$1201,M135)</f>
        <v>0</v>
      </c>
      <c r="V135">
        <v>0</v>
      </c>
      <c r="W135">
        <f>COUNTIFS($H$4:$H$1201,Tabla213[[#Headers],[Alternaria]], $G$4:$G$1201,Tabla213[[#This Row],[Organo]], $B$4:$B$1201,M135)</f>
        <v>0</v>
      </c>
      <c r="X135">
        <f>COUNTIFS($H$4:$H$1201,Tabla213[[#Headers],[Botrytis]], $G$4:$G$1201,Tabla213[[#This Row],[Organo]], $B$4:$B$1201,M135)</f>
        <v>0</v>
      </c>
      <c r="Y135">
        <f>COUNTIFS($H$4:$H$1201,Tabla213[[#Headers],[Colletotrichum]], $G$4:$G$1201,Tabla213[[#This Row],[Organo]], $B$4:$B$1201,M135)</f>
        <v>0</v>
      </c>
      <c r="Z135">
        <f>COUNTIFS($H$4:$H$1201,Tabla213[[#Headers],[Aspergillus]], $G$4:$G$1201,Tabla213[[#This Row],[Organo]], $B$4:$B$1201,M135)</f>
        <v>0</v>
      </c>
      <c r="AA135">
        <f>COUNTIFS($H$4:$H$1201,Tabla213[[#Headers],[NO ID]], $G$4:$G$1201,Tabla213[[#This Row],[Organo]], $B$4:$B$1201,M135)</f>
        <v>0</v>
      </c>
      <c r="AB135">
        <f>COUNTIFS($H$4:$H$1201,Tabla213[[#Headers],[Trichoderma]], $G$4:$G$1201,Tabla213[[#This Row],[Organo]], $B$4:$B$1201,M135)</f>
        <v>0</v>
      </c>
      <c r="AC135">
        <f>COUNTIFS($H$4:$H$1201,Tabla213[[#Headers],[Rizophus]], $G$4:$G$1201,Tabla213[[#This Row],[Organo]], $B$4:$B$1201,M135)</f>
        <v>0</v>
      </c>
      <c r="AD135">
        <f>COUNTIFS($H$4:$H$1201,Tabla213[[#Headers],[FALTANTES]], $G$4:$G$1201,Tabla213[[#This Row],[Organo]], $B$4:$B$1201,M135)</f>
        <v>0</v>
      </c>
      <c r="AK135">
        <v>45</v>
      </c>
      <c r="AL135" t="s">
        <v>96</v>
      </c>
      <c r="AM135" t="s">
        <v>109</v>
      </c>
      <c r="AN135" t="s">
        <v>477</v>
      </c>
    </row>
    <row r="136" spans="1:40" x14ac:dyDescent="0.2">
      <c r="A136" s="7">
        <v>132</v>
      </c>
      <c r="B136" s="7">
        <v>4.3</v>
      </c>
      <c r="C136" s="1" t="str">
        <f t="shared" si="130"/>
        <v>CANINDO 1</v>
      </c>
      <c r="D136" s="7" t="s">
        <v>127</v>
      </c>
      <c r="E136" s="1" t="str">
        <f t="shared" si="131"/>
        <v>NIÑA</v>
      </c>
      <c r="F136" s="7">
        <v>1</v>
      </c>
      <c r="G136" s="7" t="s">
        <v>477</v>
      </c>
      <c r="H136" s="7" t="s">
        <v>149</v>
      </c>
      <c r="I136" s="7" t="s">
        <v>149</v>
      </c>
      <c r="J136" s="7">
        <v>132</v>
      </c>
      <c r="K136" s="19" t="s">
        <v>638</v>
      </c>
      <c r="M136">
        <v>45</v>
      </c>
      <c r="N136" t="s">
        <v>688</v>
      </c>
      <c r="O136" t="s">
        <v>109</v>
      </c>
      <c r="P136" t="s">
        <v>477</v>
      </c>
      <c r="Q136">
        <f>COUNTIFS($H$4:$H$1201,Tabla213[[#Headers],[Neopestalotiopsis]], $G$4:$G$1201,Tabla213[[#This Row],[Organo]], $B$4:$B$1201,M136)</f>
        <v>2</v>
      </c>
      <c r="R136">
        <f>COUNTIFS($H$4:$H$1201,Tabla213[[#Headers],[Fusarium]], $G$4:$G$1201,Tabla213[[#This Row],[Organo]], $B$4:$B$1201,M136)</f>
        <v>3</v>
      </c>
      <c r="S136">
        <f>COUNTIFS($H$4:$H$1201,Tabla213[[#Headers],[Cylindrocarpon]], $G$4:$G$1201,Tabla213[[#This Row],[Organo]], $B$4:$B$1201,M136)</f>
        <v>0</v>
      </c>
      <c r="T136">
        <f>COUNTIFS($H$4:$H$1201,Tabla213[[#Headers],[Macrophomina]], $G$4:$G$1201,Tabla213[[#This Row],[Organo]], $B$4:$B$1201,M136)</f>
        <v>0</v>
      </c>
      <c r="U136">
        <f>COUNTIFS($H$4:$H$1201,Tabla213[[#Headers],[Rhizoctonia]], $G$4:$G$1201,Tabla213[[#This Row],[Organo]], $B$4:$B$1201,M136)</f>
        <v>0</v>
      </c>
      <c r="V136">
        <v>0</v>
      </c>
      <c r="W136">
        <f>COUNTIFS($H$4:$H$1201,Tabla213[[#Headers],[Alternaria]], $G$4:$G$1201,Tabla213[[#This Row],[Organo]], $B$4:$B$1201,M136)</f>
        <v>0</v>
      </c>
      <c r="X136">
        <f>COUNTIFS($H$4:$H$1201,Tabla213[[#Headers],[Botrytis]], $G$4:$G$1201,Tabla213[[#This Row],[Organo]], $B$4:$B$1201,M136)</f>
        <v>0</v>
      </c>
      <c r="Y136">
        <f>COUNTIFS($H$4:$H$1201,Tabla213[[#Headers],[Colletotrichum]], $G$4:$G$1201,Tabla213[[#This Row],[Organo]], $B$4:$B$1201,M136)</f>
        <v>0</v>
      </c>
      <c r="Z136">
        <f>COUNTIFS($H$4:$H$1201,Tabla213[[#Headers],[Aspergillus]], $G$4:$G$1201,Tabla213[[#This Row],[Organo]], $B$4:$B$1201,M136)</f>
        <v>0</v>
      </c>
      <c r="AA136">
        <f>COUNTIFS($H$4:$H$1201,Tabla213[[#Headers],[NO ID]], $G$4:$G$1201,Tabla213[[#This Row],[Organo]], $B$4:$B$1201,M136)</f>
        <v>1</v>
      </c>
      <c r="AB136">
        <f>COUNTIFS($H$4:$H$1201,Tabla213[[#Headers],[Trichoderma]], $G$4:$G$1201,Tabla213[[#This Row],[Organo]], $B$4:$B$1201,M136)</f>
        <v>1</v>
      </c>
      <c r="AC136">
        <f>COUNTIFS($H$4:$H$1201,Tabla213[[#Headers],[Rizophus]], $G$4:$G$1201,Tabla213[[#This Row],[Organo]], $B$4:$B$1201,M136)</f>
        <v>0</v>
      </c>
      <c r="AD136">
        <f>COUNTIFS($H$4:$H$1201,Tabla213[[#Headers],[FALTANTES]], $G$4:$G$1201,Tabla213[[#This Row],[Organo]], $B$4:$B$1201,M136)</f>
        <v>0</v>
      </c>
      <c r="AF136">
        <f t="shared" ref="AF136" si="134">SUM(Q135:AD136)</f>
        <v>11</v>
      </c>
      <c r="AG136">
        <f>COUNTIF($B$5:$B$1201, Tabla213[[#This Row],[Num. Parcela]])</f>
        <v>11</v>
      </c>
      <c r="AH136" t="b">
        <f t="shared" ref="AH136" si="135">IF(AF136=AG136, TRUE)</f>
        <v>1</v>
      </c>
      <c r="AK136">
        <v>45</v>
      </c>
      <c r="AL136" t="s">
        <v>96</v>
      </c>
      <c r="AM136" t="s">
        <v>109</v>
      </c>
      <c r="AN136" t="s">
        <v>476</v>
      </c>
    </row>
    <row r="137" spans="1:40" x14ac:dyDescent="0.2">
      <c r="A137" s="7">
        <v>133</v>
      </c>
      <c r="B137" s="7">
        <v>4.3</v>
      </c>
      <c r="C137" s="1" t="str">
        <f t="shared" si="130"/>
        <v>CANINDO 1</v>
      </c>
      <c r="D137" s="7" t="s">
        <v>127</v>
      </c>
      <c r="E137" s="1" t="str">
        <f t="shared" si="131"/>
        <v>NIÑA</v>
      </c>
      <c r="F137" s="7">
        <v>1</v>
      </c>
      <c r="G137" s="7" t="s">
        <v>477</v>
      </c>
      <c r="H137" s="7" t="s">
        <v>149</v>
      </c>
      <c r="I137" s="8" t="s">
        <v>478</v>
      </c>
      <c r="J137" s="22">
        <v>133</v>
      </c>
      <c r="K137" s="7"/>
      <c r="M137">
        <v>46</v>
      </c>
      <c r="N137" t="s">
        <v>689</v>
      </c>
      <c r="O137" t="s">
        <v>115</v>
      </c>
      <c r="P137" t="s">
        <v>476</v>
      </c>
      <c r="Q137">
        <f>COUNTIFS($H$4:$H$1201,Tabla213[[#Headers],[Neopestalotiopsis]], $G$4:$G$1201,Tabla213[[#This Row],[Organo]], $B$4:$B$1201,M137)</f>
        <v>2</v>
      </c>
      <c r="R137">
        <f>COUNTIFS($H$4:$H$1201,Tabla213[[#Headers],[Fusarium]], $G$4:$G$1201,Tabla213[[#This Row],[Organo]], $B$4:$B$1201,M137)</f>
        <v>0</v>
      </c>
      <c r="S137">
        <f>COUNTIFS($H$4:$H$1201,Tabla213[[#Headers],[Cylindrocarpon]], $G$4:$G$1201,Tabla213[[#This Row],[Organo]], $B$4:$B$1201,M137)</f>
        <v>0</v>
      </c>
      <c r="T137">
        <f>COUNTIFS($H$4:$H$1201,Tabla213[[#Headers],[Macrophomina]], $G$4:$G$1201,Tabla213[[#This Row],[Organo]], $B$4:$B$1201,M137)</f>
        <v>0</v>
      </c>
      <c r="U137">
        <f>COUNTIFS($H$4:$H$1201,Tabla213[[#Headers],[Rhizoctonia]], $G$4:$G$1201,Tabla213[[#This Row],[Organo]], $B$4:$B$1201,M137)</f>
        <v>0</v>
      </c>
      <c r="V137">
        <v>0</v>
      </c>
      <c r="W137">
        <f>COUNTIFS($H$4:$H$1201,Tabla213[[#Headers],[Alternaria]], $G$4:$G$1201,Tabla213[[#This Row],[Organo]], $B$4:$B$1201,M137)</f>
        <v>0</v>
      </c>
      <c r="X137">
        <f>COUNTIFS($H$4:$H$1201,Tabla213[[#Headers],[Botrytis]], $G$4:$G$1201,Tabla213[[#This Row],[Organo]], $B$4:$B$1201,M137)</f>
        <v>0</v>
      </c>
      <c r="Y137">
        <f>COUNTIFS($H$4:$H$1201,Tabla213[[#Headers],[Colletotrichum]], $G$4:$G$1201,Tabla213[[#This Row],[Organo]], $B$4:$B$1201,M137)</f>
        <v>0</v>
      </c>
      <c r="Z137">
        <f>COUNTIFS($H$4:$H$1201,Tabla213[[#Headers],[Aspergillus]], $G$4:$G$1201,Tabla213[[#This Row],[Organo]], $B$4:$B$1201,M137)</f>
        <v>0</v>
      </c>
      <c r="AA137">
        <f>COUNTIFS($H$4:$H$1201,Tabla213[[#Headers],[NO ID]], $G$4:$G$1201,Tabla213[[#This Row],[Organo]], $B$4:$B$1201,M137)</f>
        <v>0</v>
      </c>
      <c r="AB137">
        <f>COUNTIFS($H$4:$H$1201,Tabla213[[#Headers],[Trichoderma]], $G$4:$G$1201,Tabla213[[#This Row],[Organo]], $B$4:$B$1201,M137)</f>
        <v>0</v>
      </c>
      <c r="AC137">
        <f>COUNTIFS($H$4:$H$1201,Tabla213[[#Headers],[Rizophus]], $G$4:$G$1201,Tabla213[[#This Row],[Organo]], $B$4:$B$1201,M137)</f>
        <v>0</v>
      </c>
      <c r="AD137">
        <f>COUNTIFS($H$4:$H$1201,Tabla213[[#Headers],[FALTANTES]], $G$4:$G$1201,Tabla213[[#This Row],[Organo]], $B$4:$B$1201,M137)</f>
        <v>0</v>
      </c>
      <c r="AK137">
        <v>46</v>
      </c>
      <c r="AL137" t="s">
        <v>96</v>
      </c>
      <c r="AM137" t="s">
        <v>115</v>
      </c>
      <c r="AN137" t="s">
        <v>477</v>
      </c>
    </row>
    <row r="138" spans="1:40" x14ac:dyDescent="0.2">
      <c r="A138" s="7">
        <v>134</v>
      </c>
      <c r="B138" s="7">
        <v>4.3</v>
      </c>
      <c r="C138" s="1" t="str">
        <f t="shared" si="130"/>
        <v>CANINDO 1</v>
      </c>
      <c r="D138" s="7" t="s">
        <v>127</v>
      </c>
      <c r="E138" s="1" t="str">
        <f t="shared" si="131"/>
        <v>NIÑA</v>
      </c>
      <c r="F138" s="7">
        <v>1</v>
      </c>
      <c r="G138" s="7" t="s">
        <v>477</v>
      </c>
      <c r="H138" s="7" t="s">
        <v>149</v>
      </c>
      <c r="I138" s="7" t="s">
        <v>149</v>
      </c>
      <c r="J138" s="8">
        <v>134</v>
      </c>
      <c r="K138" s="19" t="s">
        <v>638</v>
      </c>
      <c r="M138">
        <v>46</v>
      </c>
      <c r="N138" t="s">
        <v>689</v>
      </c>
      <c r="O138" t="s">
        <v>115</v>
      </c>
      <c r="P138" t="s">
        <v>477</v>
      </c>
      <c r="Q138">
        <f>COUNTIFS($H$4:$H$1201,Tabla213[[#Headers],[Neopestalotiopsis]], $G$4:$G$1201,Tabla213[[#This Row],[Organo]], $B$4:$B$1201,M138)</f>
        <v>0</v>
      </c>
      <c r="R138">
        <f>COUNTIFS($H$4:$H$1201,Tabla213[[#Headers],[Fusarium]], $G$4:$G$1201,Tabla213[[#This Row],[Organo]], $B$4:$B$1201,M138)</f>
        <v>0</v>
      </c>
      <c r="S138">
        <f>COUNTIFS($H$4:$H$1201,Tabla213[[#Headers],[Cylindrocarpon]], $G$4:$G$1201,Tabla213[[#This Row],[Organo]], $B$4:$B$1201,M138)</f>
        <v>0</v>
      </c>
      <c r="T138">
        <f>COUNTIFS($H$4:$H$1201,Tabla213[[#Headers],[Macrophomina]], $G$4:$G$1201,Tabla213[[#This Row],[Organo]], $B$4:$B$1201,M138)</f>
        <v>0</v>
      </c>
      <c r="U138">
        <f>COUNTIFS($H$4:$H$1201,Tabla213[[#Headers],[Rhizoctonia]], $G$4:$G$1201,Tabla213[[#This Row],[Organo]], $B$4:$B$1201,M138)</f>
        <v>0</v>
      </c>
      <c r="V138">
        <v>0</v>
      </c>
      <c r="W138">
        <f>COUNTIFS($H$4:$H$1201,Tabla213[[#Headers],[Alternaria]], $G$4:$G$1201,Tabla213[[#This Row],[Organo]], $B$4:$B$1201,M138)</f>
        <v>0</v>
      </c>
      <c r="X138">
        <f>COUNTIFS($H$4:$H$1201,Tabla213[[#Headers],[Botrytis]], $G$4:$G$1201,Tabla213[[#This Row],[Organo]], $B$4:$B$1201,M138)</f>
        <v>0</v>
      </c>
      <c r="Y138">
        <f>COUNTIFS($H$4:$H$1201,Tabla213[[#Headers],[Colletotrichum]], $G$4:$G$1201,Tabla213[[#This Row],[Organo]], $B$4:$B$1201,M138)</f>
        <v>0</v>
      </c>
      <c r="Z138">
        <f>COUNTIFS($H$4:$H$1201,Tabla213[[#Headers],[Aspergillus]], $G$4:$G$1201,Tabla213[[#This Row],[Organo]], $B$4:$B$1201,M138)</f>
        <v>0</v>
      </c>
      <c r="AA138">
        <f>COUNTIFS($H$4:$H$1201,Tabla213[[#Headers],[NO ID]], $G$4:$G$1201,Tabla213[[#This Row],[Organo]], $B$4:$B$1201,M138)</f>
        <v>1</v>
      </c>
      <c r="AB138">
        <f>COUNTIFS($H$4:$H$1201,Tabla213[[#Headers],[Trichoderma]], $G$4:$G$1201,Tabla213[[#This Row],[Organo]], $B$4:$B$1201,M138)</f>
        <v>2</v>
      </c>
      <c r="AC138">
        <f>COUNTIFS($H$4:$H$1201,Tabla213[[#Headers],[Rizophus]], $G$4:$G$1201,Tabla213[[#This Row],[Organo]], $B$4:$B$1201,M138)</f>
        <v>0</v>
      </c>
      <c r="AD138">
        <f>COUNTIFS($H$4:$H$1201,Tabla213[[#Headers],[FALTANTES]], $G$4:$G$1201,Tabla213[[#This Row],[Organo]], $B$4:$B$1201,M138)</f>
        <v>0</v>
      </c>
      <c r="AF138">
        <f t="shared" ref="AF138" si="136">SUM(Q137:AD138)</f>
        <v>5</v>
      </c>
      <c r="AG138">
        <f>COUNTIF($B$5:$B$1201, Tabla213[[#This Row],[Num. Parcela]])</f>
        <v>5</v>
      </c>
      <c r="AH138" t="b">
        <f t="shared" ref="AH138" si="137">IF(AF138=AG138, TRUE)</f>
        <v>1</v>
      </c>
      <c r="AK138">
        <v>46</v>
      </c>
      <c r="AL138" t="s">
        <v>96</v>
      </c>
      <c r="AM138" t="s">
        <v>115</v>
      </c>
      <c r="AN138" t="s">
        <v>476</v>
      </c>
    </row>
    <row r="139" spans="1:40" x14ac:dyDescent="0.2">
      <c r="A139" s="7">
        <v>135</v>
      </c>
      <c r="B139" s="7">
        <v>4.3</v>
      </c>
      <c r="C139" s="1" t="str">
        <f t="shared" si="130"/>
        <v>CANINDO 1</v>
      </c>
      <c r="D139" s="7" t="s">
        <v>127</v>
      </c>
      <c r="E139" s="1" t="str">
        <f t="shared" si="131"/>
        <v>NIÑA</v>
      </c>
      <c r="F139" s="7">
        <v>2</v>
      </c>
      <c r="G139" s="7" t="s">
        <v>477</v>
      </c>
      <c r="H139" s="7" t="s">
        <v>228</v>
      </c>
      <c r="I139" s="9" t="s">
        <v>487</v>
      </c>
      <c r="J139" s="9">
        <v>135</v>
      </c>
      <c r="K139" s="7"/>
      <c r="M139">
        <v>47</v>
      </c>
      <c r="N139" t="s">
        <v>690</v>
      </c>
      <c r="O139" t="s">
        <v>111</v>
      </c>
      <c r="P139" t="s">
        <v>476</v>
      </c>
      <c r="Q139">
        <f>COUNTIFS($H$4:$H$1201,Tabla213[[#Headers],[Neopestalotiopsis]], $G$4:$G$1201,Tabla213[[#This Row],[Organo]], $B$4:$B$1201,M139)</f>
        <v>3</v>
      </c>
      <c r="R139">
        <f>COUNTIFS($H$4:$H$1201,Tabla213[[#Headers],[Fusarium]], $G$4:$G$1201,Tabla213[[#This Row],[Organo]], $B$4:$B$1201,M139)</f>
        <v>0</v>
      </c>
      <c r="S139">
        <f>COUNTIFS($H$4:$H$1201,Tabla213[[#Headers],[Cylindrocarpon]], $G$4:$G$1201,Tabla213[[#This Row],[Organo]], $B$4:$B$1201,M139)</f>
        <v>0</v>
      </c>
      <c r="T139">
        <f>COUNTIFS($H$4:$H$1201,Tabla213[[#Headers],[Macrophomina]], $G$4:$G$1201,Tabla213[[#This Row],[Organo]], $B$4:$B$1201,M139)</f>
        <v>0</v>
      </c>
      <c r="U139">
        <f>COUNTIFS($H$4:$H$1201,Tabla213[[#Headers],[Rhizoctonia]], $G$4:$G$1201,Tabla213[[#This Row],[Organo]], $B$4:$B$1201,M139)</f>
        <v>0</v>
      </c>
      <c r="V139">
        <v>0</v>
      </c>
      <c r="W139">
        <f>COUNTIFS($H$4:$H$1201,Tabla213[[#Headers],[Alternaria]], $G$4:$G$1201,Tabla213[[#This Row],[Organo]], $B$4:$B$1201,M139)</f>
        <v>0</v>
      </c>
      <c r="X139">
        <f>COUNTIFS($H$4:$H$1201,Tabla213[[#Headers],[Botrytis]], $G$4:$G$1201,Tabla213[[#This Row],[Organo]], $B$4:$B$1201,M139)</f>
        <v>0</v>
      </c>
      <c r="Y139">
        <f>COUNTIFS($H$4:$H$1201,Tabla213[[#Headers],[Colletotrichum]], $G$4:$G$1201,Tabla213[[#This Row],[Organo]], $B$4:$B$1201,M139)</f>
        <v>0</v>
      </c>
      <c r="Z139">
        <f>COUNTIFS($H$4:$H$1201,Tabla213[[#Headers],[Aspergillus]], $G$4:$G$1201,Tabla213[[#This Row],[Organo]], $B$4:$B$1201,M139)</f>
        <v>0</v>
      </c>
      <c r="AA139">
        <f>COUNTIFS($H$4:$H$1201,Tabla213[[#Headers],[NO ID]], $G$4:$G$1201,Tabla213[[#This Row],[Organo]], $B$4:$B$1201,M139)</f>
        <v>0</v>
      </c>
      <c r="AB139">
        <f>COUNTIFS($H$4:$H$1201,Tabla213[[#Headers],[Trichoderma]], $G$4:$G$1201,Tabla213[[#This Row],[Organo]], $B$4:$B$1201,M139)</f>
        <v>0</v>
      </c>
      <c r="AC139">
        <f>COUNTIFS($H$4:$H$1201,Tabla213[[#Headers],[Rizophus]], $G$4:$G$1201,Tabla213[[#This Row],[Organo]], $B$4:$B$1201,M139)</f>
        <v>0</v>
      </c>
      <c r="AD139">
        <f>COUNTIFS($H$4:$H$1201,Tabla213[[#Headers],[FALTANTES]], $G$4:$G$1201,Tabla213[[#This Row],[Organo]], $B$4:$B$1201,M139)</f>
        <v>0</v>
      </c>
      <c r="AK139">
        <v>47</v>
      </c>
      <c r="AL139" t="s">
        <v>96</v>
      </c>
      <c r="AM139" t="s">
        <v>111</v>
      </c>
      <c r="AN139" t="s">
        <v>477</v>
      </c>
    </row>
    <row r="140" spans="1:40" x14ac:dyDescent="0.2">
      <c r="A140" s="7">
        <v>136</v>
      </c>
      <c r="B140" s="7">
        <v>4.3</v>
      </c>
      <c r="C140" s="1" t="str">
        <f t="shared" si="130"/>
        <v>CANINDO 1</v>
      </c>
      <c r="D140" s="7" t="s">
        <v>127</v>
      </c>
      <c r="E140" s="1" t="str">
        <f t="shared" si="131"/>
        <v>NIÑA</v>
      </c>
      <c r="F140" s="7">
        <v>2</v>
      </c>
      <c r="G140" s="7" t="s">
        <v>477</v>
      </c>
      <c r="H140" s="7" t="s">
        <v>149</v>
      </c>
      <c r="I140" s="7" t="s">
        <v>149</v>
      </c>
      <c r="J140" s="7">
        <v>136</v>
      </c>
      <c r="K140" s="19" t="s">
        <v>638</v>
      </c>
      <c r="M140">
        <v>47</v>
      </c>
      <c r="N140" t="s">
        <v>690</v>
      </c>
      <c r="O140" t="s">
        <v>111</v>
      </c>
      <c r="P140" t="s">
        <v>477</v>
      </c>
      <c r="Q140">
        <f>COUNTIFS($H$4:$H$1201,Tabla213[[#Headers],[Neopestalotiopsis]], $G$4:$G$1201,Tabla213[[#This Row],[Organo]], $B$4:$B$1201,M140)</f>
        <v>1</v>
      </c>
      <c r="R140">
        <f>COUNTIFS($H$4:$H$1201,Tabla213[[#Headers],[Fusarium]], $G$4:$G$1201,Tabla213[[#This Row],[Organo]], $B$4:$B$1201,M140)</f>
        <v>1</v>
      </c>
      <c r="S140">
        <f>COUNTIFS($H$4:$H$1201,Tabla213[[#Headers],[Cylindrocarpon]], $G$4:$G$1201,Tabla213[[#This Row],[Organo]], $B$4:$B$1201,M140)</f>
        <v>0</v>
      </c>
      <c r="T140">
        <f>COUNTIFS($H$4:$H$1201,Tabla213[[#Headers],[Macrophomina]], $G$4:$G$1201,Tabla213[[#This Row],[Organo]], $B$4:$B$1201,M140)</f>
        <v>0</v>
      </c>
      <c r="U140">
        <f>COUNTIFS($H$4:$H$1201,Tabla213[[#Headers],[Rhizoctonia]], $G$4:$G$1201,Tabla213[[#This Row],[Organo]], $B$4:$B$1201,M140)</f>
        <v>0</v>
      </c>
      <c r="V140">
        <v>0</v>
      </c>
      <c r="W140">
        <f>COUNTIFS($H$4:$H$1201,Tabla213[[#Headers],[Alternaria]], $G$4:$G$1201,Tabla213[[#This Row],[Organo]], $B$4:$B$1201,M140)</f>
        <v>0</v>
      </c>
      <c r="X140">
        <f>COUNTIFS($H$4:$H$1201,Tabla213[[#Headers],[Botrytis]], $G$4:$G$1201,Tabla213[[#This Row],[Organo]], $B$4:$B$1201,M140)</f>
        <v>0</v>
      </c>
      <c r="Y140">
        <f>COUNTIFS($H$4:$H$1201,Tabla213[[#Headers],[Colletotrichum]], $G$4:$G$1201,Tabla213[[#This Row],[Organo]], $B$4:$B$1201,M140)</f>
        <v>0</v>
      </c>
      <c r="Z140">
        <f>COUNTIFS($H$4:$H$1201,Tabla213[[#Headers],[Aspergillus]], $G$4:$G$1201,Tabla213[[#This Row],[Organo]], $B$4:$B$1201,M140)</f>
        <v>0</v>
      </c>
      <c r="AA140">
        <f>COUNTIFS($H$4:$H$1201,Tabla213[[#Headers],[NO ID]], $G$4:$G$1201,Tabla213[[#This Row],[Organo]], $B$4:$B$1201,M140)</f>
        <v>1</v>
      </c>
      <c r="AB140">
        <f>COUNTIFS($H$4:$H$1201,Tabla213[[#Headers],[Trichoderma]], $G$4:$G$1201,Tabla213[[#This Row],[Organo]], $B$4:$B$1201,M140)</f>
        <v>1</v>
      </c>
      <c r="AC140">
        <f>COUNTIFS($H$4:$H$1201,Tabla213[[#Headers],[Rizophus]], $G$4:$G$1201,Tabla213[[#This Row],[Organo]], $B$4:$B$1201,M140)</f>
        <v>0</v>
      </c>
      <c r="AD140">
        <f>COUNTIFS($H$4:$H$1201,Tabla213[[#Headers],[FALTANTES]], $G$4:$G$1201,Tabla213[[#This Row],[Organo]], $B$4:$B$1201,M140)</f>
        <v>0</v>
      </c>
      <c r="AF140">
        <f t="shared" ref="AF140" si="138">SUM(Q139:AD140)</f>
        <v>7</v>
      </c>
      <c r="AG140">
        <f>COUNTIF($B$5:$B$1201, Tabla213[[#This Row],[Num. Parcela]])</f>
        <v>7</v>
      </c>
      <c r="AH140" t="b">
        <f t="shared" ref="AH140" si="139">IF(AF140=AG140, TRUE)</f>
        <v>1</v>
      </c>
      <c r="AK140">
        <v>47</v>
      </c>
      <c r="AL140" t="s">
        <v>96</v>
      </c>
      <c r="AM140" t="s">
        <v>111</v>
      </c>
      <c r="AN140" t="s">
        <v>476</v>
      </c>
    </row>
    <row r="141" spans="1:40" x14ac:dyDescent="0.2">
      <c r="A141" s="7">
        <v>137</v>
      </c>
      <c r="B141" s="7">
        <v>4.3</v>
      </c>
      <c r="C141" s="1" t="str">
        <f t="shared" si="130"/>
        <v>CANINDO 1</v>
      </c>
      <c r="D141" s="7" t="s">
        <v>127</v>
      </c>
      <c r="E141" s="1" t="str">
        <f t="shared" si="131"/>
        <v>NIÑA</v>
      </c>
      <c r="F141" s="7">
        <v>2</v>
      </c>
      <c r="G141" s="7" t="s">
        <v>477</v>
      </c>
      <c r="H141" s="7" t="s">
        <v>149</v>
      </c>
      <c r="I141" s="7" t="s">
        <v>149</v>
      </c>
      <c r="J141" s="7">
        <v>137</v>
      </c>
      <c r="K141" s="19" t="s">
        <v>638</v>
      </c>
      <c r="M141">
        <v>48.1</v>
      </c>
      <c r="N141" t="s">
        <v>691</v>
      </c>
      <c r="O141" t="s">
        <v>114</v>
      </c>
      <c r="P141" t="s">
        <v>476</v>
      </c>
      <c r="Q141">
        <f>COUNTIFS($H$4:$H$1201,Tabla213[[#Headers],[Neopestalotiopsis]], $G$4:$G$1201,Tabla213[[#This Row],[Organo]], $B$4:$B$1201,M141)</f>
        <v>1</v>
      </c>
      <c r="R141">
        <f>COUNTIFS($H$4:$H$1201,Tabla213[[#Headers],[Fusarium]], $G$4:$G$1201,Tabla213[[#This Row],[Organo]], $B$4:$B$1201,M141)</f>
        <v>1</v>
      </c>
      <c r="S141">
        <f>COUNTIFS($H$4:$H$1201,Tabla213[[#Headers],[Cylindrocarpon]], $G$4:$G$1201,Tabla213[[#This Row],[Organo]], $B$4:$B$1201,M141)</f>
        <v>0</v>
      </c>
      <c r="T141">
        <f>COUNTIFS($H$4:$H$1201,Tabla213[[#Headers],[Macrophomina]], $G$4:$G$1201,Tabla213[[#This Row],[Organo]], $B$4:$B$1201,M141)</f>
        <v>0</v>
      </c>
      <c r="U141">
        <f>COUNTIFS($H$4:$H$1201,Tabla213[[#Headers],[Rhizoctonia]], $G$4:$G$1201,Tabla213[[#This Row],[Organo]], $B$4:$B$1201,M141)</f>
        <v>0</v>
      </c>
      <c r="V141">
        <v>0</v>
      </c>
      <c r="W141">
        <f>COUNTIFS($H$4:$H$1201,Tabla213[[#Headers],[Alternaria]], $G$4:$G$1201,Tabla213[[#This Row],[Organo]], $B$4:$B$1201,M141)</f>
        <v>0</v>
      </c>
      <c r="X141">
        <f>COUNTIFS($H$4:$H$1201,Tabla213[[#Headers],[Botrytis]], $G$4:$G$1201,Tabla213[[#This Row],[Organo]], $B$4:$B$1201,M141)</f>
        <v>0</v>
      </c>
      <c r="Y141">
        <f>COUNTIFS($H$4:$H$1201,Tabla213[[#Headers],[Colletotrichum]], $G$4:$G$1201,Tabla213[[#This Row],[Organo]], $B$4:$B$1201,M141)</f>
        <v>0</v>
      </c>
      <c r="Z141">
        <f>COUNTIFS($H$4:$H$1201,Tabla213[[#Headers],[Aspergillus]], $G$4:$G$1201,Tabla213[[#This Row],[Organo]], $B$4:$B$1201,M141)</f>
        <v>0</v>
      </c>
      <c r="AA141">
        <f>COUNTIFS($H$4:$H$1201,Tabla213[[#Headers],[NO ID]], $G$4:$G$1201,Tabla213[[#This Row],[Organo]], $B$4:$B$1201,M141)</f>
        <v>0</v>
      </c>
      <c r="AB141">
        <f>COUNTIFS($H$4:$H$1201,Tabla213[[#Headers],[Trichoderma]], $G$4:$G$1201,Tabla213[[#This Row],[Organo]], $B$4:$B$1201,M141)</f>
        <v>1</v>
      </c>
      <c r="AC141">
        <f>COUNTIFS($H$4:$H$1201,Tabla213[[#Headers],[Rizophus]], $G$4:$G$1201,Tabla213[[#This Row],[Organo]], $B$4:$B$1201,M141)</f>
        <v>0</v>
      </c>
      <c r="AD141">
        <f>COUNTIFS($H$4:$H$1201,Tabla213[[#Headers],[FALTANTES]], $G$4:$G$1201,Tabla213[[#This Row],[Organo]], $B$4:$B$1201,M141)</f>
        <v>0</v>
      </c>
      <c r="AK141">
        <v>48.1</v>
      </c>
      <c r="AL141" t="s">
        <v>38</v>
      </c>
      <c r="AM141" t="s">
        <v>114</v>
      </c>
      <c r="AN141" t="s">
        <v>477</v>
      </c>
    </row>
    <row r="142" spans="1:40" x14ac:dyDescent="0.2">
      <c r="A142" s="7">
        <v>138</v>
      </c>
      <c r="B142" s="7">
        <v>4.3</v>
      </c>
      <c r="C142" s="1" t="str">
        <f t="shared" si="130"/>
        <v>CANINDO 1</v>
      </c>
      <c r="D142" s="7" t="s">
        <v>127</v>
      </c>
      <c r="E142" s="1" t="str">
        <f t="shared" si="131"/>
        <v>NIÑA</v>
      </c>
      <c r="F142" s="7">
        <v>2</v>
      </c>
      <c r="G142" s="7" t="s">
        <v>477</v>
      </c>
      <c r="H142" s="7" t="s">
        <v>149</v>
      </c>
      <c r="I142" s="7" t="s">
        <v>149</v>
      </c>
      <c r="J142" s="7">
        <v>138</v>
      </c>
      <c r="K142" s="19" t="s">
        <v>638</v>
      </c>
      <c r="M142">
        <v>48.1</v>
      </c>
      <c r="N142" t="s">
        <v>691</v>
      </c>
      <c r="O142" t="s">
        <v>114</v>
      </c>
      <c r="P142" t="s">
        <v>477</v>
      </c>
      <c r="Q142">
        <f>COUNTIFS($H$4:$H$1201,Tabla213[[#Headers],[Neopestalotiopsis]], $G$4:$G$1201,Tabla213[[#This Row],[Organo]], $B$4:$B$1201,M142)</f>
        <v>1</v>
      </c>
      <c r="R142">
        <f>COUNTIFS($H$4:$H$1201,Tabla213[[#Headers],[Fusarium]], $G$4:$G$1201,Tabla213[[#This Row],[Organo]], $B$4:$B$1201,M142)</f>
        <v>1</v>
      </c>
      <c r="S142">
        <f>COUNTIFS($H$4:$H$1201,Tabla213[[#Headers],[Cylindrocarpon]], $G$4:$G$1201,Tabla213[[#This Row],[Organo]], $B$4:$B$1201,M142)</f>
        <v>0</v>
      </c>
      <c r="T142">
        <f>COUNTIFS($H$4:$H$1201,Tabla213[[#Headers],[Macrophomina]], $G$4:$G$1201,Tabla213[[#This Row],[Organo]], $B$4:$B$1201,M142)</f>
        <v>0</v>
      </c>
      <c r="U142">
        <f>COUNTIFS($H$4:$H$1201,Tabla213[[#Headers],[Rhizoctonia]], $G$4:$G$1201,Tabla213[[#This Row],[Organo]], $B$4:$B$1201,M142)</f>
        <v>0</v>
      </c>
      <c r="V142">
        <v>0</v>
      </c>
      <c r="W142">
        <f>COUNTIFS($H$4:$H$1201,Tabla213[[#Headers],[Alternaria]], $G$4:$G$1201,Tabla213[[#This Row],[Organo]], $B$4:$B$1201,M142)</f>
        <v>0</v>
      </c>
      <c r="X142">
        <f>COUNTIFS($H$4:$H$1201,Tabla213[[#Headers],[Botrytis]], $G$4:$G$1201,Tabla213[[#This Row],[Organo]], $B$4:$B$1201,M142)</f>
        <v>0</v>
      </c>
      <c r="Y142">
        <f>COUNTIFS($H$4:$H$1201,Tabla213[[#Headers],[Colletotrichum]], $G$4:$G$1201,Tabla213[[#This Row],[Organo]], $B$4:$B$1201,M142)</f>
        <v>0</v>
      </c>
      <c r="Z142">
        <f>COUNTIFS($H$4:$H$1201,Tabla213[[#Headers],[Aspergillus]], $G$4:$G$1201,Tabla213[[#This Row],[Organo]], $B$4:$B$1201,M142)</f>
        <v>0</v>
      </c>
      <c r="AA142">
        <f>COUNTIFS($H$4:$H$1201,Tabla213[[#Headers],[NO ID]], $G$4:$G$1201,Tabla213[[#This Row],[Organo]], $B$4:$B$1201,M142)</f>
        <v>0</v>
      </c>
      <c r="AB142">
        <f>COUNTIFS($H$4:$H$1201,Tabla213[[#Headers],[Trichoderma]], $G$4:$G$1201,Tabla213[[#This Row],[Organo]], $B$4:$B$1201,M142)</f>
        <v>0</v>
      </c>
      <c r="AC142">
        <f>COUNTIFS($H$4:$H$1201,Tabla213[[#Headers],[Rizophus]], $G$4:$G$1201,Tabla213[[#This Row],[Organo]], $B$4:$B$1201,M142)</f>
        <v>0</v>
      </c>
      <c r="AD142">
        <f>COUNTIFS($H$4:$H$1201,Tabla213[[#Headers],[FALTANTES]], $G$4:$G$1201,Tabla213[[#This Row],[Organo]], $B$4:$B$1201,M142)</f>
        <v>0</v>
      </c>
      <c r="AF142">
        <f t="shared" ref="AF142" si="140">SUM(Q141:AD142)</f>
        <v>5</v>
      </c>
      <c r="AG142">
        <f>COUNTIF($B$5:$B$1201, Tabla213[[#This Row],[Num. Parcela]])</f>
        <v>5</v>
      </c>
      <c r="AH142" t="b">
        <f t="shared" ref="AH142" si="141">IF(AF142=AG142, TRUE)</f>
        <v>1</v>
      </c>
      <c r="AK142">
        <v>48.1</v>
      </c>
      <c r="AL142" t="s">
        <v>38</v>
      </c>
      <c r="AM142" t="s">
        <v>114</v>
      </c>
      <c r="AN142" t="s">
        <v>476</v>
      </c>
    </row>
    <row r="143" spans="1:40" x14ac:dyDescent="0.2">
      <c r="A143" s="7">
        <v>139</v>
      </c>
      <c r="B143" s="7">
        <v>5.0999999999999996</v>
      </c>
      <c r="C143" s="1" t="str">
        <f t="shared" si="130"/>
        <v>CIRILLO 2</v>
      </c>
      <c r="D143" s="7" t="s">
        <v>127</v>
      </c>
      <c r="E143" s="1" t="str">
        <f t="shared" si="131"/>
        <v>SAYULA</v>
      </c>
      <c r="F143" s="7">
        <v>1</v>
      </c>
      <c r="G143" s="7" t="s">
        <v>476</v>
      </c>
      <c r="H143" s="7" t="s">
        <v>155</v>
      </c>
      <c r="I143" s="7" t="s">
        <v>155</v>
      </c>
      <c r="J143" s="7">
        <v>139</v>
      </c>
      <c r="K143" s="19" t="s">
        <v>638</v>
      </c>
      <c r="L143">
        <v>1</v>
      </c>
      <c r="M143">
        <v>48.2</v>
      </c>
      <c r="N143" t="s">
        <v>692</v>
      </c>
      <c r="O143" t="s">
        <v>114</v>
      </c>
      <c r="P143" t="s">
        <v>476</v>
      </c>
      <c r="Q143">
        <f>COUNTIFS($H$4:$H$1201,Tabla213[[#Headers],[Neopestalotiopsis]], $G$4:$G$1201,Tabla213[[#This Row],[Organo]], $B$4:$B$1201,M143)</f>
        <v>0</v>
      </c>
      <c r="R143">
        <f>COUNTIFS($H$4:$H$1201,Tabla213[[#Headers],[Fusarium]], $G$4:$G$1201,Tabla213[[#This Row],[Organo]], $B$4:$B$1201,M143)</f>
        <v>0</v>
      </c>
      <c r="S143">
        <f>COUNTIFS($H$4:$H$1201,Tabla213[[#Headers],[Cylindrocarpon]], $G$4:$G$1201,Tabla213[[#This Row],[Organo]], $B$4:$B$1201,M143)</f>
        <v>0</v>
      </c>
      <c r="T143">
        <f>COUNTIFS($H$4:$H$1201,Tabla213[[#Headers],[Macrophomina]], $G$4:$G$1201,Tabla213[[#This Row],[Organo]], $B$4:$B$1201,M143)</f>
        <v>0</v>
      </c>
      <c r="U143">
        <f>COUNTIFS($H$4:$H$1201,Tabla213[[#Headers],[Rhizoctonia]], $G$4:$G$1201,Tabla213[[#This Row],[Organo]], $B$4:$B$1201,M143)</f>
        <v>0</v>
      </c>
      <c r="V143">
        <v>0</v>
      </c>
      <c r="W143">
        <f>COUNTIFS($H$4:$H$1201,Tabla213[[#Headers],[Alternaria]], $G$4:$G$1201,Tabla213[[#This Row],[Organo]], $B$4:$B$1201,M143)</f>
        <v>0</v>
      </c>
      <c r="X143">
        <f>COUNTIFS($H$4:$H$1201,Tabla213[[#Headers],[Botrytis]], $G$4:$G$1201,Tabla213[[#This Row],[Organo]], $B$4:$B$1201,M143)</f>
        <v>0</v>
      </c>
      <c r="Y143">
        <f>COUNTIFS($H$4:$H$1201,Tabla213[[#Headers],[Colletotrichum]], $G$4:$G$1201,Tabla213[[#This Row],[Organo]], $B$4:$B$1201,M143)</f>
        <v>0</v>
      </c>
      <c r="Z143">
        <f>COUNTIFS($H$4:$H$1201,Tabla213[[#Headers],[Aspergillus]], $G$4:$G$1201,Tabla213[[#This Row],[Organo]], $B$4:$B$1201,M143)</f>
        <v>0</v>
      </c>
      <c r="AA143">
        <f>COUNTIFS($H$4:$H$1201,Tabla213[[#Headers],[NO ID]], $G$4:$G$1201,Tabla213[[#This Row],[Organo]], $B$4:$B$1201,M143)</f>
        <v>0</v>
      </c>
      <c r="AB143">
        <f>COUNTIFS($H$4:$H$1201,Tabla213[[#Headers],[Trichoderma]], $G$4:$G$1201,Tabla213[[#This Row],[Organo]], $B$4:$B$1201,M143)</f>
        <v>0</v>
      </c>
      <c r="AC143">
        <f>COUNTIFS($H$4:$H$1201,Tabla213[[#Headers],[Rizophus]], $G$4:$G$1201,Tabla213[[#This Row],[Organo]], $B$4:$B$1201,M143)</f>
        <v>0</v>
      </c>
      <c r="AD143">
        <f>COUNTIFS($H$4:$H$1201,Tabla213[[#Headers],[FALTANTES]], $G$4:$G$1201,Tabla213[[#This Row],[Organo]], $B$4:$B$1201,M143)</f>
        <v>0</v>
      </c>
      <c r="AK143">
        <v>48.2</v>
      </c>
      <c r="AL143" t="s">
        <v>38</v>
      </c>
      <c r="AM143" t="s">
        <v>114</v>
      </c>
      <c r="AN143" t="s">
        <v>477</v>
      </c>
    </row>
    <row r="144" spans="1:40" x14ac:dyDescent="0.2">
      <c r="A144" s="7">
        <v>140</v>
      </c>
      <c r="B144" s="7">
        <v>5.0999999999999996</v>
      </c>
      <c r="C144" s="1" t="str">
        <f t="shared" si="130"/>
        <v>CIRILLO 2</v>
      </c>
      <c r="D144" s="7" t="s">
        <v>127</v>
      </c>
      <c r="E144" s="1" t="str">
        <f t="shared" si="131"/>
        <v>SAYULA</v>
      </c>
      <c r="F144" s="7">
        <v>1</v>
      </c>
      <c r="G144" s="7" t="s">
        <v>476</v>
      </c>
      <c r="H144" s="7" t="s">
        <v>149</v>
      </c>
      <c r="I144" s="7" t="s">
        <v>480</v>
      </c>
      <c r="J144" s="8">
        <v>140</v>
      </c>
      <c r="K144" s="7"/>
      <c r="M144">
        <v>48.2</v>
      </c>
      <c r="N144" t="s">
        <v>692</v>
      </c>
      <c r="O144" t="s">
        <v>114</v>
      </c>
      <c r="P144" t="s">
        <v>477</v>
      </c>
      <c r="Q144">
        <f>COUNTIFS($H$4:$H$1201,Tabla213[[#Headers],[Neopestalotiopsis]], $G$4:$G$1201,Tabla213[[#This Row],[Organo]], $B$4:$B$1201,M144)</f>
        <v>0</v>
      </c>
      <c r="R144">
        <f>COUNTIFS($H$4:$H$1201,Tabla213[[#Headers],[Fusarium]], $G$4:$G$1201,Tabla213[[#This Row],[Organo]], $B$4:$B$1201,M144)</f>
        <v>0</v>
      </c>
      <c r="S144">
        <f>COUNTIFS($H$4:$H$1201,Tabla213[[#Headers],[Cylindrocarpon]], $G$4:$G$1201,Tabla213[[#This Row],[Organo]], $B$4:$B$1201,M144)</f>
        <v>0</v>
      </c>
      <c r="T144">
        <f>COUNTIFS($H$4:$H$1201,Tabla213[[#Headers],[Macrophomina]], $G$4:$G$1201,Tabla213[[#This Row],[Organo]], $B$4:$B$1201,M144)</f>
        <v>0</v>
      </c>
      <c r="U144">
        <f>COUNTIFS($H$4:$H$1201,Tabla213[[#Headers],[Rhizoctonia]], $G$4:$G$1201,Tabla213[[#This Row],[Organo]], $B$4:$B$1201,M144)</f>
        <v>0</v>
      </c>
      <c r="V144">
        <v>0</v>
      </c>
      <c r="W144">
        <f>COUNTIFS($H$4:$H$1201,Tabla213[[#Headers],[Alternaria]], $G$4:$G$1201,Tabla213[[#This Row],[Organo]], $B$4:$B$1201,M144)</f>
        <v>0</v>
      </c>
      <c r="X144">
        <f>COUNTIFS($H$4:$H$1201,Tabla213[[#Headers],[Botrytis]], $G$4:$G$1201,Tabla213[[#This Row],[Organo]], $B$4:$B$1201,M144)</f>
        <v>0</v>
      </c>
      <c r="Y144">
        <f>COUNTIFS($H$4:$H$1201,Tabla213[[#Headers],[Colletotrichum]], $G$4:$G$1201,Tabla213[[#This Row],[Organo]], $B$4:$B$1201,M144)</f>
        <v>0</v>
      </c>
      <c r="Z144">
        <f>COUNTIFS($H$4:$H$1201,Tabla213[[#Headers],[Aspergillus]], $G$4:$G$1201,Tabla213[[#This Row],[Organo]], $B$4:$B$1201,M144)</f>
        <v>0</v>
      </c>
      <c r="AA144">
        <f>COUNTIFS($H$4:$H$1201,Tabla213[[#Headers],[NO ID]], $G$4:$G$1201,Tabla213[[#This Row],[Organo]], $B$4:$B$1201,M144)</f>
        <v>0</v>
      </c>
      <c r="AB144">
        <f>COUNTIFS($H$4:$H$1201,Tabla213[[#Headers],[Trichoderma]], $G$4:$G$1201,Tabla213[[#This Row],[Organo]], $B$4:$B$1201,M144)</f>
        <v>0</v>
      </c>
      <c r="AC144">
        <f>COUNTIFS($H$4:$H$1201,Tabla213[[#Headers],[Rizophus]], $G$4:$G$1201,Tabla213[[#This Row],[Organo]], $B$4:$B$1201,M144)</f>
        <v>0</v>
      </c>
      <c r="AD144">
        <f>COUNTIFS($H$4:$H$1201,Tabla213[[#Headers],[FALTANTES]], $G$4:$G$1201,Tabla213[[#This Row],[Organo]], $B$4:$B$1201,M144)</f>
        <v>0</v>
      </c>
      <c r="AF144">
        <f t="shared" ref="AF144" si="142">SUM(Q143:AD144)</f>
        <v>0</v>
      </c>
      <c r="AG144">
        <f>COUNTIF($B$5:$B$1201, Tabla213[[#This Row],[Num. Parcela]])</f>
        <v>0</v>
      </c>
      <c r="AH144" t="b">
        <f t="shared" ref="AH144" si="143">IF(AF144=AG144, TRUE)</f>
        <v>1</v>
      </c>
      <c r="AK144">
        <v>48.2</v>
      </c>
      <c r="AL144" t="s">
        <v>38</v>
      </c>
      <c r="AM144" t="s">
        <v>114</v>
      </c>
      <c r="AN144" t="s">
        <v>476</v>
      </c>
    </row>
    <row r="145" spans="1:40" x14ac:dyDescent="0.2">
      <c r="A145" s="7">
        <v>141</v>
      </c>
      <c r="B145" s="7">
        <v>5.0999999999999996</v>
      </c>
      <c r="C145" s="1" t="str">
        <f t="shared" si="130"/>
        <v>CIRILLO 2</v>
      </c>
      <c r="D145" s="7" t="s">
        <v>127</v>
      </c>
      <c r="E145" s="1" t="str">
        <f t="shared" si="131"/>
        <v>SAYULA</v>
      </c>
      <c r="F145" s="7">
        <v>1</v>
      </c>
      <c r="G145" s="7" t="s">
        <v>476</v>
      </c>
      <c r="H145" s="7" t="s">
        <v>155</v>
      </c>
      <c r="I145" s="7" t="s">
        <v>155</v>
      </c>
      <c r="J145" s="7">
        <v>141</v>
      </c>
      <c r="K145" s="19" t="s">
        <v>638</v>
      </c>
      <c r="M145">
        <v>49</v>
      </c>
      <c r="N145" t="s">
        <v>693</v>
      </c>
      <c r="O145" t="s">
        <v>114</v>
      </c>
      <c r="P145" t="s">
        <v>476</v>
      </c>
      <c r="Q145">
        <f>COUNTIFS($H$4:$H$1201,Tabla213[[#Headers],[Neopestalotiopsis]], $G$4:$G$1201,Tabla213[[#This Row],[Organo]], $B$4:$B$1201,M145)</f>
        <v>0</v>
      </c>
      <c r="R145">
        <f>COUNTIFS($H$4:$H$1201,Tabla213[[#Headers],[Fusarium]], $G$4:$G$1201,Tabla213[[#This Row],[Organo]], $B$4:$B$1201,M145)</f>
        <v>1</v>
      </c>
      <c r="S145">
        <f>COUNTIFS($H$4:$H$1201,Tabla213[[#Headers],[Cylindrocarpon]], $G$4:$G$1201,Tabla213[[#This Row],[Organo]], $B$4:$B$1201,M145)</f>
        <v>0</v>
      </c>
      <c r="T145">
        <f>COUNTIFS($H$4:$H$1201,Tabla213[[#Headers],[Macrophomina]], $G$4:$G$1201,Tabla213[[#This Row],[Organo]], $B$4:$B$1201,M145)</f>
        <v>0</v>
      </c>
      <c r="U145">
        <f>COUNTIFS($H$4:$H$1201,Tabla213[[#Headers],[Rhizoctonia]], $G$4:$G$1201,Tabla213[[#This Row],[Organo]], $B$4:$B$1201,M145)</f>
        <v>0</v>
      </c>
      <c r="V145">
        <v>0</v>
      </c>
      <c r="W145">
        <f>COUNTIFS($H$4:$H$1201,Tabla213[[#Headers],[Alternaria]], $G$4:$G$1201,Tabla213[[#This Row],[Organo]], $B$4:$B$1201,M145)</f>
        <v>0</v>
      </c>
      <c r="X145">
        <f>COUNTIFS($H$4:$H$1201,Tabla213[[#Headers],[Botrytis]], $G$4:$G$1201,Tabla213[[#This Row],[Organo]], $B$4:$B$1201,M145)</f>
        <v>0</v>
      </c>
      <c r="Y145">
        <f>COUNTIFS($H$4:$H$1201,Tabla213[[#Headers],[Colletotrichum]], $G$4:$G$1201,Tabla213[[#This Row],[Organo]], $B$4:$B$1201,M145)</f>
        <v>0</v>
      </c>
      <c r="Z145">
        <f>COUNTIFS($H$4:$H$1201,Tabla213[[#Headers],[Aspergillus]], $G$4:$G$1201,Tabla213[[#This Row],[Organo]], $B$4:$B$1201,M145)</f>
        <v>0</v>
      </c>
      <c r="AA145">
        <f>COUNTIFS($H$4:$H$1201,Tabla213[[#Headers],[NO ID]], $G$4:$G$1201,Tabla213[[#This Row],[Organo]], $B$4:$B$1201,M145)</f>
        <v>0</v>
      </c>
      <c r="AB145">
        <f>COUNTIFS($H$4:$H$1201,Tabla213[[#Headers],[Trichoderma]], $G$4:$G$1201,Tabla213[[#This Row],[Organo]], $B$4:$B$1201,M145)</f>
        <v>0</v>
      </c>
      <c r="AC145">
        <f>COUNTIFS($H$4:$H$1201,Tabla213[[#Headers],[Rizophus]], $G$4:$G$1201,Tabla213[[#This Row],[Organo]], $B$4:$B$1201,M145)</f>
        <v>0</v>
      </c>
      <c r="AD145">
        <f>COUNTIFS($H$4:$H$1201,Tabla213[[#Headers],[FALTANTES]], $G$4:$G$1201,Tabla213[[#This Row],[Organo]], $B$4:$B$1201,M145)</f>
        <v>0</v>
      </c>
      <c r="AK145">
        <v>49</v>
      </c>
      <c r="AL145" t="s">
        <v>39</v>
      </c>
      <c r="AM145" t="s">
        <v>114</v>
      </c>
      <c r="AN145" t="s">
        <v>477</v>
      </c>
    </row>
    <row r="146" spans="1:40" x14ac:dyDescent="0.2">
      <c r="A146" s="7">
        <v>142</v>
      </c>
      <c r="B146" s="7">
        <v>5.0999999999999996</v>
      </c>
      <c r="C146" s="1" t="str">
        <f t="shared" si="130"/>
        <v>CIRILLO 2</v>
      </c>
      <c r="D146" s="7" t="s">
        <v>127</v>
      </c>
      <c r="E146" s="1" t="str">
        <f t="shared" si="131"/>
        <v>SAYULA</v>
      </c>
      <c r="F146" s="7">
        <v>2</v>
      </c>
      <c r="G146" s="7" t="s">
        <v>476</v>
      </c>
      <c r="H146" s="7" t="s">
        <v>155</v>
      </c>
      <c r="I146" s="7" t="s">
        <v>155</v>
      </c>
      <c r="J146" s="7">
        <v>142</v>
      </c>
      <c r="K146" s="7"/>
      <c r="M146">
        <v>49</v>
      </c>
      <c r="N146" t="s">
        <v>693</v>
      </c>
      <c r="O146" t="s">
        <v>114</v>
      </c>
      <c r="P146" t="s">
        <v>477</v>
      </c>
      <c r="Q146">
        <f>COUNTIFS($H$4:$H$1201,Tabla213[[#Headers],[Neopestalotiopsis]], $G$4:$G$1201,Tabla213[[#This Row],[Organo]], $B$4:$B$1201,M146)</f>
        <v>1</v>
      </c>
      <c r="R146">
        <f>COUNTIFS($H$4:$H$1201,Tabla213[[#Headers],[Fusarium]], $G$4:$G$1201,Tabla213[[#This Row],[Organo]], $B$4:$B$1201,M146)</f>
        <v>0</v>
      </c>
      <c r="S146">
        <f>COUNTIFS($H$4:$H$1201,Tabla213[[#Headers],[Cylindrocarpon]], $G$4:$G$1201,Tabla213[[#This Row],[Organo]], $B$4:$B$1201,M146)</f>
        <v>1</v>
      </c>
      <c r="T146">
        <f>COUNTIFS($H$4:$H$1201,Tabla213[[#Headers],[Macrophomina]], $G$4:$G$1201,Tabla213[[#This Row],[Organo]], $B$4:$B$1201,M146)</f>
        <v>0</v>
      </c>
      <c r="U146">
        <f>COUNTIFS($H$4:$H$1201,Tabla213[[#Headers],[Rhizoctonia]], $G$4:$G$1201,Tabla213[[#This Row],[Organo]], $B$4:$B$1201,M146)</f>
        <v>0</v>
      </c>
      <c r="V146">
        <v>0</v>
      </c>
      <c r="W146">
        <f>COUNTIFS($H$4:$H$1201,Tabla213[[#Headers],[Alternaria]], $G$4:$G$1201,Tabla213[[#This Row],[Organo]], $B$4:$B$1201,M146)</f>
        <v>0</v>
      </c>
      <c r="X146">
        <f>COUNTIFS($H$4:$H$1201,Tabla213[[#Headers],[Botrytis]], $G$4:$G$1201,Tabla213[[#This Row],[Organo]], $B$4:$B$1201,M146)</f>
        <v>0</v>
      </c>
      <c r="Y146">
        <f>COUNTIFS($H$4:$H$1201,Tabla213[[#Headers],[Colletotrichum]], $G$4:$G$1201,Tabla213[[#This Row],[Organo]], $B$4:$B$1201,M146)</f>
        <v>0</v>
      </c>
      <c r="Z146">
        <f>COUNTIFS($H$4:$H$1201,Tabla213[[#Headers],[Aspergillus]], $G$4:$G$1201,Tabla213[[#This Row],[Organo]], $B$4:$B$1201,M146)</f>
        <v>0</v>
      </c>
      <c r="AA146">
        <f>COUNTIFS($H$4:$H$1201,Tabla213[[#Headers],[NO ID]], $G$4:$G$1201,Tabla213[[#This Row],[Organo]], $B$4:$B$1201,M146)</f>
        <v>0</v>
      </c>
      <c r="AB146">
        <f>COUNTIFS($H$4:$H$1201,Tabla213[[#Headers],[Trichoderma]], $G$4:$G$1201,Tabla213[[#This Row],[Organo]], $B$4:$B$1201,M146)</f>
        <v>0</v>
      </c>
      <c r="AC146">
        <f>COUNTIFS($H$4:$H$1201,Tabla213[[#Headers],[Rizophus]], $G$4:$G$1201,Tabla213[[#This Row],[Organo]], $B$4:$B$1201,M146)</f>
        <v>0</v>
      </c>
      <c r="AD146">
        <f>COUNTIFS($H$4:$H$1201,Tabla213[[#Headers],[FALTANTES]], $G$4:$G$1201,Tabla213[[#This Row],[Organo]], $B$4:$B$1201,M146)</f>
        <v>0</v>
      </c>
      <c r="AF146">
        <f t="shared" ref="AF146" si="144">SUM(Q145:AD146)</f>
        <v>3</v>
      </c>
      <c r="AG146">
        <f>COUNTIF($B$5:$B$1201, Tabla213[[#This Row],[Num. Parcela]])</f>
        <v>3</v>
      </c>
      <c r="AH146" t="b">
        <f t="shared" ref="AH146" si="145">IF(AF146=AG146, TRUE)</f>
        <v>1</v>
      </c>
      <c r="AK146">
        <v>49</v>
      </c>
      <c r="AL146" t="s">
        <v>39</v>
      </c>
      <c r="AM146" t="s">
        <v>114</v>
      </c>
      <c r="AN146" t="s">
        <v>476</v>
      </c>
    </row>
    <row r="147" spans="1:40" x14ac:dyDescent="0.2">
      <c r="A147" s="7">
        <v>143</v>
      </c>
      <c r="B147" s="7">
        <v>5.0999999999999996</v>
      </c>
      <c r="C147" s="1" t="str">
        <f t="shared" si="130"/>
        <v>CIRILLO 2</v>
      </c>
      <c r="D147" s="7" t="s">
        <v>127</v>
      </c>
      <c r="E147" s="1" t="str">
        <f t="shared" si="131"/>
        <v>SAYULA</v>
      </c>
      <c r="F147" s="7">
        <v>2</v>
      </c>
      <c r="G147" s="7" t="s">
        <v>476</v>
      </c>
      <c r="H147" s="7" t="s">
        <v>155</v>
      </c>
      <c r="I147" s="7" t="s">
        <v>155</v>
      </c>
      <c r="J147" s="7">
        <v>143</v>
      </c>
      <c r="K147" s="7"/>
      <c r="M147">
        <v>50</v>
      </c>
      <c r="N147" t="s">
        <v>694</v>
      </c>
      <c r="O147" t="s">
        <v>114</v>
      </c>
      <c r="P147" t="s">
        <v>476</v>
      </c>
      <c r="Q147">
        <f>COUNTIFS($H$4:$H$1201,Tabla213[[#Headers],[Neopestalotiopsis]], $G$4:$G$1201,Tabla213[[#This Row],[Organo]], $B$4:$B$1201,M147)</f>
        <v>1</v>
      </c>
      <c r="R147">
        <f>COUNTIFS($H$4:$H$1201,Tabla213[[#Headers],[Fusarium]], $G$4:$G$1201,Tabla213[[#This Row],[Organo]], $B$4:$B$1201,M147)</f>
        <v>0</v>
      </c>
      <c r="S147">
        <f>COUNTIFS($H$4:$H$1201,Tabla213[[#Headers],[Cylindrocarpon]], $G$4:$G$1201,Tabla213[[#This Row],[Organo]], $B$4:$B$1201,M147)</f>
        <v>0</v>
      </c>
      <c r="T147">
        <f>COUNTIFS($H$4:$H$1201,Tabla213[[#Headers],[Macrophomina]], $G$4:$G$1201,Tabla213[[#This Row],[Organo]], $B$4:$B$1201,M147)</f>
        <v>0</v>
      </c>
      <c r="U147">
        <f>COUNTIFS($H$4:$H$1201,Tabla213[[#Headers],[Rhizoctonia]], $G$4:$G$1201,Tabla213[[#This Row],[Organo]], $B$4:$B$1201,M147)</f>
        <v>3</v>
      </c>
      <c r="V147">
        <v>0</v>
      </c>
      <c r="W147">
        <f>COUNTIFS($H$4:$H$1201,Tabla213[[#Headers],[Alternaria]], $G$4:$G$1201,Tabla213[[#This Row],[Organo]], $B$4:$B$1201,M147)</f>
        <v>0</v>
      </c>
      <c r="X147">
        <f>COUNTIFS($H$4:$H$1201,Tabla213[[#Headers],[Botrytis]], $G$4:$G$1201,Tabla213[[#This Row],[Organo]], $B$4:$B$1201,M147)</f>
        <v>0</v>
      </c>
      <c r="Y147">
        <f>COUNTIFS($H$4:$H$1201,Tabla213[[#Headers],[Colletotrichum]], $G$4:$G$1201,Tabla213[[#This Row],[Organo]], $B$4:$B$1201,M147)</f>
        <v>0</v>
      </c>
      <c r="Z147">
        <f>COUNTIFS($H$4:$H$1201,Tabla213[[#Headers],[Aspergillus]], $G$4:$G$1201,Tabla213[[#This Row],[Organo]], $B$4:$B$1201,M147)</f>
        <v>0</v>
      </c>
      <c r="AA147">
        <f>COUNTIFS($H$4:$H$1201,Tabla213[[#Headers],[NO ID]], $G$4:$G$1201,Tabla213[[#This Row],[Organo]], $B$4:$B$1201,M147)</f>
        <v>0</v>
      </c>
      <c r="AB147">
        <f>COUNTIFS($H$4:$H$1201,Tabla213[[#Headers],[Trichoderma]], $G$4:$G$1201,Tabla213[[#This Row],[Organo]], $B$4:$B$1201,M147)</f>
        <v>0</v>
      </c>
      <c r="AC147">
        <f>COUNTIFS($H$4:$H$1201,Tabla213[[#Headers],[Rizophus]], $G$4:$G$1201,Tabla213[[#This Row],[Organo]], $B$4:$B$1201,M147)</f>
        <v>0</v>
      </c>
      <c r="AD147">
        <f>COUNTIFS($H$4:$H$1201,Tabla213[[#Headers],[FALTANTES]], $G$4:$G$1201,Tabla213[[#This Row],[Organo]], $B$4:$B$1201,M147)</f>
        <v>0</v>
      </c>
      <c r="AK147">
        <v>50</v>
      </c>
      <c r="AL147" t="s">
        <v>39</v>
      </c>
      <c r="AM147" t="s">
        <v>114</v>
      </c>
      <c r="AN147" t="s">
        <v>477</v>
      </c>
    </row>
    <row r="148" spans="1:40" x14ac:dyDescent="0.2">
      <c r="A148" s="7">
        <v>144</v>
      </c>
      <c r="B148" s="7">
        <v>5.0999999999999996</v>
      </c>
      <c r="C148" s="1" t="str">
        <f t="shared" si="130"/>
        <v>CIRILLO 2</v>
      </c>
      <c r="D148" s="7" t="s">
        <v>127</v>
      </c>
      <c r="E148" s="1" t="str">
        <f t="shared" si="131"/>
        <v>SAYULA</v>
      </c>
      <c r="F148" s="7">
        <v>1</v>
      </c>
      <c r="G148" s="7" t="s">
        <v>477</v>
      </c>
      <c r="H148" s="7" t="s">
        <v>155</v>
      </c>
      <c r="I148" s="7" t="s">
        <v>155</v>
      </c>
      <c r="J148" s="7">
        <v>144</v>
      </c>
      <c r="K148" s="7"/>
      <c r="M148">
        <v>50</v>
      </c>
      <c r="N148" t="s">
        <v>694</v>
      </c>
      <c r="O148" t="s">
        <v>114</v>
      </c>
      <c r="P148" t="s">
        <v>477</v>
      </c>
      <c r="Q148">
        <f>COUNTIFS($H$4:$H$1201,Tabla213[[#Headers],[Neopestalotiopsis]], $G$4:$G$1201,Tabla213[[#This Row],[Organo]], $B$4:$B$1201,M148)</f>
        <v>1</v>
      </c>
      <c r="R148">
        <f>COUNTIFS($H$4:$H$1201,Tabla213[[#Headers],[Fusarium]], $G$4:$G$1201,Tabla213[[#This Row],[Organo]], $B$4:$B$1201,M148)</f>
        <v>1</v>
      </c>
      <c r="S148">
        <f>COUNTIFS($H$4:$H$1201,Tabla213[[#Headers],[Cylindrocarpon]], $G$4:$G$1201,Tabla213[[#This Row],[Organo]], $B$4:$B$1201,M148)</f>
        <v>0</v>
      </c>
      <c r="T148">
        <f>COUNTIFS($H$4:$H$1201,Tabla213[[#Headers],[Macrophomina]], $G$4:$G$1201,Tabla213[[#This Row],[Organo]], $B$4:$B$1201,M148)</f>
        <v>0</v>
      </c>
      <c r="U148">
        <f>COUNTIFS($H$4:$H$1201,Tabla213[[#Headers],[Rhizoctonia]], $G$4:$G$1201,Tabla213[[#This Row],[Organo]], $B$4:$B$1201,M148)</f>
        <v>0</v>
      </c>
      <c r="V148">
        <v>0</v>
      </c>
      <c r="W148">
        <f>COUNTIFS($H$4:$H$1201,Tabla213[[#Headers],[Alternaria]], $G$4:$G$1201,Tabla213[[#This Row],[Organo]], $B$4:$B$1201,M148)</f>
        <v>0</v>
      </c>
      <c r="X148">
        <f>COUNTIFS($H$4:$H$1201,Tabla213[[#Headers],[Botrytis]], $G$4:$G$1201,Tabla213[[#This Row],[Organo]], $B$4:$B$1201,M148)</f>
        <v>0</v>
      </c>
      <c r="Y148">
        <f>COUNTIFS($H$4:$H$1201,Tabla213[[#Headers],[Colletotrichum]], $G$4:$G$1201,Tabla213[[#This Row],[Organo]], $B$4:$B$1201,M148)</f>
        <v>0</v>
      </c>
      <c r="Z148">
        <f>COUNTIFS($H$4:$H$1201,Tabla213[[#Headers],[Aspergillus]], $G$4:$G$1201,Tabla213[[#This Row],[Organo]], $B$4:$B$1201,M148)</f>
        <v>0</v>
      </c>
      <c r="AA148">
        <f>COUNTIFS($H$4:$H$1201,Tabla213[[#Headers],[NO ID]], $G$4:$G$1201,Tabla213[[#This Row],[Organo]], $B$4:$B$1201,M148)</f>
        <v>0</v>
      </c>
      <c r="AB148">
        <f>COUNTIFS($H$4:$H$1201,Tabla213[[#Headers],[Trichoderma]], $G$4:$G$1201,Tabla213[[#This Row],[Organo]], $B$4:$B$1201,M148)</f>
        <v>0</v>
      </c>
      <c r="AC148">
        <f>COUNTIFS($H$4:$H$1201,Tabla213[[#Headers],[Rizophus]], $G$4:$G$1201,Tabla213[[#This Row],[Organo]], $B$4:$B$1201,M148)</f>
        <v>0</v>
      </c>
      <c r="AD148">
        <f>COUNTIFS($H$4:$H$1201,Tabla213[[#Headers],[FALTANTES]], $G$4:$G$1201,Tabla213[[#This Row],[Organo]], $B$4:$B$1201,M148)</f>
        <v>0</v>
      </c>
      <c r="AF148">
        <f t="shared" ref="AF148" si="146">SUM(Q147:AD148)</f>
        <v>6</v>
      </c>
      <c r="AG148">
        <f>COUNTIF($B$5:$B$1201, Tabla213[[#This Row],[Num. Parcela]])</f>
        <v>6</v>
      </c>
      <c r="AH148" t="b">
        <f t="shared" ref="AH148" si="147">IF(AF148=AG148, TRUE)</f>
        <v>1</v>
      </c>
      <c r="AK148">
        <v>50</v>
      </c>
      <c r="AL148" t="s">
        <v>39</v>
      </c>
      <c r="AM148" t="s">
        <v>114</v>
      </c>
      <c r="AN148" t="s">
        <v>476</v>
      </c>
    </row>
    <row r="149" spans="1:40" x14ac:dyDescent="0.2">
      <c r="A149" s="7">
        <v>145</v>
      </c>
      <c r="B149" s="7">
        <v>5.0999999999999996</v>
      </c>
      <c r="C149" s="1" t="str">
        <f t="shared" si="130"/>
        <v>CIRILLO 2</v>
      </c>
      <c r="D149" s="7" t="s">
        <v>127</v>
      </c>
      <c r="E149" s="1" t="str">
        <f t="shared" si="131"/>
        <v>SAYULA</v>
      </c>
      <c r="F149" s="7">
        <v>1</v>
      </c>
      <c r="G149" s="7" t="s">
        <v>477</v>
      </c>
      <c r="H149" s="7" t="s">
        <v>155</v>
      </c>
      <c r="I149" s="7" t="s">
        <v>155</v>
      </c>
      <c r="J149" s="7">
        <v>145</v>
      </c>
      <c r="K149" s="7"/>
      <c r="M149">
        <v>51</v>
      </c>
      <c r="N149" t="s">
        <v>695</v>
      </c>
      <c r="O149" t="s">
        <v>131</v>
      </c>
      <c r="P149" t="s">
        <v>476</v>
      </c>
      <c r="Q149">
        <f>COUNTIFS($H$4:$H$1201,Tabla213[[#Headers],[Neopestalotiopsis]], $G$4:$G$1201,Tabla213[[#This Row],[Organo]], $B$4:$B$1201,M149)</f>
        <v>1</v>
      </c>
      <c r="R149">
        <f>COUNTIFS($H$4:$H$1201,Tabla213[[#Headers],[Fusarium]], $G$4:$G$1201,Tabla213[[#This Row],[Organo]], $B$4:$B$1201,M149)</f>
        <v>1</v>
      </c>
      <c r="S149">
        <f>COUNTIFS($H$4:$H$1201,Tabla213[[#Headers],[Cylindrocarpon]], $G$4:$G$1201,Tabla213[[#This Row],[Organo]], $B$4:$B$1201,M149)</f>
        <v>0</v>
      </c>
      <c r="T149">
        <f>COUNTIFS($H$4:$H$1201,Tabla213[[#Headers],[Macrophomina]], $G$4:$G$1201,Tabla213[[#This Row],[Organo]], $B$4:$B$1201,M149)</f>
        <v>0</v>
      </c>
      <c r="U149">
        <f>COUNTIFS($H$4:$H$1201,Tabla213[[#Headers],[Rhizoctonia]], $G$4:$G$1201,Tabla213[[#This Row],[Organo]], $B$4:$B$1201,M149)</f>
        <v>0</v>
      </c>
      <c r="V149">
        <v>0</v>
      </c>
      <c r="W149">
        <f>COUNTIFS($H$4:$H$1201,Tabla213[[#Headers],[Alternaria]], $G$4:$G$1201,Tabla213[[#This Row],[Organo]], $B$4:$B$1201,M149)</f>
        <v>0</v>
      </c>
      <c r="X149">
        <f>COUNTIFS($H$4:$H$1201,Tabla213[[#Headers],[Botrytis]], $G$4:$G$1201,Tabla213[[#This Row],[Organo]], $B$4:$B$1201,M149)</f>
        <v>0</v>
      </c>
      <c r="Y149">
        <f>COUNTIFS($H$4:$H$1201,Tabla213[[#Headers],[Colletotrichum]], $G$4:$G$1201,Tabla213[[#This Row],[Organo]], $B$4:$B$1201,M149)</f>
        <v>0</v>
      </c>
      <c r="Z149">
        <f>COUNTIFS($H$4:$H$1201,Tabla213[[#Headers],[Aspergillus]], $G$4:$G$1201,Tabla213[[#This Row],[Organo]], $B$4:$B$1201,M149)</f>
        <v>0</v>
      </c>
      <c r="AA149">
        <f>COUNTIFS($H$4:$H$1201,Tabla213[[#Headers],[NO ID]], $G$4:$G$1201,Tabla213[[#This Row],[Organo]], $B$4:$B$1201,M149)</f>
        <v>1</v>
      </c>
      <c r="AB149">
        <f>COUNTIFS($H$4:$H$1201,Tabla213[[#Headers],[Trichoderma]], $G$4:$G$1201,Tabla213[[#This Row],[Organo]], $B$4:$B$1201,M149)</f>
        <v>0</v>
      </c>
      <c r="AC149">
        <f>COUNTIFS($H$4:$H$1201,Tabla213[[#Headers],[Rizophus]], $G$4:$G$1201,Tabla213[[#This Row],[Organo]], $B$4:$B$1201,M149)</f>
        <v>0</v>
      </c>
      <c r="AD149">
        <f>COUNTIFS($H$4:$H$1201,Tabla213[[#Headers],[FALTANTES]], $G$4:$G$1201,Tabla213[[#This Row],[Organo]], $B$4:$B$1201,M149)</f>
        <v>0</v>
      </c>
      <c r="AK149">
        <v>51</v>
      </c>
      <c r="AL149" t="s">
        <v>39</v>
      </c>
      <c r="AM149" t="s">
        <v>131</v>
      </c>
      <c r="AN149" t="s">
        <v>477</v>
      </c>
    </row>
    <row r="150" spans="1:40" x14ac:dyDescent="0.2">
      <c r="A150" s="7">
        <v>146</v>
      </c>
      <c r="B150" s="7">
        <v>5.0999999999999996</v>
      </c>
      <c r="C150" s="1" t="str">
        <f t="shared" si="130"/>
        <v>CIRILLO 2</v>
      </c>
      <c r="D150" s="7" t="s">
        <v>127</v>
      </c>
      <c r="E150" s="1" t="str">
        <f t="shared" si="131"/>
        <v>SAYULA</v>
      </c>
      <c r="F150" s="7">
        <v>1</v>
      </c>
      <c r="G150" s="7" t="s">
        <v>477</v>
      </c>
      <c r="H150" s="7" t="s">
        <v>149</v>
      </c>
      <c r="I150" s="8" t="s">
        <v>478</v>
      </c>
      <c r="J150" s="8">
        <v>146</v>
      </c>
      <c r="K150" s="7"/>
      <c r="M150">
        <v>51</v>
      </c>
      <c r="N150" t="s">
        <v>695</v>
      </c>
      <c r="O150" t="s">
        <v>131</v>
      </c>
      <c r="P150" t="s">
        <v>477</v>
      </c>
      <c r="Q150">
        <f>COUNTIFS($H$4:$H$1201,Tabla213[[#Headers],[Neopestalotiopsis]], $G$4:$G$1201,Tabla213[[#This Row],[Organo]], $B$4:$B$1201,M150)</f>
        <v>0</v>
      </c>
      <c r="R150">
        <f>COUNTIFS($H$4:$H$1201,Tabla213[[#Headers],[Fusarium]], $G$4:$G$1201,Tabla213[[#This Row],[Organo]], $B$4:$B$1201,M150)</f>
        <v>0</v>
      </c>
      <c r="S150">
        <f>COUNTIFS($H$4:$H$1201,Tabla213[[#Headers],[Cylindrocarpon]], $G$4:$G$1201,Tabla213[[#This Row],[Organo]], $B$4:$B$1201,M150)</f>
        <v>0</v>
      </c>
      <c r="T150">
        <f>COUNTIFS($H$4:$H$1201,Tabla213[[#Headers],[Macrophomina]], $G$4:$G$1201,Tabla213[[#This Row],[Organo]], $B$4:$B$1201,M150)</f>
        <v>0</v>
      </c>
      <c r="U150">
        <f>COUNTIFS($H$4:$H$1201,Tabla213[[#Headers],[Rhizoctonia]], $G$4:$G$1201,Tabla213[[#This Row],[Organo]], $B$4:$B$1201,M150)</f>
        <v>0</v>
      </c>
      <c r="V150">
        <v>0</v>
      </c>
      <c r="W150">
        <f>COUNTIFS($H$4:$H$1201,Tabla213[[#Headers],[Alternaria]], $G$4:$G$1201,Tabla213[[#This Row],[Organo]], $B$4:$B$1201,M150)</f>
        <v>0</v>
      </c>
      <c r="X150">
        <f>COUNTIFS($H$4:$H$1201,Tabla213[[#Headers],[Botrytis]], $G$4:$G$1201,Tabla213[[#This Row],[Organo]], $B$4:$B$1201,M150)</f>
        <v>0</v>
      </c>
      <c r="Y150">
        <f>COUNTIFS($H$4:$H$1201,Tabla213[[#Headers],[Colletotrichum]], $G$4:$G$1201,Tabla213[[#This Row],[Organo]], $B$4:$B$1201,M150)</f>
        <v>0</v>
      </c>
      <c r="Z150">
        <f>COUNTIFS($H$4:$H$1201,Tabla213[[#Headers],[Aspergillus]], $G$4:$G$1201,Tabla213[[#This Row],[Organo]], $B$4:$B$1201,M150)</f>
        <v>0</v>
      </c>
      <c r="AA150">
        <f>COUNTIFS($H$4:$H$1201,Tabla213[[#Headers],[NO ID]], $G$4:$G$1201,Tabla213[[#This Row],[Organo]], $B$4:$B$1201,M150)</f>
        <v>0</v>
      </c>
      <c r="AB150">
        <f>COUNTIFS($H$4:$H$1201,Tabla213[[#Headers],[Trichoderma]], $G$4:$G$1201,Tabla213[[#This Row],[Organo]], $B$4:$B$1201,M150)</f>
        <v>0</v>
      </c>
      <c r="AC150">
        <f>COUNTIFS($H$4:$H$1201,Tabla213[[#Headers],[Rizophus]], $G$4:$G$1201,Tabla213[[#This Row],[Organo]], $B$4:$B$1201,M150)</f>
        <v>0</v>
      </c>
      <c r="AD150">
        <f>COUNTIFS($H$4:$H$1201,Tabla213[[#Headers],[FALTANTES]], $G$4:$G$1201,Tabla213[[#This Row],[Organo]], $B$4:$B$1201,M150)</f>
        <v>0</v>
      </c>
      <c r="AF150">
        <f t="shared" ref="AF150" si="148">SUM(Q149:AD150)</f>
        <v>3</v>
      </c>
      <c r="AG150">
        <f>COUNTIF($B$5:$B$1201, Tabla213[[#This Row],[Num. Parcela]])</f>
        <v>3</v>
      </c>
      <c r="AH150" t="b">
        <f t="shared" ref="AH150" si="149">IF(AF150=AG150, TRUE)</f>
        <v>1</v>
      </c>
      <c r="AK150">
        <v>51</v>
      </c>
      <c r="AL150" t="s">
        <v>39</v>
      </c>
      <c r="AM150" t="s">
        <v>131</v>
      </c>
      <c r="AN150" t="s">
        <v>476</v>
      </c>
    </row>
    <row r="151" spans="1:40" x14ac:dyDescent="0.2">
      <c r="A151" s="7">
        <v>147</v>
      </c>
      <c r="B151" s="7">
        <v>5.0999999999999996</v>
      </c>
      <c r="C151" s="1" t="str">
        <f t="shared" si="130"/>
        <v>CIRILLO 2</v>
      </c>
      <c r="D151" s="7" t="s">
        <v>127</v>
      </c>
      <c r="E151" s="1" t="str">
        <f t="shared" si="131"/>
        <v>SAYULA</v>
      </c>
      <c r="F151" s="7">
        <v>1</v>
      </c>
      <c r="G151" s="7" t="s">
        <v>477</v>
      </c>
      <c r="H151" s="7" t="s">
        <v>475</v>
      </c>
      <c r="I151" s="9" t="s">
        <v>475</v>
      </c>
      <c r="J151" s="9">
        <v>147</v>
      </c>
      <c r="K151" s="7"/>
      <c r="M151">
        <v>52</v>
      </c>
      <c r="N151" t="s">
        <v>40</v>
      </c>
      <c r="O151" t="s">
        <v>116</v>
      </c>
      <c r="P151" t="s">
        <v>476</v>
      </c>
      <c r="Q151">
        <f>COUNTIFS($H$4:$H$1201,Tabla213[[#Headers],[Neopestalotiopsis]], $G$4:$G$1201,Tabla213[[#This Row],[Organo]], $B$4:$B$1201,M151)</f>
        <v>3</v>
      </c>
      <c r="R151">
        <f>COUNTIFS($H$4:$H$1201,Tabla213[[#Headers],[Fusarium]], $G$4:$G$1201,Tabla213[[#This Row],[Organo]], $B$4:$B$1201,M151)</f>
        <v>0</v>
      </c>
      <c r="S151">
        <f>COUNTIFS($H$4:$H$1201,Tabla213[[#Headers],[Cylindrocarpon]], $G$4:$G$1201,Tabla213[[#This Row],[Organo]], $B$4:$B$1201,M151)</f>
        <v>0</v>
      </c>
      <c r="T151">
        <f>COUNTIFS($H$4:$H$1201,Tabla213[[#Headers],[Macrophomina]], $G$4:$G$1201,Tabla213[[#This Row],[Organo]], $B$4:$B$1201,M151)</f>
        <v>0</v>
      </c>
      <c r="U151">
        <f>COUNTIFS($H$4:$H$1201,Tabla213[[#Headers],[Rhizoctonia]], $G$4:$G$1201,Tabla213[[#This Row],[Organo]], $B$4:$B$1201,M151)</f>
        <v>0</v>
      </c>
      <c r="V151">
        <v>0</v>
      </c>
      <c r="W151">
        <f>COUNTIFS($H$4:$H$1201,Tabla213[[#Headers],[Alternaria]], $G$4:$G$1201,Tabla213[[#This Row],[Organo]], $B$4:$B$1201,M151)</f>
        <v>0</v>
      </c>
      <c r="X151">
        <f>COUNTIFS($H$4:$H$1201,Tabla213[[#Headers],[Botrytis]], $G$4:$G$1201,Tabla213[[#This Row],[Organo]], $B$4:$B$1201,M151)</f>
        <v>0</v>
      </c>
      <c r="Y151">
        <f>COUNTIFS($H$4:$H$1201,Tabla213[[#Headers],[Colletotrichum]], $G$4:$G$1201,Tabla213[[#This Row],[Organo]], $B$4:$B$1201,M151)</f>
        <v>0</v>
      </c>
      <c r="Z151">
        <f>COUNTIFS($H$4:$H$1201,Tabla213[[#Headers],[Aspergillus]], $G$4:$G$1201,Tabla213[[#This Row],[Organo]], $B$4:$B$1201,M151)</f>
        <v>0</v>
      </c>
      <c r="AA151">
        <f>COUNTIFS($H$4:$H$1201,Tabla213[[#Headers],[NO ID]], $G$4:$G$1201,Tabla213[[#This Row],[Organo]], $B$4:$B$1201,M151)</f>
        <v>0</v>
      </c>
      <c r="AB151">
        <f>COUNTIFS($H$4:$H$1201,Tabla213[[#Headers],[Trichoderma]], $G$4:$G$1201,Tabla213[[#This Row],[Organo]], $B$4:$B$1201,M151)</f>
        <v>0</v>
      </c>
      <c r="AC151">
        <f>COUNTIFS($H$4:$H$1201,Tabla213[[#Headers],[Rizophus]], $G$4:$G$1201,Tabla213[[#This Row],[Organo]], $B$4:$B$1201,M151)</f>
        <v>0</v>
      </c>
      <c r="AD151">
        <f>COUNTIFS($H$4:$H$1201,Tabla213[[#Headers],[FALTANTES]], $G$4:$G$1201,Tabla213[[#This Row],[Organo]], $B$4:$B$1201,M151)</f>
        <v>0</v>
      </c>
      <c r="AK151">
        <v>52</v>
      </c>
      <c r="AL151" t="s">
        <v>40</v>
      </c>
      <c r="AM151" t="s">
        <v>116</v>
      </c>
      <c r="AN151" t="s">
        <v>477</v>
      </c>
    </row>
    <row r="152" spans="1:40" x14ac:dyDescent="0.2">
      <c r="A152" s="7">
        <v>148</v>
      </c>
      <c r="B152" s="7">
        <v>5.0999999999999996</v>
      </c>
      <c r="C152" s="1" t="str">
        <f t="shared" si="130"/>
        <v>CIRILLO 2</v>
      </c>
      <c r="D152" s="7" t="s">
        <v>127</v>
      </c>
      <c r="E152" s="1" t="str">
        <f t="shared" si="131"/>
        <v>SAYULA</v>
      </c>
      <c r="F152" s="7">
        <v>2</v>
      </c>
      <c r="G152" s="7" t="s">
        <v>477</v>
      </c>
      <c r="H152" s="7" t="s">
        <v>155</v>
      </c>
      <c r="I152" s="7" t="s">
        <v>155</v>
      </c>
      <c r="J152" s="7">
        <v>148</v>
      </c>
      <c r="K152" s="7"/>
      <c r="M152">
        <v>52</v>
      </c>
      <c r="N152" t="s">
        <v>40</v>
      </c>
      <c r="O152" t="s">
        <v>116</v>
      </c>
      <c r="P152" t="s">
        <v>477</v>
      </c>
      <c r="Q152">
        <f>COUNTIFS($H$4:$H$1201,Tabla213[[#Headers],[Neopestalotiopsis]], $G$4:$G$1201,Tabla213[[#This Row],[Organo]], $B$4:$B$1201,M152)</f>
        <v>1</v>
      </c>
      <c r="R152">
        <f>COUNTIFS($H$4:$H$1201,Tabla213[[#Headers],[Fusarium]], $G$4:$G$1201,Tabla213[[#This Row],[Organo]], $B$4:$B$1201,M152)</f>
        <v>0</v>
      </c>
      <c r="S152">
        <f>COUNTIFS($H$4:$H$1201,Tabla213[[#Headers],[Cylindrocarpon]], $G$4:$G$1201,Tabla213[[#This Row],[Organo]], $B$4:$B$1201,M152)</f>
        <v>0</v>
      </c>
      <c r="T152">
        <f>COUNTIFS($H$4:$H$1201,Tabla213[[#Headers],[Macrophomina]], $G$4:$G$1201,Tabla213[[#This Row],[Organo]], $B$4:$B$1201,M152)</f>
        <v>0</v>
      </c>
      <c r="U152">
        <f>COUNTIFS($H$4:$H$1201,Tabla213[[#Headers],[Rhizoctonia]], $G$4:$G$1201,Tabla213[[#This Row],[Organo]], $B$4:$B$1201,M152)</f>
        <v>1</v>
      </c>
      <c r="V152">
        <v>0</v>
      </c>
      <c r="W152">
        <f>COUNTIFS($H$4:$H$1201,Tabla213[[#Headers],[Alternaria]], $G$4:$G$1201,Tabla213[[#This Row],[Organo]], $B$4:$B$1201,M152)</f>
        <v>0</v>
      </c>
      <c r="X152">
        <f>COUNTIFS($H$4:$H$1201,Tabla213[[#Headers],[Botrytis]], $G$4:$G$1201,Tabla213[[#This Row],[Organo]], $B$4:$B$1201,M152)</f>
        <v>0</v>
      </c>
      <c r="Y152">
        <f>COUNTIFS($H$4:$H$1201,Tabla213[[#Headers],[Colletotrichum]], $G$4:$G$1201,Tabla213[[#This Row],[Organo]], $B$4:$B$1201,M152)</f>
        <v>0</v>
      </c>
      <c r="Z152">
        <f>COUNTIFS($H$4:$H$1201,Tabla213[[#Headers],[Aspergillus]], $G$4:$G$1201,Tabla213[[#This Row],[Organo]], $B$4:$B$1201,M152)</f>
        <v>0</v>
      </c>
      <c r="AA152">
        <f>COUNTIFS($H$4:$H$1201,Tabla213[[#Headers],[NO ID]], $G$4:$G$1201,Tabla213[[#This Row],[Organo]], $B$4:$B$1201,M152)</f>
        <v>1</v>
      </c>
      <c r="AB152">
        <f>COUNTIFS($H$4:$H$1201,Tabla213[[#Headers],[Trichoderma]], $G$4:$G$1201,Tabla213[[#This Row],[Organo]], $B$4:$B$1201,M152)</f>
        <v>0</v>
      </c>
      <c r="AC152">
        <f>COUNTIFS($H$4:$H$1201,Tabla213[[#Headers],[Rizophus]], $G$4:$G$1201,Tabla213[[#This Row],[Organo]], $B$4:$B$1201,M152)</f>
        <v>0</v>
      </c>
      <c r="AD152">
        <f>COUNTIFS($H$4:$H$1201,Tabla213[[#Headers],[FALTANTES]], $G$4:$G$1201,Tabla213[[#This Row],[Organo]], $B$4:$B$1201,M152)</f>
        <v>0</v>
      </c>
      <c r="AF152">
        <f t="shared" ref="AF152" si="150">SUM(Q151:AD152)</f>
        <v>6</v>
      </c>
      <c r="AG152">
        <f>COUNTIF($B$5:$B$1201, Tabla213[[#This Row],[Num. Parcela]])</f>
        <v>6</v>
      </c>
      <c r="AH152" t="b">
        <f t="shared" ref="AH152" si="151">IF(AF152=AG152, TRUE)</f>
        <v>1</v>
      </c>
      <c r="AK152">
        <v>52</v>
      </c>
      <c r="AL152" t="s">
        <v>40</v>
      </c>
      <c r="AM152" t="s">
        <v>116</v>
      </c>
      <c r="AN152" t="s">
        <v>476</v>
      </c>
    </row>
    <row r="153" spans="1:40" x14ac:dyDescent="0.2">
      <c r="A153" s="7">
        <v>149</v>
      </c>
      <c r="B153" s="7">
        <v>5.0999999999999996</v>
      </c>
      <c r="C153" s="1" t="str">
        <f t="shared" si="130"/>
        <v>CIRILLO 2</v>
      </c>
      <c r="D153" s="7" t="s">
        <v>127</v>
      </c>
      <c r="E153" s="1" t="str">
        <f t="shared" si="131"/>
        <v>SAYULA</v>
      </c>
      <c r="F153" s="7">
        <v>2</v>
      </c>
      <c r="G153" s="7" t="s">
        <v>477</v>
      </c>
      <c r="H153" s="7" t="s">
        <v>155</v>
      </c>
      <c r="I153" s="7" t="s">
        <v>155</v>
      </c>
      <c r="J153" s="7">
        <v>149</v>
      </c>
      <c r="K153" s="19" t="s">
        <v>638</v>
      </c>
      <c r="M153">
        <v>53</v>
      </c>
      <c r="N153" t="s">
        <v>41</v>
      </c>
      <c r="O153" t="s">
        <v>116</v>
      </c>
      <c r="P153" t="s">
        <v>476</v>
      </c>
      <c r="Q153">
        <f>COUNTIFS($H$4:$H$1201,Tabla213[[#Headers],[Neopestalotiopsis]], $G$4:$G$1201,Tabla213[[#This Row],[Organo]], $B$4:$B$1201,M153)</f>
        <v>0</v>
      </c>
      <c r="R153">
        <f>COUNTIFS($H$4:$H$1201,Tabla213[[#Headers],[Fusarium]], $G$4:$G$1201,Tabla213[[#This Row],[Organo]], $B$4:$B$1201,M153)</f>
        <v>0</v>
      </c>
      <c r="S153">
        <f>COUNTIFS($H$4:$H$1201,Tabla213[[#Headers],[Cylindrocarpon]], $G$4:$G$1201,Tabla213[[#This Row],[Organo]], $B$4:$B$1201,M153)</f>
        <v>0</v>
      </c>
      <c r="T153">
        <f>COUNTIFS($H$4:$H$1201,Tabla213[[#Headers],[Macrophomina]], $G$4:$G$1201,Tabla213[[#This Row],[Organo]], $B$4:$B$1201,M153)</f>
        <v>0</v>
      </c>
      <c r="U153">
        <f>COUNTIFS($H$4:$H$1201,Tabla213[[#Headers],[Rhizoctonia]], $G$4:$G$1201,Tabla213[[#This Row],[Organo]], $B$4:$B$1201,M153)</f>
        <v>0</v>
      </c>
      <c r="V153">
        <v>0</v>
      </c>
      <c r="W153">
        <f>COUNTIFS($H$4:$H$1201,Tabla213[[#Headers],[Alternaria]], $G$4:$G$1201,Tabla213[[#This Row],[Organo]], $B$4:$B$1201,M153)</f>
        <v>0</v>
      </c>
      <c r="X153">
        <f>COUNTIFS($H$4:$H$1201,Tabla213[[#Headers],[Botrytis]], $G$4:$G$1201,Tabla213[[#This Row],[Organo]], $B$4:$B$1201,M153)</f>
        <v>0</v>
      </c>
      <c r="Y153">
        <f>COUNTIFS($H$4:$H$1201,Tabla213[[#Headers],[Colletotrichum]], $G$4:$G$1201,Tabla213[[#This Row],[Organo]], $B$4:$B$1201,M153)</f>
        <v>0</v>
      </c>
      <c r="Z153">
        <f>COUNTIFS($H$4:$H$1201,Tabla213[[#Headers],[Aspergillus]], $G$4:$G$1201,Tabla213[[#This Row],[Organo]], $B$4:$B$1201,M153)</f>
        <v>0</v>
      </c>
      <c r="AA153">
        <f>COUNTIFS($H$4:$H$1201,Tabla213[[#Headers],[NO ID]], $G$4:$G$1201,Tabla213[[#This Row],[Organo]], $B$4:$B$1201,M153)</f>
        <v>0</v>
      </c>
      <c r="AB153">
        <f>COUNTIFS($H$4:$H$1201,Tabla213[[#Headers],[Trichoderma]], $G$4:$G$1201,Tabla213[[#This Row],[Organo]], $B$4:$B$1201,M153)</f>
        <v>0</v>
      </c>
      <c r="AC153">
        <f>COUNTIFS($H$4:$H$1201,Tabla213[[#Headers],[Rizophus]], $G$4:$G$1201,Tabla213[[#This Row],[Organo]], $B$4:$B$1201,M153)</f>
        <v>0</v>
      </c>
      <c r="AD153">
        <f>COUNTIFS($H$4:$H$1201,Tabla213[[#Headers],[FALTANTES]], $G$4:$G$1201,Tabla213[[#This Row],[Organo]], $B$4:$B$1201,M153)</f>
        <v>0</v>
      </c>
      <c r="AK153">
        <v>53</v>
      </c>
      <c r="AL153" t="s">
        <v>41</v>
      </c>
      <c r="AM153" t="s">
        <v>116</v>
      </c>
      <c r="AN153" t="s">
        <v>477</v>
      </c>
    </row>
    <row r="154" spans="1:40" x14ac:dyDescent="0.2">
      <c r="A154" s="7">
        <v>150</v>
      </c>
      <c r="B154" s="7">
        <v>5.0999999999999996</v>
      </c>
      <c r="C154" s="1" t="str">
        <f t="shared" si="130"/>
        <v>CIRILLO 2</v>
      </c>
      <c r="D154" s="7" t="s">
        <v>127</v>
      </c>
      <c r="E154" s="1" t="str">
        <f t="shared" si="131"/>
        <v>SAYULA</v>
      </c>
      <c r="F154" s="7">
        <v>2</v>
      </c>
      <c r="G154" s="7" t="s">
        <v>477</v>
      </c>
      <c r="H154" s="7" t="s">
        <v>155</v>
      </c>
      <c r="I154" s="7" t="s">
        <v>155</v>
      </c>
      <c r="J154" s="7">
        <v>150</v>
      </c>
      <c r="K154" s="7"/>
      <c r="L154">
        <v>1</v>
      </c>
      <c r="M154">
        <v>53</v>
      </c>
      <c r="N154" t="s">
        <v>41</v>
      </c>
      <c r="O154" t="s">
        <v>116</v>
      </c>
      <c r="P154" t="s">
        <v>477</v>
      </c>
      <c r="Q154">
        <f>COUNTIFS($H$4:$H$1201,Tabla213[[#Headers],[Neopestalotiopsis]], $G$4:$G$1201,Tabla213[[#This Row],[Organo]], $B$4:$B$1201,M154)</f>
        <v>0</v>
      </c>
      <c r="R154">
        <f>COUNTIFS($H$4:$H$1201,Tabla213[[#Headers],[Fusarium]], $G$4:$G$1201,Tabla213[[#This Row],[Organo]], $B$4:$B$1201,M154)</f>
        <v>0</v>
      </c>
      <c r="S154">
        <f>COUNTIFS($H$4:$H$1201,Tabla213[[#Headers],[Cylindrocarpon]], $G$4:$G$1201,Tabla213[[#This Row],[Organo]], $B$4:$B$1201,M154)</f>
        <v>0</v>
      </c>
      <c r="T154">
        <f>COUNTIFS($H$4:$H$1201,Tabla213[[#Headers],[Macrophomina]], $G$4:$G$1201,Tabla213[[#This Row],[Organo]], $B$4:$B$1201,M154)</f>
        <v>0</v>
      </c>
      <c r="U154">
        <f>COUNTIFS($H$4:$H$1201,Tabla213[[#Headers],[Rhizoctonia]], $G$4:$G$1201,Tabla213[[#This Row],[Organo]], $B$4:$B$1201,M154)</f>
        <v>0</v>
      </c>
      <c r="V154">
        <v>0</v>
      </c>
      <c r="W154">
        <f>COUNTIFS($H$4:$H$1201,Tabla213[[#Headers],[Alternaria]], $G$4:$G$1201,Tabla213[[#This Row],[Organo]], $B$4:$B$1201,M154)</f>
        <v>0</v>
      </c>
      <c r="X154">
        <f>COUNTIFS($H$4:$H$1201,Tabla213[[#Headers],[Botrytis]], $G$4:$G$1201,Tabla213[[#This Row],[Organo]], $B$4:$B$1201,M154)</f>
        <v>0</v>
      </c>
      <c r="Y154">
        <f>COUNTIFS($H$4:$H$1201,Tabla213[[#Headers],[Colletotrichum]], $G$4:$G$1201,Tabla213[[#This Row],[Organo]], $B$4:$B$1201,M154)</f>
        <v>0</v>
      </c>
      <c r="Z154">
        <f>COUNTIFS($H$4:$H$1201,Tabla213[[#Headers],[Aspergillus]], $G$4:$G$1201,Tabla213[[#This Row],[Organo]], $B$4:$B$1201,M154)</f>
        <v>0</v>
      </c>
      <c r="AA154">
        <f>COUNTIFS($H$4:$H$1201,Tabla213[[#Headers],[NO ID]], $G$4:$G$1201,Tabla213[[#This Row],[Organo]], $B$4:$B$1201,M154)</f>
        <v>0</v>
      </c>
      <c r="AB154">
        <f>COUNTIFS($H$4:$H$1201,Tabla213[[#Headers],[Trichoderma]], $G$4:$G$1201,Tabla213[[#This Row],[Organo]], $B$4:$B$1201,M154)</f>
        <v>0</v>
      </c>
      <c r="AC154">
        <f>COUNTIFS($H$4:$H$1201,Tabla213[[#Headers],[Rizophus]], $G$4:$G$1201,Tabla213[[#This Row],[Organo]], $B$4:$B$1201,M154)</f>
        <v>0</v>
      </c>
      <c r="AD154">
        <f>COUNTIFS($H$4:$H$1201,Tabla213[[#Headers],[FALTANTES]], $G$4:$G$1201,Tabla213[[#This Row],[Organo]], $B$4:$B$1201,M154)</f>
        <v>0</v>
      </c>
      <c r="AF154">
        <f t="shared" ref="AF154" si="152">SUM(Q153:AD154)</f>
        <v>0</v>
      </c>
      <c r="AG154">
        <f>COUNTIF($B$5:$B$1201, Tabla213[[#This Row],[Num. Parcela]])</f>
        <v>0</v>
      </c>
      <c r="AH154" t="b">
        <f t="shared" ref="AH154" si="153">IF(AF154=AG154, TRUE)</f>
        <v>1</v>
      </c>
      <c r="AK154">
        <v>53</v>
      </c>
      <c r="AL154" t="s">
        <v>41</v>
      </c>
      <c r="AM154" t="s">
        <v>116</v>
      </c>
      <c r="AN154" t="s">
        <v>476</v>
      </c>
    </row>
    <row r="155" spans="1:40" x14ac:dyDescent="0.2">
      <c r="A155" s="7">
        <v>151</v>
      </c>
      <c r="B155" s="7">
        <v>5.0999999999999996</v>
      </c>
      <c r="C155" s="1" t="str">
        <f t="shared" si="130"/>
        <v>CIRILLO 2</v>
      </c>
      <c r="D155" s="7" t="s">
        <v>127</v>
      </c>
      <c r="E155" s="1" t="str">
        <f t="shared" si="131"/>
        <v>SAYULA</v>
      </c>
      <c r="F155" s="7">
        <v>2</v>
      </c>
      <c r="G155" s="7" t="s">
        <v>481</v>
      </c>
      <c r="H155" s="7" t="s">
        <v>485</v>
      </c>
      <c r="I155" s="10" t="s">
        <v>485</v>
      </c>
      <c r="J155" s="10">
        <v>151</v>
      </c>
      <c r="K155" s="7"/>
      <c r="M155">
        <v>54</v>
      </c>
      <c r="N155" t="s">
        <v>42</v>
      </c>
      <c r="O155" t="s">
        <v>114</v>
      </c>
      <c r="P155" t="s">
        <v>476</v>
      </c>
      <c r="Q155">
        <f>COUNTIFS($H$4:$H$1201,Tabla213[[#Headers],[Neopestalotiopsis]], $G$4:$G$1201,Tabla213[[#This Row],[Organo]], $B$4:$B$1201,M155)</f>
        <v>1</v>
      </c>
      <c r="R155">
        <f>COUNTIFS($H$4:$H$1201,Tabla213[[#Headers],[Fusarium]], $G$4:$G$1201,Tabla213[[#This Row],[Organo]], $B$4:$B$1201,M155)</f>
        <v>0</v>
      </c>
      <c r="S155">
        <f>COUNTIFS($H$4:$H$1201,Tabla213[[#Headers],[Cylindrocarpon]], $G$4:$G$1201,Tabla213[[#This Row],[Organo]], $B$4:$B$1201,M155)</f>
        <v>0</v>
      </c>
      <c r="T155">
        <f>COUNTIFS($H$4:$H$1201,Tabla213[[#Headers],[Macrophomina]], $G$4:$G$1201,Tabla213[[#This Row],[Organo]], $B$4:$B$1201,M155)</f>
        <v>0</v>
      </c>
      <c r="U155">
        <f>COUNTIFS($H$4:$H$1201,Tabla213[[#Headers],[Rhizoctonia]], $G$4:$G$1201,Tabla213[[#This Row],[Organo]], $B$4:$B$1201,M155)</f>
        <v>0</v>
      </c>
      <c r="V155">
        <v>0</v>
      </c>
      <c r="W155">
        <f>COUNTIFS($H$4:$H$1201,Tabla213[[#Headers],[Alternaria]], $G$4:$G$1201,Tabla213[[#This Row],[Organo]], $B$4:$B$1201,M155)</f>
        <v>0</v>
      </c>
      <c r="X155">
        <f>COUNTIFS($H$4:$H$1201,Tabla213[[#Headers],[Botrytis]], $G$4:$G$1201,Tabla213[[#This Row],[Organo]], $B$4:$B$1201,M155)</f>
        <v>0</v>
      </c>
      <c r="Y155">
        <f>COUNTIFS($H$4:$H$1201,Tabla213[[#Headers],[Colletotrichum]], $G$4:$G$1201,Tabla213[[#This Row],[Organo]], $B$4:$B$1201,M155)</f>
        <v>0</v>
      </c>
      <c r="Z155">
        <f>COUNTIFS($H$4:$H$1201,Tabla213[[#Headers],[Aspergillus]], $G$4:$G$1201,Tabla213[[#This Row],[Organo]], $B$4:$B$1201,M155)</f>
        <v>0</v>
      </c>
      <c r="AA155">
        <f>COUNTIFS($H$4:$H$1201,Tabla213[[#Headers],[NO ID]], $G$4:$G$1201,Tabla213[[#This Row],[Organo]], $B$4:$B$1201,M155)</f>
        <v>0</v>
      </c>
      <c r="AB155">
        <f>COUNTIFS($H$4:$H$1201,Tabla213[[#Headers],[Trichoderma]], $G$4:$G$1201,Tabla213[[#This Row],[Organo]], $B$4:$B$1201,M155)</f>
        <v>0</v>
      </c>
      <c r="AC155">
        <f>COUNTIFS($H$4:$H$1201,Tabla213[[#Headers],[Rizophus]], $G$4:$G$1201,Tabla213[[#This Row],[Organo]], $B$4:$B$1201,M155)</f>
        <v>0</v>
      </c>
      <c r="AD155">
        <f>COUNTIFS($H$4:$H$1201,Tabla213[[#Headers],[FALTANTES]], $G$4:$G$1201,Tabla213[[#This Row],[Organo]], $B$4:$B$1201,M155)</f>
        <v>0</v>
      </c>
      <c r="AK155">
        <v>54</v>
      </c>
      <c r="AL155" t="s">
        <v>42</v>
      </c>
      <c r="AM155" t="s">
        <v>114</v>
      </c>
      <c r="AN155" t="s">
        <v>477</v>
      </c>
    </row>
    <row r="156" spans="1:40" x14ac:dyDescent="0.2">
      <c r="A156" s="7">
        <v>152</v>
      </c>
      <c r="B156" s="7">
        <v>5.0999999999999996</v>
      </c>
      <c r="C156" s="1" t="str">
        <f t="shared" si="130"/>
        <v>CIRILLO 2</v>
      </c>
      <c r="D156" s="7" t="s">
        <v>127</v>
      </c>
      <c r="E156" s="1" t="str">
        <f t="shared" si="131"/>
        <v>SAYULA</v>
      </c>
      <c r="F156" s="7">
        <v>2</v>
      </c>
      <c r="G156" s="7" t="s">
        <v>481</v>
      </c>
      <c r="H156" s="7" t="s">
        <v>155</v>
      </c>
      <c r="I156" s="7" t="s">
        <v>155</v>
      </c>
      <c r="J156" s="7">
        <v>152</v>
      </c>
      <c r="K156" s="7"/>
      <c r="M156">
        <v>54</v>
      </c>
      <c r="N156" t="s">
        <v>42</v>
      </c>
      <c r="O156" t="s">
        <v>114</v>
      </c>
      <c r="P156" t="s">
        <v>477</v>
      </c>
      <c r="Q156">
        <f>COUNTIFS($H$4:$H$1201,Tabla213[[#Headers],[Neopestalotiopsis]], $G$4:$G$1201,Tabla213[[#This Row],[Organo]], $B$4:$B$1201,M156)</f>
        <v>1</v>
      </c>
      <c r="R156">
        <f>COUNTIFS($H$4:$H$1201,Tabla213[[#Headers],[Fusarium]], $G$4:$G$1201,Tabla213[[#This Row],[Organo]], $B$4:$B$1201,M156)</f>
        <v>1</v>
      </c>
      <c r="S156">
        <f>COUNTIFS($H$4:$H$1201,Tabla213[[#Headers],[Cylindrocarpon]], $G$4:$G$1201,Tabla213[[#This Row],[Organo]], $B$4:$B$1201,M156)</f>
        <v>0</v>
      </c>
      <c r="T156">
        <f>COUNTIFS($H$4:$H$1201,Tabla213[[#Headers],[Macrophomina]], $G$4:$G$1201,Tabla213[[#This Row],[Organo]], $B$4:$B$1201,M156)</f>
        <v>0</v>
      </c>
      <c r="U156">
        <f>COUNTIFS($H$4:$H$1201,Tabla213[[#Headers],[Rhizoctonia]], $G$4:$G$1201,Tabla213[[#This Row],[Organo]], $B$4:$B$1201,M156)</f>
        <v>0</v>
      </c>
      <c r="V156">
        <v>0</v>
      </c>
      <c r="W156">
        <f>COUNTIFS($H$4:$H$1201,Tabla213[[#Headers],[Alternaria]], $G$4:$G$1201,Tabla213[[#This Row],[Organo]], $B$4:$B$1201,M156)</f>
        <v>0</v>
      </c>
      <c r="X156">
        <f>COUNTIFS($H$4:$H$1201,Tabla213[[#Headers],[Botrytis]], $G$4:$G$1201,Tabla213[[#This Row],[Organo]], $B$4:$B$1201,M156)</f>
        <v>0</v>
      </c>
      <c r="Y156">
        <f>COUNTIFS($H$4:$H$1201,Tabla213[[#Headers],[Colletotrichum]], $G$4:$G$1201,Tabla213[[#This Row],[Organo]], $B$4:$B$1201,M156)</f>
        <v>0</v>
      </c>
      <c r="Z156">
        <f>COUNTIFS($H$4:$H$1201,Tabla213[[#Headers],[Aspergillus]], $G$4:$G$1201,Tabla213[[#This Row],[Organo]], $B$4:$B$1201,M156)</f>
        <v>0</v>
      </c>
      <c r="AA156">
        <f>COUNTIFS($H$4:$H$1201,Tabla213[[#Headers],[NO ID]], $G$4:$G$1201,Tabla213[[#This Row],[Organo]], $B$4:$B$1201,M156)</f>
        <v>0</v>
      </c>
      <c r="AB156">
        <f>COUNTIFS($H$4:$H$1201,Tabla213[[#Headers],[Trichoderma]], $G$4:$G$1201,Tabla213[[#This Row],[Organo]], $B$4:$B$1201,M156)</f>
        <v>0</v>
      </c>
      <c r="AC156">
        <f>COUNTIFS($H$4:$H$1201,Tabla213[[#Headers],[Rizophus]], $G$4:$G$1201,Tabla213[[#This Row],[Organo]], $B$4:$B$1201,M156)</f>
        <v>0</v>
      </c>
      <c r="AD156">
        <f>COUNTIFS($H$4:$H$1201,Tabla213[[#Headers],[FALTANTES]], $G$4:$G$1201,Tabla213[[#This Row],[Organo]], $B$4:$B$1201,M156)</f>
        <v>0</v>
      </c>
      <c r="AF156">
        <f t="shared" ref="AF156" si="154">SUM(Q155:AD156)</f>
        <v>3</v>
      </c>
      <c r="AG156">
        <f>COUNTIF($B$5:$B$1201, Tabla213[[#This Row],[Num. Parcela]])</f>
        <v>3</v>
      </c>
      <c r="AH156" t="b">
        <f t="shared" ref="AH156" si="155">IF(AF156=AG156, TRUE)</f>
        <v>1</v>
      </c>
      <c r="AK156">
        <v>54</v>
      </c>
      <c r="AL156" t="s">
        <v>42</v>
      </c>
      <c r="AM156" t="s">
        <v>114</v>
      </c>
      <c r="AN156" t="s">
        <v>476</v>
      </c>
    </row>
    <row r="157" spans="1:40" x14ac:dyDescent="0.2">
      <c r="A157" s="7">
        <v>153</v>
      </c>
      <c r="B157" s="7">
        <v>5.0999999999999996</v>
      </c>
      <c r="C157" s="1" t="str">
        <f t="shared" si="130"/>
        <v>CIRILLO 2</v>
      </c>
      <c r="D157" s="7" t="s">
        <v>127</v>
      </c>
      <c r="E157" s="1" t="str">
        <f t="shared" si="131"/>
        <v>SAYULA</v>
      </c>
      <c r="F157" s="7">
        <v>2</v>
      </c>
      <c r="G157" s="7" t="s">
        <v>481</v>
      </c>
      <c r="H157" s="7" t="s">
        <v>485</v>
      </c>
      <c r="I157" s="10" t="s">
        <v>485</v>
      </c>
      <c r="J157" s="10">
        <v>153</v>
      </c>
      <c r="K157" s="7"/>
      <c r="M157">
        <v>55</v>
      </c>
      <c r="N157" t="s">
        <v>43</v>
      </c>
      <c r="O157" t="s">
        <v>116</v>
      </c>
      <c r="P157" t="s">
        <v>476</v>
      </c>
      <c r="Q157">
        <f>COUNTIFS($H$4:$H$1201,Tabla213[[#Headers],[Neopestalotiopsis]], $G$4:$G$1201,Tabla213[[#This Row],[Organo]], $B$4:$B$1201,M157)</f>
        <v>4</v>
      </c>
      <c r="R157">
        <f>COUNTIFS($H$4:$H$1201,Tabla213[[#Headers],[Fusarium]], $G$4:$G$1201,Tabla213[[#This Row],[Organo]], $B$4:$B$1201,M157)</f>
        <v>0</v>
      </c>
      <c r="S157">
        <f>COUNTIFS($H$4:$H$1201,Tabla213[[#Headers],[Cylindrocarpon]], $G$4:$G$1201,Tabla213[[#This Row],[Organo]], $B$4:$B$1201,M157)</f>
        <v>0</v>
      </c>
      <c r="T157">
        <f>COUNTIFS($H$4:$H$1201,Tabla213[[#Headers],[Macrophomina]], $G$4:$G$1201,Tabla213[[#This Row],[Organo]], $B$4:$B$1201,M157)</f>
        <v>0</v>
      </c>
      <c r="U157">
        <f>COUNTIFS($H$4:$H$1201,Tabla213[[#Headers],[Rhizoctonia]], $G$4:$G$1201,Tabla213[[#This Row],[Organo]], $B$4:$B$1201,M157)</f>
        <v>0</v>
      </c>
      <c r="V157">
        <v>0</v>
      </c>
      <c r="W157">
        <f>COUNTIFS($H$4:$H$1201,Tabla213[[#Headers],[Alternaria]], $G$4:$G$1201,Tabla213[[#This Row],[Organo]], $B$4:$B$1201,M157)</f>
        <v>0</v>
      </c>
      <c r="X157">
        <f>COUNTIFS($H$4:$H$1201,Tabla213[[#Headers],[Botrytis]], $G$4:$G$1201,Tabla213[[#This Row],[Organo]], $B$4:$B$1201,M157)</f>
        <v>0</v>
      </c>
      <c r="Y157">
        <f>COUNTIFS($H$4:$H$1201,Tabla213[[#Headers],[Colletotrichum]], $G$4:$G$1201,Tabla213[[#This Row],[Organo]], $B$4:$B$1201,M157)</f>
        <v>0</v>
      </c>
      <c r="Z157">
        <f>COUNTIFS($H$4:$H$1201,Tabla213[[#Headers],[Aspergillus]], $G$4:$G$1201,Tabla213[[#This Row],[Organo]], $B$4:$B$1201,M157)</f>
        <v>0</v>
      </c>
      <c r="AA157">
        <f>COUNTIFS($H$4:$H$1201,Tabla213[[#Headers],[NO ID]], $G$4:$G$1201,Tabla213[[#This Row],[Organo]], $B$4:$B$1201,M157)</f>
        <v>0</v>
      </c>
      <c r="AB157">
        <f>COUNTIFS($H$4:$H$1201,Tabla213[[#Headers],[Trichoderma]], $G$4:$G$1201,Tabla213[[#This Row],[Organo]], $B$4:$B$1201,M157)</f>
        <v>0</v>
      </c>
      <c r="AC157">
        <f>COUNTIFS($H$4:$H$1201,Tabla213[[#Headers],[Rizophus]], $G$4:$G$1201,Tabla213[[#This Row],[Organo]], $B$4:$B$1201,M157)</f>
        <v>0</v>
      </c>
      <c r="AD157">
        <f>COUNTIFS($H$4:$H$1201,Tabla213[[#Headers],[FALTANTES]], $G$4:$G$1201,Tabla213[[#This Row],[Organo]], $B$4:$B$1201,M157)</f>
        <v>0</v>
      </c>
      <c r="AK157">
        <v>55</v>
      </c>
      <c r="AL157" t="s">
        <v>43</v>
      </c>
      <c r="AM157" t="s">
        <v>116</v>
      </c>
      <c r="AN157" t="s">
        <v>477</v>
      </c>
    </row>
    <row r="158" spans="1:40" x14ac:dyDescent="0.2">
      <c r="A158" s="7">
        <v>154</v>
      </c>
      <c r="B158" s="7">
        <v>5.0999999999999996</v>
      </c>
      <c r="C158" s="1" t="str">
        <f t="shared" si="130"/>
        <v>CIRILLO 2</v>
      </c>
      <c r="D158" s="7" t="s">
        <v>127</v>
      </c>
      <c r="E158" s="1" t="str">
        <f t="shared" si="131"/>
        <v>SAYULA</v>
      </c>
      <c r="F158" s="7">
        <v>1</v>
      </c>
      <c r="G158" s="7" t="s">
        <v>477</v>
      </c>
      <c r="H158" s="7" t="s">
        <v>149</v>
      </c>
      <c r="I158" s="7" t="s">
        <v>480</v>
      </c>
      <c r="J158" s="7">
        <v>154</v>
      </c>
      <c r="K158" s="7"/>
      <c r="M158">
        <v>55</v>
      </c>
      <c r="N158" t="s">
        <v>43</v>
      </c>
      <c r="O158" t="s">
        <v>116</v>
      </c>
      <c r="P158" t="s">
        <v>477</v>
      </c>
      <c r="Q158">
        <f>COUNTIFS($H$4:$H$1201,Tabla213[[#Headers],[Neopestalotiopsis]], $G$4:$G$1201,Tabla213[[#This Row],[Organo]], $B$4:$B$1201,M158)</f>
        <v>4</v>
      </c>
      <c r="R158">
        <f>COUNTIFS($H$4:$H$1201,Tabla213[[#Headers],[Fusarium]], $G$4:$G$1201,Tabla213[[#This Row],[Organo]], $B$4:$B$1201,M158)</f>
        <v>1</v>
      </c>
      <c r="S158">
        <f>COUNTIFS($H$4:$H$1201,Tabla213[[#Headers],[Cylindrocarpon]], $G$4:$G$1201,Tabla213[[#This Row],[Organo]], $B$4:$B$1201,M158)</f>
        <v>0</v>
      </c>
      <c r="T158">
        <f>COUNTIFS($H$4:$H$1201,Tabla213[[#Headers],[Macrophomina]], $G$4:$G$1201,Tabla213[[#This Row],[Organo]], $B$4:$B$1201,M158)</f>
        <v>0</v>
      </c>
      <c r="U158">
        <f>COUNTIFS($H$4:$H$1201,Tabla213[[#Headers],[Rhizoctonia]], $G$4:$G$1201,Tabla213[[#This Row],[Organo]], $B$4:$B$1201,M158)</f>
        <v>0</v>
      </c>
      <c r="V158">
        <v>0</v>
      </c>
      <c r="W158">
        <f>COUNTIFS($H$4:$H$1201,Tabla213[[#Headers],[Alternaria]], $G$4:$G$1201,Tabla213[[#This Row],[Organo]], $B$4:$B$1201,M158)</f>
        <v>0</v>
      </c>
      <c r="X158">
        <f>COUNTIFS($H$4:$H$1201,Tabla213[[#Headers],[Botrytis]], $G$4:$G$1201,Tabla213[[#This Row],[Organo]], $B$4:$B$1201,M158)</f>
        <v>0</v>
      </c>
      <c r="Y158">
        <f>COUNTIFS($H$4:$H$1201,Tabla213[[#Headers],[Colletotrichum]], $G$4:$G$1201,Tabla213[[#This Row],[Organo]], $B$4:$B$1201,M158)</f>
        <v>0</v>
      </c>
      <c r="Z158">
        <f>COUNTIFS($H$4:$H$1201,Tabla213[[#Headers],[Aspergillus]], $G$4:$G$1201,Tabla213[[#This Row],[Organo]], $B$4:$B$1201,M158)</f>
        <v>0</v>
      </c>
      <c r="AA158">
        <f>COUNTIFS($H$4:$H$1201,Tabla213[[#Headers],[NO ID]], $G$4:$G$1201,Tabla213[[#This Row],[Organo]], $B$4:$B$1201,M158)</f>
        <v>0</v>
      </c>
      <c r="AB158">
        <f>COUNTIFS($H$4:$H$1201,Tabla213[[#Headers],[Trichoderma]], $G$4:$G$1201,Tabla213[[#This Row],[Organo]], $B$4:$B$1201,M158)</f>
        <v>0</v>
      </c>
      <c r="AC158">
        <f>COUNTIFS($H$4:$H$1201,Tabla213[[#Headers],[Rizophus]], $G$4:$G$1201,Tabla213[[#This Row],[Organo]], $B$4:$B$1201,M158)</f>
        <v>0</v>
      </c>
      <c r="AD158">
        <f>COUNTIFS($H$4:$H$1201,Tabla213[[#Headers],[FALTANTES]], $G$4:$G$1201,Tabla213[[#This Row],[Organo]], $B$4:$B$1201,M158)</f>
        <v>0</v>
      </c>
      <c r="AF158">
        <f t="shared" ref="AF158" si="156">SUM(Q157:AD158)</f>
        <v>9</v>
      </c>
      <c r="AG158">
        <f>COUNTIF($B$5:$B$1201, Tabla213[[#This Row],[Num. Parcela]])</f>
        <v>9</v>
      </c>
      <c r="AH158" t="b">
        <f t="shared" ref="AH158" si="157">IF(AF158=AG158, TRUE)</f>
        <v>1</v>
      </c>
      <c r="AK158">
        <v>55</v>
      </c>
      <c r="AL158" t="s">
        <v>43</v>
      </c>
      <c r="AM158" t="s">
        <v>116</v>
      </c>
      <c r="AN158" t="s">
        <v>476</v>
      </c>
    </row>
    <row r="159" spans="1:40" x14ac:dyDescent="0.2">
      <c r="A159" s="7">
        <v>155</v>
      </c>
      <c r="B159" s="7">
        <v>5.0999999999999996</v>
      </c>
      <c r="C159" s="1" t="str">
        <f t="shared" si="130"/>
        <v>CIRILLO 2</v>
      </c>
      <c r="D159" s="7" t="s">
        <v>127</v>
      </c>
      <c r="E159" s="1" t="str">
        <f t="shared" si="131"/>
        <v>SAYULA</v>
      </c>
      <c r="F159" s="7">
        <v>1</v>
      </c>
      <c r="G159" s="7" t="s">
        <v>477</v>
      </c>
      <c r="H159" s="7" t="s">
        <v>149</v>
      </c>
      <c r="I159" s="7" t="s">
        <v>480</v>
      </c>
      <c r="J159" s="7">
        <v>155</v>
      </c>
      <c r="K159" s="19"/>
      <c r="M159">
        <v>56.1</v>
      </c>
      <c r="N159" t="s">
        <v>696</v>
      </c>
      <c r="O159" t="s">
        <v>83</v>
      </c>
      <c r="P159" t="s">
        <v>476</v>
      </c>
      <c r="Q159">
        <f>COUNTIFS($H$4:$H$1201,Tabla213[[#Headers],[Neopestalotiopsis]], $G$4:$G$1201,Tabla213[[#This Row],[Organo]], $B$4:$B$1201,M159)</f>
        <v>0</v>
      </c>
      <c r="R159">
        <f>COUNTIFS($H$4:$H$1201,Tabla213[[#Headers],[Fusarium]], $G$4:$G$1201,Tabla213[[#This Row],[Organo]], $B$4:$B$1201,M159)</f>
        <v>0</v>
      </c>
      <c r="S159">
        <f>COUNTIFS($H$4:$H$1201,Tabla213[[#Headers],[Cylindrocarpon]], $G$4:$G$1201,Tabla213[[#This Row],[Organo]], $B$4:$B$1201,M159)</f>
        <v>0</v>
      </c>
      <c r="T159">
        <f>COUNTIFS($H$4:$H$1201,Tabla213[[#Headers],[Macrophomina]], $G$4:$G$1201,Tabla213[[#This Row],[Organo]], $B$4:$B$1201,M159)</f>
        <v>0</v>
      </c>
      <c r="U159">
        <f>COUNTIFS($H$4:$H$1201,Tabla213[[#Headers],[Rhizoctonia]], $G$4:$G$1201,Tabla213[[#This Row],[Organo]], $B$4:$B$1201,M159)</f>
        <v>0</v>
      </c>
      <c r="V159">
        <v>0</v>
      </c>
      <c r="W159">
        <f>COUNTIFS($H$4:$H$1201,Tabla213[[#Headers],[Alternaria]], $G$4:$G$1201,Tabla213[[#This Row],[Organo]], $B$4:$B$1201,M159)</f>
        <v>0</v>
      </c>
      <c r="X159">
        <f>COUNTIFS($H$4:$H$1201,Tabla213[[#Headers],[Botrytis]], $G$4:$G$1201,Tabla213[[#This Row],[Organo]], $B$4:$B$1201,M159)</f>
        <v>0</v>
      </c>
      <c r="Y159">
        <f>COUNTIFS($H$4:$H$1201,Tabla213[[#Headers],[Colletotrichum]], $G$4:$G$1201,Tabla213[[#This Row],[Organo]], $B$4:$B$1201,M159)</f>
        <v>0</v>
      </c>
      <c r="Z159">
        <f>COUNTIFS($H$4:$H$1201,Tabla213[[#Headers],[Aspergillus]], $G$4:$G$1201,Tabla213[[#This Row],[Organo]], $B$4:$B$1201,M159)</f>
        <v>0</v>
      </c>
      <c r="AA159">
        <f>COUNTIFS($H$4:$H$1201,Tabla213[[#Headers],[NO ID]], $G$4:$G$1201,Tabla213[[#This Row],[Organo]], $B$4:$B$1201,M159)</f>
        <v>0</v>
      </c>
      <c r="AB159">
        <f>COUNTIFS($H$4:$H$1201,Tabla213[[#Headers],[Trichoderma]], $G$4:$G$1201,Tabla213[[#This Row],[Organo]], $B$4:$B$1201,M159)</f>
        <v>0</v>
      </c>
      <c r="AC159">
        <f>COUNTIFS($H$4:$H$1201,Tabla213[[#Headers],[Rizophus]], $G$4:$G$1201,Tabla213[[#This Row],[Organo]], $B$4:$B$1201,M159)</f>
        <v>0</v>
      </c>
      <c r="AD159">
        <f>COUNTIFS($H$4:$H$1201,Tabla213[[#Headers],[FALTANTES]], $G$4:$G$1201,Tabla213[[#This Row],[Organo]], $B$4:$B$1201,M159)</f>
        <v>0</v>
      </c>
      <c r="AK159">
        <v>56.1</v>
      </c>
      <c r="AL159" t="s">
        <v>44</v>
      </c>
      <c r="AM159" t="s">
        <v>83</v>
      </c>
      <c r="AN159" t="s">
        <v>477</v>
      </c>
    </row>
    <row r="160" spans="1:40" x14ac:dyDescent="0.2">
      <c r="A160" s="7">
        <v>156</v>
      </c>
      <c r="B160" s="7">
        <v>5.0999999999999996</v>
      </c>
      <c r="C160" s="1" t="str">
        <f t="shared" si="130"/>
        <v>CIRILLO 2</v>
      </c>
      <c r="D160" s="7" t="s">
        <v>127</v>
      </c>
      <c r="E160" s="1" t="str">
        <f t="shared" si="131"/>
        <v>SAYULA</v>
      </c>
      <c r="F160" s="7">
        <v>1</v>
      </c>
      <c r="G160" s="7" t="s">
        <v>477</v>
      </c>
      <c r="H160" s="7" t="s">
        <v>149</v>
      </c>
      <c r="I160" s="7" t="s">
        <v>484</v>
      </c>
      <c r="J160" s="7">
        <v>156</v>
      </c>
      <c r="K160" s="19" t="s">
        <v>638</v>
      </c>
      <c r="M160">
        <v>56.1</v>
      </c>
      <c r="N160" t="s">
        <v>696</v>
      </c>
      <c r="O160" t="s">
        <v>83</v>
      </c>
      <c r="P160" t="s">
        <v>477</v>
      </c>
      <c r="Q160">
        <f>COUNTIFS($H$4:$H$1201,Tabla213[[#Headers],[Neopestalotiopsis]], $G$4:$G$1201,Tabla213[[#This Row],[Organo]], $B$4:$B$1201,M160)</f>
        <v>2</v>
      </c>
      <c r="R160">
        <f>COUNTIFS($H$4:$H$1201,Tabla213[[#Headers],[Fusarium]], $G$4:$G$1201,Tabla213[[#This Row],[Organo]], $B$4:$B$1201,M160)</f>
        <v>0</v>
      </c>
      <c r="S160">
        <f>COUNTIFS($H$4:$H$1201,Tabla213[[#Headers],[Cylindrocarpon]], $G$4:$G$1201,Tabla213[[#This Row],[Organo]], $B$4:$B$1201,M160)</f>
        <v>0</v>
      </c>
      <c r="T160">
        <f>COUNTIFS($H$4:$H$1201,Tabla213[[#Headers],[Macrophomina]], $G$4:$G$1201,Tabla213[[#This Row],[Organo]], $B$4:$B$1201,M160)</f>
        <v>0</v>
      </c>
      <c r="U160">
        <f>COUNTIFS($H$4:$H$1201,Tabla213[[#Headers],[Rhizoctonia]], $G$4:$G$1201,Tabla213[[#This Row],[Organo]], $B$4:$B$1201,M160)</f>
        <v>0</v>
      </c>
      <c r="V160">
        <v>0</v>
      </c>
      <c r="W160">
        <f>COUNTIFS($H$4:$H$1201,Tabla213[[#Headers],[Alternaria]], $G$4:$G$1201,Tabla213[[#This Row],[Organo]], $B$4:$B$1201,M160)</f>
        <v>0</v>
      </c>
      <c r="X160">
        <f>COUNTIFS($H$4:$H$1201,Tabla213[[#Headers],[Botrytis]], $G$4:$G$1201,Tabla213[[#This Row],[Organo]], $B$4:$B$1201,M160)</f>
        <v>0</v>
      </c>
      <c r="Y160">
        <f>COUNTIFS($H$4:$H$1201,Tabla213[[#Headers],[Colletotrichum]], $G$4:$G$1201,Tabla213[[#This Row],[Organo]], $B$4:$B$1201,M160)</f>
        <v>0</v>
      </c>
      <c r="Z160">
        <f>COUNTIFS($H$4:$H$1201,Tabla213[[#Headers],[Aspergillus]], $G$4:$G$1201,Tabla213[[#This Row],[Organo]], $B$4:$B$1201,M160)</f>
        <v>0</v>
      </c>
      <c r="AA160">
        <f>COUNTIFS($H$4:$H$1201,Tabla213[[#Headers],[NO ID]], $G$4:$G$1201,Tabla213[[#This Row],[Organo]], $B$4:$B$1201,M160)</f>
        <v>0</v>
      </c>
      <c r="AB160">
        <f>COUNTIFS($H$4:$H$1201,Tabla213[[#Headers],[Trichoderma]], $G$4:$G$1201,Tabla213[[#This Row],[Organo]], $B$4:$B$1201,M160)</f>
        <v>0</v>
      </c>
      <c r="AC160">
        <f>COUNTIFS($H$4:$H$1201,Tabla213[[#Headers],[Rizophus]], $G$4:$G$1201,Tabla213[[#This Row],[Organo]], $B$4:$B$1201,M160)</f>
        <v>0</v>
      </c>
      <c r="AD160">
        <f>COUNTIFS($H$4:$H$1201,Tabla213[[#Headers],[FALTANTES]], $G$4:$G$1201,Tabla213[[#This Row],[Organo]], $B$4:$B$1201,M160)</f>
        <v>0</v>
      </c>
      <c r="AF160">
        <f t="shared" ref="AF160" si="158">SUM(Q159:AD160)</f>
        <v>2</v>
      </c>
      <c r="AG160">
        <f>COUNTIF($B$5:$B$1201, Tabla213[[#This Row],[Num. Parcela]])</f>
        <v>2</v>
      </c>
      <c r="AH160" t="b">
        <f t="shared" ref="AH160" si="159">IF(AF160=AG160, TRUE)</f>
        <v>1</v>
      </c>
      <c r="AK160">
        <v>56.1</v>
      </c>
      <c r="AL160" t="s">
        <v>44</v>
      </c>
      <c r="AM160" t="s">
        <v>83</v>
      </c>
      <c r="AN160" t="s">
        <v>476</v>
      </c>
    </row>
    <row r="161" spans="1:40" x14ac:dyDescent="0.2">
      <c r="A161" s="7">
        <v>157</v>
      </c>
      <c r="B161" s="7">
        <v>5.0999999999999996</v>
      </c>
      <c r="C161" s="1" t="str">
        <f t="shared" si="130"/>
        <v>CIRILLO 2</v>
      </c>
      <c r="D161" s="7" t="s">
        <v>127</v>
      </c>
      <c r="E161" s="1" t="str">
        <f t="shared" si="131"/>
        <v>SAYULA</v>
      </c>
      <c r="F161" s="7">
        <v>2</v>
      </c>
      <c r="G161" s="7" t="s">
        <v>477</v>
      </c>
      <c r="H161" s="7" t="s">
        <v>471</v>
      </c>
      <c r="I161" s="7" t="s">
        <v>471</v>
      </c>
      <c r="J161" s="7">
        <v>157</v>
      </c>
      <c r="K161" s="19" t="s">
        <v>638</v>
      </c>
      <c r="L161">
        <v>1</v>
      </c>
      <c r="M161">
        <v>56.2</v>
      </c>
      <c r="N161" t="s">
        <v>697</v>
      </c>
      <c r="O161" t="s">
        <v>83</v>
      </c>
      <c r="P161" t="s">
        <v>476</v>
      </c>
      <c r="Q161">
        <f>COUNTIFS($H$4:$H$1201,Tabla213[[#Headers],[Neopestalotiopsis]], $G$4:$G$1201,Tabla213[[#This Row],[Organo]], $B$4:$B$1201,M161)</f>
        <v>0</v>
      </c>
      <c r="R161">
        <f>COUNTIFS($H$4:$H$1201,Tabla213[[#Headers],[Fusarium]], $G$4:$G$1201,Tabla213[[#This Row],[Organo]], $B$4:$B$1201,M161)</f>
        <v>0</v>
      </c>
      <c r="S161">
        <f>COUNTIFS($H$4:$H$1201,Tabla213[[#Headers],[Cylindrocarpon]], $G$4:$G$1201,Tabla213[[#This Row],[Organo]], $B$4:$B$1201,M161)</f>
        <v>0</v>
      </c>
      <c r="T161">
        <f>COUNTIFS($H$4:$H$1201,Tabla213[[#Headers],[Macrophomina]], $G$4:$G$1201,Tabla213[[#This Row],[Organo]], $B$4:$B$1201,M161)</f>
        <v>0</v>
      </c>
      <c r="U161">
        <f>COUNTIFS($H$4:$H$1201,Tabla213[[#Headers],[Rhizoctonia]], $G$4:$G$1201,Tabla213[[#This Row],[Organo]], $B$4:$B$1201,M161)</f>
        <v>0</v>
      </c>
      <c r="V161">
        <v>0</v>
      </c>
      <c r="W161">
        <f>COUNTIFS($H$4:$H$1201,Tabla213[[#Headers],[Alternaria]], $G$4:$G$1201,Tabla213[[#This Row],[Organo]], $B$4:$B$1201,M161)</f>
        <v>0</v>
      </c>
      <c r="X161">
        <f>COUNTIFS($H$4:$H$1201,Tabla213[[#Headers],[Botrytis]], $G$4:$G$1201,Tabla213[[#This Row],[Organo]], $B$4:$B$1201,M161)</f>
        <v>0</v>
      </c>
      <c r="Y161">
        <f>COUNTIFS($H$4:$H$1201,Tabla213[[#Headers],[Colletotrichum]], $G$4:$G$1201,Tabla213[[#This Row],[Organo]], $B$4:$B$1201,M161)</f>
        <v>0</v>
      </c>
      <c r="Z161">
        <f>COUNTIFS($H$4:$H$1201,Tabla213[[#Headers],[Aspergillus]], $G$4:$G$1201,Tabla213[[#This Row],[Organo]], $B$4:$B$1201,M161)</f>
        <v>0</v>
      </c>
      <c r="AA161">
        <f>COUNTIFS($H$4:$H$1201,Tabla213[[#Headers],[NO ID]], $G$4:$G$1201,Tabla213[[#This Row],[Organo]], $B$4:$B$1201,M161)</f>
        <v>0</v>
      </c>
      <c r="AB161">
        <f>COUNTIFS($H$4:$H$1201,Tabla213[[#Headers],[Trichoderma]], $G$4:$G$1201,Tabla213[[#This Row],[Organo]], $B$4:$B$1201,M161)</f>
        <v>0</v>
      </c>
      <c r="AC161">
        <f>COUNTIFS($H$4:$H$1201,Tabla213[[#Headers],[Rizophus]], $G$4:$G$1201,Tabla213[[#This Row],[Organo]], $B$4:$B$1201,M161)</f>
        <v>0</v>
      </c>
      <c r="AD161">
        <f>COUNTIFS($H$4:$H$1201,Tabla213[[#Headers],[FALTANTES]], $G$4:$G$1201,Tabla213[[#This Row],[Organo]], $B$4:$B$1201,M161)</f>
        <v>0</v>
      </c>
      <c r="AK161">
        <v>56.2</v>
      </c>
      <c r="AL161" t="s">
        <v>44</v>
      </c>
      <c r="AM161" t="s">
        <v>83</v>
      </c>
      <c r="AN161" t="s">
        <v>477</v>
      </c>
    </row>
    <row r="162" spans="1:40" x14ac:dyDescent="0.2">
      <c r="A162" s="7">
        <v>158</v>
      </c>
      <c r="B162" s="7">
        <v>5.0999999999999996</v>
      </c>
      <c r="C162" s="1" t="str">
        <f t="shared" si="130"/>
        <v>CIRILLO 2</v>
      </c>
      <c r="D162" s="7" t="s">
        <v>127</v>
      </c>
      <c r="E162" s="1" t="str">
        <f t="shared" si="131"/>
        <v>SAYULA</v>
      </c>
      <c r="F162" s="7">
        <v>2</v>
      </c>
      <c r="G162" s="7" t="s">
        <v>477</v>
      </c>
      <c r="H162" s="7" t="s">
        <v>149</v>
      </c>
      <c r="I162" s="8" t="s">
        <v>478</v>
      </c>
      <c r="J162" s="8">
        <v>158</v>
      </c>
      <c r="K162" s="7"/>
      <c r="M162">
        <v>56.2</v>
      </c>
      <c r="N162" t="s">
        <v>697</v>
      </c>
      <c r="O162" t="s">
        <v>83</v>
      </c>
      <c r="P162" t="s">
        <v>477</v>
      </c>
      <c r="Q162">
        <f>COUNTIFS($H$4:$H$1201,Tabla213[[#Headers],[Neopestalotiopsis]], $G$4:$G$1201,Tabla213[[#This Row],[Organo]], $B$4:$B$1201,M162)</f>
        <v>0</v>
      </c>
      <c r="R162">
        <f>COUNTIFS($H$4:$H$1201,Tabla213[[#Headers],[Fusarium]], $G$4:$G$1201,Tabla213[[#This Row],[Organo]], $B$4:$B$1201,M162)</f>
        <v>0</v>
      </c>
      <c r="S162">
        <f>COUNTIFS($H$4:$H$1201,Tabla213[[#Headers],[Cylindrocarpon]], $G$4:$G$1201,Tabla213[[#This Row],[Organo]], $B$4:$B$1201,M162)</f>
        <v>0</v>
      </c>
      <c r="T162">
        <f>COUNTIFS($H$4:$H$1201,Tabla213[[#Headers],[Macrophomina]], $G$4:$G$1201,Tabla213[[#This Row],[Organo]], $B$4:$B$1201,M162)</f>
        <v>0</v>
      </c>
      <c r="U162">
        <f>COUNTIFS($H$4:$H$1201,Tabla213[[#Headers],[Rhizoctonia]], $G$4:$G$1201,Tabla213[[#This Row],[Organo]], $B$4:$B$1201,M162)</f>
        <v>0</v>
      </c>
      <c r="V162">
        <v>0</v>
      </c>
      <c r="W162">
        <f>COUNTIFS($H$4:$H$1201,Tabla213[[#Headers],[Alternaria]], $G$4:$G$1201,Tabla213[[#This Row],[Organo]], $B$4:$B$1201,M162)</f>
        <v>0</v>
      </c>
      <c r="X162">
        <f>COUNTIFS($H$4:$H$1201,Tabla213[[#Headers],[Botrytis]], $G$4:$G$1201,Tabla213[[#This Row],[Organo]], $B$4:$B$1201,M162)</f>
        <v>0</v>
      </c>
      <c r="Y162">
        <f>COUNTIFS($H$4:$H$1201,Tabla213[[#Headers],[Colletotrichum]], $G$4:$G$1201,Tabla213[[#This Row],[Organo]], $B$4:$B$1201,M162)</f>
        <v>0</v>
      </c>
      <c r="Z162">
        <f>COUNTIFS($H$4:$H$1201,Tabla213[[#Headers],[Aspergillus]], $G$4:$G$1201,Tabla213[[#This Row],[Organo]], $B$4:$B$1201,M162)</f>
        <v>0</v>
      </c>
      <c r="AA162">
        <f>COUNTIFS($H$4:$H$1201,Tabla213[[#Headers],[NO ID]], $G$4:$G$1201,Tabla213[[#This Row],[Organo]], $B$4:$B$1201,M162)</f>
        <v>0</v>
      </c>
      <c r="AB162">
        <f>COUNTIFS($H$4:$H$1201,Tabla213[[#Headers],[Trichoderma]], $G$4:$G$1201,Tabla213[[#This Row],[Organo]], $B$4:$B$1201,M162)</f>
        <v>0</v>
      </c>
      <c r="AC162">
        <f>COUNTIFS($H$4:$H$1201,Tabla213[[#Headers],[Rizophus]], $G$4:$G$1201,Tabla213[[#This Row],[Organo]], $B$4:$B$1201,M162)</f>
        <v>0</v>
      </c>
      <c r="AD162">
        <f>COUNTIFS($H$4:$H$1201,Tabla213[[#Headers],[FALTANTES]], $G$4:$G$1201,Tabla213[[#This Row],[Organo]], $B$4:$B$1201,M162)</f>
        <v>0</v>
      </c>
      <c r="AF162">
        <f t="shared" ref="AF162" si="160">SUM(Q161:AD162)</f>
        <v>0</v>
      </c>
      <c r="AG162">
        <f>COUNTIF($B$5:$B$1201, Tabla213[[#This Row],[Num. Parcela]])</f>
        <v>0</v>
      </c>
      <c r="AH162" t="b">
        <f t="shared" ref="AH162" si="161">IF(AF162=AG162, TRUE)</f>
        <v>1</v>
      </c>
      <c r="AK162">
        <v>56.2</v>
      </c>
      <c r="AL162" t="s">
        <v>44</v>
      </c>
      <c r="AM162" t="s">
        <v>83</v>
      </c>
      <c r="AN162" t="s">
        <v>476</v>
      </c>
    </row>
    <row r="163" spans="1:40" x14ac:dyDescent="0.2">
      <c r="A163" s="7">
        <v>159</v>
      </c>
      <c r="B163" s="7">
        <v>5.0999999999999996</v>
      </c>
      <c r="C163" s="1" t="str">
        <f t="shared" si="130"/>
        <v>CIRILLO 2</v>
      </c>
      <c r="D163" s="7" t="s">
        <v>127</v>
      </c>
      <c r="E163" s="1" t="str">
        <f t="shared" si="131"/>
        <v>SAYULA</v>
      </c>
      <c r="F163" s="7">
        <v>2</v>
      </c>
      <c r="G163" s="7" t="s">
        <v>477</v>
      </c>
      <c r="H163" s="7" t="s">
        <v>474</v>
      </c>
      <c r="I163" s="11" t="s">
        <v>474</v>
      </c>
      <c r="J163" s="9">
        <v>159</v>
      </c>
      <c r="K163" s="7"/>
      <c r="M163">
        <v>57</v>
      </c>
      <c r="N163" t="s">
        <v>45</v>
      </c>
      <c r="O163" t="s">
        <v>130</v>
      </c>
      <c r="P163" t="s">
        <v>476</v>
      </c>
      <c r="Q163">
        <f>COUNTIFS($H$4:$H$1201,Tabla213[[#Headers],[Neopestalotiopsis]], $G$4:$G$1201,Tabla213[[#This Row],[Organo]], $B$4:$B$1201,M163)</f>
        <v>1</v>
      </c>
      <c r="R163">
        <f>COUNTIFS($H$4:$H$1201,Tabla213[[#Headers],[Fusarium]], $G$4:$G$1201,Tabla213[[#This Row],[Organo]], $B$4:$B$1201,M163)</f>
        <v>1</v>
      </c>
      <c r="S163">
        <f>COUNTIFS($H$4:$H$1201,Tabla213[[#Headers],[Cylindrocarpon]], $G$4:$G$1201,Tabla213[[#This Row],[Organo]], $B$4:$B$1201,M163)</f>
        <v>0</v>
      </c>
      <c r="T163">
        <f>COUNTIFS($H$4:$H$1201,Tabla213[[#Headers],[Macrophomina]], $G$4:$G$1201,Tabla213[[#This Row],[Organo]], $B$4:$B$1201,M163)</f>
        <v>0</v>
      </c>
      <c r="U163">
        <f>COUNTIFS($H$4:$H$1201,Tabla213[[#Headers],[Rhizoctonia]], $G$4:$G$1201,Tabla213[[#This Row],[Organo]], $B$4:$B$1201,M163)</f>
        <v>0</v>
      </c>
      <c r="V163">
        <v>0</v>
      </c>
      <c r="W163">
        <f>COUNTIFS($H$4:$H$1201,Tabla213[[#Headers],[Alternaria]], $G$4:$G$1201,Tabla213[[#This Row],[Organo]], $B$4:$B$1201,M163)</f>
        <v>0</v>
      </c>
      <c r="X163">
        <f>COUNTIFS($H$4:$H$1201,Tabla213[[#Headers],[Botrytis]], $G$4:$G$1201,Tabla213[[#This Row],[Organo]], $B$4:$B$1201,M163)</f>
        <v>0</v>
      </c>
      <c r="Y163">
        <f>COUNTIFS($H$4:$H$1201,Tabla213[[#Headers],[Colletotrichum]], $G$4:$G$1201,Tabla213[[#This Row],[Organo]], $B$4:$B$1201,M163)</f>
        <v>0</v>
      </c>
      <c r="Z163">
        <f>COUNTIFS($H$4:$H$1201,Tabla213[[#Headers],[Aspergillus]], $G$4:$G$1201,Tabla213[[#This Row],[Organo]], $B$4:$B$1201,M163)</f>
        <v>0</v>
      </c>
      <c r="AA163">
        <f>COUNTIFS($H$4:$H$1201,Tabla213[[#Headers],[NO ID]], $G$4:$G$1201,Tabla213[[#This Row],[Organo]], $B$4:$B$1201,M163)</f>
        <v>0</v>
      </c>
      <c r="AB163">
        <f>COUNTIFS($H$4:$H$1201,Tabla213[[#Headers],[Trichoderma]], $G$4:$G$1201,Tabla213[[#This Row],[Organo]], $B$4:$B$1201,M163)</f>
        <v>0</v>
      </c>
      <c r="AC163">
        <f>COUNTIFS($H$4:$H$1201,Tabla213[[#Headers],[Rizophus]], $G$4:$G$1201,Tabla213[[#This Row],[Organo]], $B$4:$B$1201,M163)</f>
        <v>0</v>
      </c>
      <c r="AD163">
        <f>COUNTIFS($H$4:$H$1201,Tabla213[[#Headers],[FALTANTES]], $G$4:$G$1201,Tabla213[[#This Row],[Organo]], $B$4:$B$1201,M163)</f>
        <v>0</v>
      </c>
      <c r="AK163">
        <v>57</v>
      </c>
      <c r="AL163" t="s">
        <v>45</v>
      </c>
      <c r="AM163" t="s">
        <v>130</v>
      </c>
      <c r="AN163" t="s">
        <v>477</v>
      </c>
    </row>
    <row r="164" spans="1:40" x14ac:dyDescent="0.2">
      <c r="A164" s="7">
        <v>160</v>
      </c>
      <c r="B164" s="7">
        <v>5.2</v>
      </c>
      <c r="C164" s="1" t="str">
        <f t="shared" si="130"/>
        <v>CIRILLO 1</v>
      </c>
      <c r="D164" s="7" t="s">
        <v>127</v>
      </c>
      <c r="E164" s="1" t="str">
        <f t="shared" si="131"/>
        <v>SENSATION</v>
      </c>
      <c r="F164" s="7">
        <v>1</v>
      </c>
      <c r="G164" s="7" t="s">
        <v>476</v>
      </c>
      <c r="H164" s="7" t="s">
        <v>155</v>
      </c>
      <c r="I164" s="7" t="s">
        <v>155</v>
      </c>
      <c r="J164" s="7">
        <v>160</v>
      </c>
      <c r="K164" s="19" t="s">
        <v>638</v>
      </c>
      <c r="M164">
        <v>57</v>
      </c>
      <c r="N164" t="s">
        <v>45</v>
      </c>
      <c r="O164" t="s">
        <v>130</v>
      </c>
      <c r="P164" t="s">
        <v>477</v>
      </c>
      <c r="Q164">
        <f>COUNTIFS($H$4:$H$1201,Tabla213[[#Headers],[Neopestalotiopsis]], $G$4:$G$1201,Tabla213[[#This Row],[Organo]], $B$4:$B$1201,M164)</f>
        <v>4</v>
      </c>
      <c r="R164">
        <f>COUNTIFS($H$4:$H$1201,Tabla213[[#Headers],[Fusarium]], $G$4:$G$1201,Tabla213[[#This Row],[Organo]], $B$4:$B$1201,M164)</f>
        <v>0</v>
      </c>
      <c r="S164">
        <f>COUNTIFS($H$4:$H$1201,Tabla213[[#Headers],[Cylindrocarpon]], $G$4:$G$1201,Tabla213[[#This Row],[Organo]], $B$4:$B$1201,M164)</f>
        <v>0</v>
      </c>
      <c r="T164">
        <f>COUNTIFS($H$4:$H$1201,Tabla213[[#Headers],[Macrophomina]], $G$4:$G$1201,Tabla213[[#This Row],[Organo]], $B$4:$B$1201,M164)</f>
        <v>0</v>
      </c>
      <c r="U164">
        <f>COUNTIFS($H$4:$H$1201,Tabla213[[#Headers],[Rhizoctonia]], $G$4:$G$1201,Tabla213[[#This Row],[Organo]], $B$4:$B$1201,M164)</f>
        <v>0</v>
      </c>
      <c r="V164">
        <v>0</v>
      </c>
      <c r="W164">
        <f>COUNTIFS($H$4:$H$1201,Tabla213[[#Headers],[Alternaria]], $G$4:$G$1201,Tabla213[[#This Row],[Organo]], $B$4:$B$1201,M164)</f>
        <v>0</v>
      </c>
      <c r="X164">
        <f>COUNTIFS($H$4:$H$1201,Tabla213[[#Headers],[Botrytis]], $G$4:$G$1201,Tabla213[[#This Row],[Organo]], $B$4:$B$1201,M164)</f>
        <v>0</v>
      </c>
      <c r="Y164">
        <f>COUNTIFS($H$4:$H$1201,Tabla213[[#Headers],[Colletotrichum]], $G$4:$G$1201,Tabla213[[#This Row],[Organo]], $B$4:$B$1201,M164)</f>
        <v>0</v>
      </c>
      <c r="Z164">
        <f>COUNTIFS($H$4:$H$1201,Tabla213[[#Headers],[Aspergillus]], $G$4:$G$1201,Tabla213[[#This Row],[Organo]], $B$4:$B$1201,M164)</f>
        <v>0</v>
      </c>
      <c r="AA164">
        <f>COUNTIFS($H$4:$H$1201,Tabla213[[#Headers],[NO ID]], $G$4:$G$1201,Tabla213[[#This Row],[Organo]], $B$4:$B$1201,M164)</f>
        <v>0</v>
      </c>
      <c r="AB164">
        <f>COUNTIFS($H$4:$H$1201,Tabla213[[#Headers],[Trichoderma]], $G$4:$G$1201,Tabla213[[#This Row],[Organo]], $B$4:$B$1201,M164)</f>
        <v>0</v>
      </c>
      <c r="AC164">
        <f>COUNTIFS($H$4:$H$1201,Tabla213[[#Headers],[Rizophus]], $G$4:$G$1201,Tabla213[[#This Row],[Organo]], $B$4:$B$1201,M164)</f>
        <v>0</v>
      </c>
      <c r="AD164">
        <f>COUNTIFS($H$4:$H$1201,Tabla213[[#Headers],[FALTANTES]], $G$4:$G$1201,Tabla213[[#This Row],[Organo]], $B$4:$B$1201,M164)</f>
        <v>0</v>
      </c>
      <c r="AF164">
        <f t="shared" ref="AF164" si="162">SUM(Q163:AD164)</f>
        <v>6</v>
      </c>
      <c r="AG164">
        <f>COUNTIF($B$5:$B$1201, Tabla213[[#This Row],[Num. Parcela]])</f>
        <v>6</v>
      </c>
      <c r="AH164" t="b">
        <f t="shared" ref="AH164" si="163">IF(AF164=AG164, TRUE)</f>
        <v>1</v>
      </c>
      <c r="AK164">
        <v>57</v>
      </c>
      <c r="AL164" t="s">
        <v>45</v>
      </c>
      <c r="AM164" t="s">
        <v>130</v>
      </c>
      <c r="AN164" t="s">
        <v>476</v>
      </c>
    </row>
    <row r="165" spans="1:40" x14ac:dyDescent="0.2">
      <c r="A165" s="7">
        <v>161</v>
      </c>
      <c r="B165" s="7">
        <v>5.2</v>
      </c>
      <c r="C165" s="1" t="str">
        <f t="shared" si="130"/>
        <v>CIRILLO 1</v>
      </c>
      <c r="D165" s="7" t="s">
        <v>127</v>
      </c>
      <c r="E165" s="1" t="str">
        <f t="shared" si="131"/>
        <v>SENSATION</v>
      </c>
      <c r="F165" s="7">
        <v>1</v>
      </c>
      <c r="G165" s="7" t="s">
        <v>476</v>
      </c>
      <c r="H165" s="7" t="s">
        <v>155</v>
      </c>
      <c r="I165" s="7" t="s">
        <v>155</v>
      </c>
      <c r="J165" s="7">
        <v>161</v>
      </c>
      <c r="K165" s="7"/>
      <c r="M165">
        <v>58</v>
      </c>
      <c r="N165" t="s">
        <v>46</v>
      </c>
      <c r="O165" t="s">
        <v>111</v>
      </c>
      <c r="P165" t="s">
        <v>476</v>
      </c>
      <c r="Q165">
        <f>COUNTIFS($H$4:$H$1201,Tabla213[[#Headers],[Neopestalotiopsis]], $G$4:$G$1201,Tabla213[[#This Row],[Organo]], $B$4:$B$1201,M165)</f>
        <v>0</v>
      </c>
      <c r="R165">
        <f>COUNTIFS($H$4:$H$1201,Tabla213[[#Headers],[Fusarium]], $G$4:$G$1201,Tabla213[[#This Row],[Organo]], $B$4:$B$1201,M165)</f>
        <v>1</v>
      </c>
      <c r="S165">
        <f>COUNTIFS($H$4:$H$1201,Tabla213[[#Headers],[Cylindrocarpon]], $G$4:$G$1201,Tabla213[[#This Row],[Organo]], $B$4:$B$1201,M165)</f>
        <v>0</v>
      </c>
      <c r="T165">
        <f>COUNTIFS($H$4:$H$1201,Tabla213[[#Headers],[Macrophomina]], $G$4:$G$1201,Tabla213[[#This Row],[Organo]], $B$4:$B$1201,M165)</f>
        <v>0</v>
      </c>
      <c r="U165">
        <f>COUNTIFS($H$4:$H$1201,Tabla213[[#Headers],[Rhizoctonia]], $G$4:$G$1201,Tabla213[[#This Row],[Organo]], $B$4:$B$1201,M165)</f>
        <v>0</v>
      </c>
      <c r="V165">
        <v>0</v>
      </c>
      <c r="W165">
        <f>COUNTIFS($H$4:$H$1201,Tabla213[[#Headers],[Alternaria]], $G$4:$G$1201,Tabla213[[#This Row],[Organo]], $B$4:$B$1201,M165)</f>
        <v>0</v>
      </c>
      <c r="X165">
        <f>COUNTIFS($H$4:$H$1201,Tabla213[[#Headers],[Botrytis]], $G$4:$G$1201,Tabla213[[#This Row],[Organo]], $B$4:$B$1201,M165)</f>
        <v>0</v>
      </c>
      <c r="Y165">
        <f>COUNTIFS($H$4:$H$1201,Tabla213[[#Headers],[Colletotrichum]], $G$4:$G$1201,Tabla213[[#This Row],[Organo]], $B$4:$B$1201,M165)</f>
        <v>0</v>
      </c>
      <c r="Z165">
        <f>COUNTIFS($H$4:$H$1201,Tabla213[[#Headers],[Aspergillus]], $G$4:$G$1201,Tabla213[[#This Row],[Organo]], $B$4:$B$1201,M165)</f>
        <v>0</v>
      </c>
      <c r="AA165">
        <f>COUNTIFS($H$4:$H$1201,Tabla213[[#Headers],[NO ID]], $G$4:$G$1201,Tabla213[[#This Row],[Organo]], $B$4:$B$1201,M165)</f>
        <v>0</v>
      </c>
      <c r="AB165">
        <f>COUNTIFS($H$4:$H$1201,Tabla213[[#Headers],[Trichoderma]], $G$4:$G$1201,Tabla213[[#This Row],[Organo]], $B$4:$B$1201,M165)</f>
        <v>0</v>
      </c>
      <c r="AC165">
        <f>COUNTIFS($H$4:$H$1201,Tabla213[[#Headers],[Rizophus]], $G$4:$G$1201,Tabla213[[#This Row],[Organo]], $B$4:$B$1201,M165)</f>
        <v>0</v>
      </c>
      <c r="AD165">
        <f>COUNTIFS($H$4:$H$1201,Tabla213[[#Headers],[FALTANTES]], $G$4:$G$1201,Tabla213[[#This Row],[Organo]], $B$4:$B$1201,M165)</f>
        <v>0</v>
      </c>
      <c r="AK165">
        <v>58</v>
      </c>
      <c r="AL165" t="s">
        <v>46</v>
      </c>
      <c r="AM165" t="s">
        <v>111</v>
      </c>
      <c r="AN165" t="s">
        <v>477</v>
      </c>
    </row>
    <row r="166" spans="1:40" x14ac:dyDescent="0.2">
      <c r="A166" s="7">
        <v>162</v>
      </c>
      <c r="B166" s="7">
        <v>5.2</v>
      </c>
      <c r="C166" s="1" t="str">
        <f t="shared" si="130"/>
        <v>CIRILLO 1</v>
      </c>
      <c r="D166" s="7" t="s">
        <v>127</v>
      </c>
      <c r="E166" s="1" t="str">
        <f t="shared" si="131"/>
        <v>SENSATION</v>
      </c>
      <c r="F166" s="7">
        <v>1</v>
      </c>
      <c r="G166" s="7" t="s">
        <v>476</v>
      </c>
      <c r="H166" s="7" t="s">
        <v>155</v>
      </c>
      <c r="I166" s="7" t="s">
        <v>484</v>
      </c>
      <c r="J166" s="7">
        <v>162</v>
      </c>
      <c r="K166" s="19" t="s">
        <v>638</v>
      </c>
      <c r="M166">
        <v>58</v>
      </c>
      <c r="N166" t="s">
        <v>46</v>
      </c>
      <c r="O166" t="s">
        <v>111</v>
      </c>
      <c r="P166" t="s">
        <v>477</v>
      </c>
      <c r="Q166">
        <f>COUNTIFS($H$4:$H$1201,Tabla213[[#Headers],[Neopestalotiopsis]], $G$4:$G$1201,Tabla213[[#This Row],[Organo]], $B$4:$B$1201,M166)</f>
        <v>3</v>
      </c>
      <c r="R166">
        <f>COUNTIFS($H$4:$H$1201,Tabla213[[#Headers],[Fusarium]], $G$4:$G$1201,Tabla213[[#This Row],[Organo]], $B$4:$B$1201,M166)</f>
        <v>1</v>
      </c>
      <c r="S166">
        <f>COUNTIFS($H$4:$H$1201,Tabla213[[#Headers],[Cylindrocarpon]], $G$4:$G$1201,Tabla213[[#This Row],[Organo]], $B$4:$B$1201,M166)</f>
        <v>0</v>
      </c>
      <c r="T166">
        <f>COUNTIFS($H$4:$H$1201,Tabla213[[#Headers],[Macrophomina]], $G$4:$G$1201,Tabla213[[#This Row],[Organo]], $B$4:$B$1201,M166)</f>
        <v>0</v>
      </c>
      <c r="U166">
        <f>COUNTIFS($H$4:$H$1201,Tabla213[[#Headers],[Rhizoctonia]], $G$4:$G$1201,Tabla213[[#This Row],[Organo]], $B$4:$B$1201,M166)</f>
        <v>0</v>
      </c>
      <c r="V166">
        <v>0</v>
      </c>
      <c r="W166">
        <f>COUNTIFS($H$4:$H$1201,Tabla213[[#Headers],[Alternaria]], $G$4:$G$1201,Tabla213[[#This Row],[Organo]], $B$4:$B$1201,M166)</f>
        <v>0</v>
      </c>
      <c r="X166">
        <f>COUNTIFS($H$4:$H$1201,Tabla213[[#Headers],[Botrytis]], $G$4:$G$1201,Tabla213[[#This Row],[Organo]], $B$4:$B$1201,M166)</f>
        <v>0</v>
      </c>
      <c r="Y166">
        <f>COUNTIFS($H$4:$H$1201,Tabla213[[#Headers],[Colletotrichum]], $G$4:$G$1201,Tabla213[[#This Row],[Organo]], $B$4:$B$1201,M166)</f>
        <v>0</v>
      </c>
      <c r="Z166">
        <f>COUNTIFS($H$4:$H$1201,Tabla213[[#Headers],[Aspergillus]], $G$4:$G$1201,Tabla213[[#This Row],[Organo]], $B$4:$B$1201,M166)</f>
        <v>0</v>
      </c>
      <c r="AA166">
        <f>COUNTIFS($H$4:$H$1201,Tabla213[[#Headers],[NO ID]], $G$4:$G$1201,Tabla213[[#This Row],[Organo]], $B$4:$B$1201,M166)</f>
        <v>0</v>
      </c>
      <c r="AB166">
        <f>COUNTIFS($H$4:$H$1201,Tabla213[[#Headers],[Trichoderma]], $G$4:$G$1201,Tabla213[[#This Row],[Organo]], $B$4:$B$1201,M166)</f>
        <v>0</v>
      </c>
      <c r="AC166">
        <f>COUNTIFS($H$4:$H$1201,Tabla213[[#Headers],[Rizophus]], $G$4:$G$1201,Tabla213[[#This Row],[Organo]], $B$4:$B$1201,M166)</f>
        <v>0</v>
      </c>
      <c r="AD166">
        <f>COUNTIFS($H$4:$H$1201,Tabla213[[#Headers],[FALTANTES]], $G$4:$G$1201,Tabla213[[#This Row],[Organo]], $B$4:$B$1201,M166)</f>
        <v>0</v>
      </c>
      <c r="AF166">
        <f t="shared" ref="AF166" si="164">SUM(Q165:AD166)</f>
        <v>5</v>
      </c>
      <c r="AG166">
        <f>COUNTIF($B$5:$B$1201, Tabla213[[#This Row],[Num. Parcela]])</f>
        <v>5</v>
      </c>
      <c r="AH166" t="b">
        <f t="shared" ref="AH166" si="165">IF(AF166=AG166, TRUE)</f>
        <v>1</v>
      </c>
      <c r="AK166">
        <v>58</v>
      </c>
      <c r="AL166" t="s">
        <v>46</v>
      </c>
      <c r="AM166" t="s">
        <v>111</v>
      </c>
      <c r="AN166" t="s">
        <v>476</v>
      </c>
    </row>
    <row r="167" spans="1:40" x14ac:dyDescent="0.2">
      <c r="A167" s="7">
        <v>163</v>
      </c>
      <c r="B167" s="7">
        <v>5.2</v>
      </c>
      <c r="C167" s="1" t="str">
        <f t="shared" si="130"/>
        <v>CIRILLO 1</v>
      </c>
      <c r="D167" s="7" t="s">
        <v>127</v>
      </c>
      <c r="E167" s="1" t="str">
        <f t="shared" si="131"/>
        <v>SENSATION</v>
      </c>
      <c r="F167" s="7">
        <v>1</v>
      </c>
      <c r="G167" s="7" t="s">
        <v>477</v>
      </c>
      <c r="H167" s="7" t="s">
        <v>149</v>
      </c>
      <c r="I167" s="7" t="s">
        <v>480</v>
      </c>
      <c r="J167" s="7">
        <v>163</v>
      </c>
      <c r="K167" s="7"/>
      <c r="M167">
        <v>59</v>
      </c>
      <c r="N167" t="s">
        <v>47</v>
      </c>
      <c r="O167" t="s">
        <v>114</v>
      </c>
      <c r="P167" t="s">
        <v>476</v>
      </c>
      <c r="Q167">
        <f>COUNTIFS($H$4:$H$1201,Tabla213[[#Headers],[Neopestalotiopsis]], $G$4:$G$1201,Tabla213[[#This Row],[Organo]], $B$4:$B$1201,M167)</f>
        <v>4</v>
      </c>
      <c r="R167">
        <f>COUNTIFS($H$4:$H$1201,Tabla213[[#Headers],[Fusarium]], $G$4:$G$1201,Tabla213[[#This Row],[Organo]], $B$4:$B$1201,M167)</f>
        <v>1</v>
      </c>
      <c r="S167">
        <f>COUNTIFS($H$4:$H$1201,Tabla213[[#Headers],[Cylindrocarpon]], $G$4:$G$1201,Tabla213[[#This Row],[Organo]], $B$4:$B$1201,M167)</f>
        <v>0</v>
      </c>
      <c r="T167">
        <f>COUNTIFS($H$4:$H$1201,Tabla213[[#Headers],[Macrophomina]], $G$4:$G$1201,Tabla213[[#This Row],[Organo]], $B$4:$B$1201,M167)</f>
        <v>0</v>
      </c>
      <c r="U167">
        <f>COUNTIFS($H$4:$H$1201,Tabla213[[#Headers],[Rhizoctonia]], $G$4:$G$1201,Tabla213[[#This Row],[Organo]], $B$4:$B$1201,M167)</f>
        <v>0</v>
      </c>
      <c r="V167">
        <v>0</v>
      </c>
      <c r="W167">
        <f>COUNTIFS($H$4:$H$1201,Tabla213[[#Headers],[Alternaria]], $G$4:$G$1201,Tabla213[[#This Row],[Organo]], $B$4:$B$1201,M167)</f>
        <v>0</v>
      </c>
      <c r="X167">
        <f>COUNTIFS($H$4:$H$1201,Tabla213[[#Headers],[Botrytis]], $G$4:$G$1201,Tabla213[[#This Row],[Organo]], $B$4:$B$1201,M167)</f>
        <v>0</v>
      </c>
      <c r="Y167">
        <f>COUNTIFS($H$4:$H$1201,Tabla213[[#Headers],[Colletotrichum]], $G$4:$G$1201,Tabla213[[#This Row],[Organo]], $B$4:$B$1201,M167)</f>
        <v>0</v>
      </c>
      <c r="Z167">
        <f>COUNTIFS($H$4:$H$1201,Tabla213[[#Headers],[Aspergillus]], $G$4:$G$1201,Tabla213[[#This Row],[Organo]], $B$4:$B$1201,M167)</f>
        <v>0</v>
      </c>
      <c r="AA167">
        <f>COUNTIFS($H$4:$H$1201,Tabla213[[#Headers],[NO ID]], $G$4:$G$1201,Tabla213[[#This Row],[Organo]], $B$4:$B$1201,M167)</f>
        <v>0</v>
      </c>
      <c r="AB167">
        <f>COUNTIFS($H$4:$H$1201,Tabla213[[#Headers],[Trichoderma]], $G$4:$G$1201,Tabla213[[#This Row],[Organo]], $B$4:$B$1201,M167)</f>
        <v>0</v>
      </c>
      <c r="AC167">
        <f>COUNTIFS($H$4:$H$1201,Tabla213[[#Headers],[Rizophus]], $G$4:$G$1201,Tabla213[[#This Row],[Organo]], $B$4:$B$1201,M167)</f>
        <v>0</v>
      </c>
      <c r="AD167">
        <f>COUNTIFS($H$4:$H$1201,Tabla213[[#Headers],[FALTANTES]], $G$4:$G$1201,Tabla213[[#This Row],[Organo]], $B$4:$B$1201,M167)</f>
        <v>0</v>
      </c>
      <c r="AK167">
        <v>59</v>
      </c>
      <c r="AL167" t="s">
        <v>47</v>
      </c>
      <c r="AM167" t="s">
        <v>114</v>
      </c>
      <c r="AN167" t="s">
        <v>477</v>
      </c>
    </row>
    <row r="168" spans="1:40" x14ac:dyDescent="0.2">
      <c r="A168" s="7">
        <v>164</v>
      </c>
      <c r="B168" s="7">
        <v>5.2</v>
      </c>
      <c r="C168" s="1" t="str">
        <f t="shared" si="130"/>
        <v>CIRILLO 1</v>
      </c>
      <c r="D168" s="7" t="s">
        <v>127</v>
      </c>
      <c r="E168" s="1" t="str">
        <f t="shared" si="131"/>
        <v>SENSATION</v>
      </c>
      <c r="F168" s="7">
        <v>1</v>
      </c>
      <c r="G168" s="7" t="s">
        <v>477</v>
      </c>
      <c r="H168" s="7" t="s">
        <v>149</v>
      </c>
      <c r="I168" s="7" t="s">
        <v>480</v>
      </c>
      <c r="J168" s="7">
        <v>164</v>
      </c>
      <c r="K168" s="7"/>
      <c r="M168">
        <v>59</v>
      </c>
      <c r="N168" t="s">
        <v>47</v>
      </c>
      <c r="O168" t="s">
        <v>114</v>
      </c>
      <c r="P168" t="s">
        <v>477</v>
      </c>
      <c r="Q168">
        <f>COUNTIFS($H$4:$H$1201,Tabla213[[#Headers],[Neopestalotiopsis]], $G$4:$G$1201,Tabla213[[#This Row],[Organo]], $B$4:$B$1201,M168)</f>
        <v>1</v>
      </c>
      <c r="R168">
        <f>COUNTIFS($H$4:$H$1201,Tabla213[[#Headers],[Fusarium]], $G$4:$G$1201,Tabla213[[#This Row],[Organo]], $B$4:$B$1201,M168)</f>
        <v>2</v>
      </c>
      <c r="S168">
        <f>COUNTIFS($H$4:$H$1201,Tabla213[[#Headers],[Cylindrocarpon]], $G$4:$G$1201,Tabla213[[#This Row],[Organo]], $B$4:$B$1201,M168)</f>
        <v>0</v>
      </c>
      <c r="T168">
        <f>COUNTIFS($H$4:$H$1201,Tabla213[[#Headers],[Macrophomina]], $G$4:$G$1201,Tabla213[[#This Row],[Organo]], $B$4:$B$1201,M168)</f>
        <v>0</v>
      </c>
      <c r="U168">
        <f>COUNTIFS($H$4:$H$1201,Tabla213[[#Headers],[Rhizoctonia]], $G$4:$G$1201,Tabla213[[#This Row],[Organo]], $B$4:$B$1201,M168)</f>
        <v>0</v>
      </c>
      <c r="V168">
        <v>0</v>
      </c>
      <c r="W168">
        <f>COUNTIFS($H$4:$H$1201,Tabla213[[#Headers],[Alternaria]], $G$4:$G$1201,Tabla213[[#This Row],[Organo]], $B$4:$B$1201,M168)</f>
        <v>0</v>
      </c>
      <c r="X168">
        <f>COUNTIFS($H$4:$H$1201,Tabla213[[#Headers],[Botrytis]], $G$4:$G$1201,Tabla213[[#This Row],[Organo]], $B$4:$B$1201,M168)</f>
        <v>0</v>
      </c>
      <c r="Y168">
        <f>COUNTIFS($H$4:$H$1201,Tabla213[[#Headers],[Colletotrichum]], $G$4:$G$1201,Tabla213[[#This Row],[Organo]], $B$4:$B$1201,M168)</f>
        <v>0</v>
      </c>
      <c r="Z168">
        <f>COUNTIFS($H$4:$H$1201,Tabla213[[#Headers],[Aspergillus]], $G$4:$G$1201,Tabla213[[#This Row],[Organo]], $B$4:$B$1201,M168)</f>
        <v>0</v>
      </c>
      <c r="AA168">
        <f>COUNTIFS($H$4:$H$1201,Tabla213[[#Headers],[NO ID]], $G$4:$G$1201,Tabla213[[#This Row],[Organo]], $B$4:$B$1201,M168)</f>
        <v>0</v>
      </c>
      <c r="AB168">
        <f>COUNTIFS($H$4:$H$1201,Tabla213[[#Headers],[Trichoderma]], $G$4:$G$1201,Tabla213[[#This Row],[Organo]], $B$4:$B$1201,M168)</f>
        <v>0</v>
      </c>
      <c r="AC168">
        <f>COUNTIFS($H$4:$H$1201,Tabla213[[#Headers],[Rizophus]], $G$4:$G$1201,Tabla213[[#This Row],[Organo]], $B$4:$B$1201,M168)</f>
        <v>0</v>
      </c>
      <c r="AD168">
        <f>COUNTIFS($H$4:$H$1201,Tabla213[[#Headers],[FALTANTES]], $G$4:$G$1201,Tabla213[[#This Row],[Organo]], $B$4:$B$1201,M168)</f>
        <v>0</v>
      </c>
      <c r="AF168">
        <f t="shared" ref="AF168" si="166">SUM(Q167:AD168)</f>
        <v>8</v>
      </c>
      <c r="AG168">
        <f>COUNTIF($B$5:$B$1201, Tabla213[[#This Row],[Num. Parcela]])</f>
        <v>8</v>
      </c>
      <c r="AH168" t="b">
        <f t="shared" ref="AH168" si="167">IF(AF168=AG168, TRUE)</f>
        <v>1</v>
      </c>
      <c r="AK168">
        <v>59</v>
      </c>
      <c r="AL168" t="s">
        <v>47</v>
      </c>
      <c r="AM168" t="s">
        <v>114</v>
      </c>
      <c r="AN168" t="s">
        <v>476</v>
      </c>
    </row>
    <row r="169" spans="1:40" x14ac:dyDescent="0.2">
      <c r="A169" s="7">
        <v>165</v>
      </c>
      <c r="B169" s="7">
        <v>6</v>
      </c>
      <c r="C169" s="1" t="str">
        <f t="shared" si="130"/>
        <v>PANTANO MEDIO</v>
      </c>
      <c r="D169" s="7" t="s">
        <v>108</v>
      </c>
      <c r="E169" s="1" t="str">
        <f t="shared" si="131"/>
        <v>FORTUNA</v>
      </c>
      <c r="F169" s="7">
        <v>1</v>
      </c>
      <c r="G169" s="7" t="s">
        <v>476</v>
      </c>
      <c r="H169" s="7" t="s">
        <v>149</v>
      </c>
      <c r="I169" s="7" t="s">
        <v>479</v>
      </c>
      <c r="J169" s="7">
        <v>165</v>
      </c>
      <c r="K169" s="19" t="s">
        <v>638</v>
      </c>
      <c r="M169">
        <v>60</v>
      </c>
      <c r="N169" t="s">
        <v>48</v>
      </c>
      <c r="O169" t="s">
        <v>116</v>
      </c>
      <c r="P169" t="s">
        <v>476</v>
      </c>
      <c r="Q169">
        <f>COUNTIFS($H$4:$H$1201,Tabla213[[#Headers],[Neopestalotiopsis]], $G$4:$G$1201,Tabla213[[#This Row],[Organo]], $B$4:$B$1201,M169)</f>
        <v>1</v>
      </c>
      <c r="R169">
        <f>COUNTIFS($H$4:$H$1201,Tabla213[[#Headers],[Fusarium]], $G$4:$G$1201,Tabla213[[#This Row],[Organo]], $B$4:$B$1201,M169)</f>
        <v>2</v>
      </c>
      <c r="S169">
        <f>COUNTIFS($H$4:$H$1201,Tabla213[[#Headers],[Cylindrocarpon]], $G$4:$G$1201,Tabla213[[#This Row],[Organo]], $B$4:$B$1201,M169)</f>
        <v>0</v>
      </c>
      <c r="T169">
        <f>COUNTIFS($H$4:$H$1201,Tabla213[[#Headers],[Macrophomina]], $G$4:$G$1201,Tabla213[[#This Row],[Organo]], $B$4:$B$1201,M169)</f>
        <v>0</v>
      </c>
      <c r="U169">
        <f>COUNTIFS($H$4:$H$1201,Tabla213[[#Headers],[Rhizoctonia]], $G$4:$G$1201,Tabla213[[#This Row],[Organo]], $B$4:$B$1201,M169)</f>
        <v>0</v>
      </c>
      <c r="V169">
        <v>0</v>
      </c>
      <c r="W169">
        <f>COUNTIFS($H$4:$H$1201,Tabla213[[#Headers],[Alternaria]], $G$4:$G$1201,Tabla213[[#This Row],[Organo]], $B$4:$B$1201,M169)</f>
        <v>0</v>
      </c>
      <c r="X169">
        <f>COUNTIFS($H$4:$H$1201,Tabla213[[#Headers],[Botrytis]], $G$4:$G$1201,Tabla213[[#This Row],[Organo]], $B$4:$B$1201,M169)</f>
        <v>1</v>
      </c>
      <c r="Y169">
        <f>COUNTIFS($H$4:$H$1201,Tabla213[[#Headers],[Colletotrichum]], $G$4:$G$1201,Tabla213[[#This Row],[Organo]], $B$4:$B$1201,M169)</f>
        <v>0</v>
      </c>
      <c r="Z169">
        <f>COUNTIFS($H$4:$H$1201,Tabla213[[#Headers],[Aspergillus]], $G$4:$G$1201,Tabla213[[#This Row],[Organo]], $B$4:$B$1201,M169)</f>
        <v>0</v>
      </c>
      <c r="AA169">
        <f>COUNTIFS($H$4:$H$1201,Tabla213[[#Headers],[NO ID]], $G$4:$G$1201,Tabla213[[#This Row],[Organo]], $B$4:$B$1201,M169)</f>
        <v>1</v>
      </c>
      <c r="AB169">
        <f>COUNTIFS($H$4:$H$1201,Tabla213[[#Headers],[Trichoderma]], $G$4:$G$1201,Tabla213[[#This Row],[Organo]], $B$4:$B$1201,M169)</f>
        <v>0</v>
      </c>
      <c r="AC169">
        <f>COUNTIFS($H$4:$H$1201,Tabla213[[#Headers],[Rizophus]], $G$4:$G$1201,Tabla213[[#This Row],[Organo]], $B$4:$B$1201,M169)</f>
        <v>0</v>
      </c>
      <c r="AD169">
        <f>COUNTIFS($H$4:$H$1201,Tabla213[[#Headers],[FALTANTES]], $G$4:$G$1201,Tabla213[[#This Row],[Organo]], $B$4:$B$1201,M169)</f>
        <v>0</v>
      </c>
      <c r="AK169">
        <v>60</v>
      </c>
      <c r="AL169" t="s">
        <v>48</v>
      </c>
      <c r="AM169" t="s">
        <v>116</v>
      </c>
      <c r="AN169" t="s">
        <v>477</v>
      </c>
    </row>
    <row r="170" spans="1:40" x14ac:dyDescent="0.2">
      <c r="A170" s="7">
        <v>166</v>
      </c>
      <c r="B170" s="7">
        <v>6</v>
      </c>
      <c r="C170" s="1" t="str">
        <f t="shared" si="130"/>
        <v>PANTANO MEDIO</v>
      </c>
      <c r="D170" s="7" t="s">
        <v>108</v>
      </c>
      <c r="E170" s="1" t="str">
        <f t="shared" si="131"/>
        <v>FORTUNA</v>
      </c>
      <c r="F170" s="7">
        <v>1</v>
      </c>
      <c r="G170" s="7" t="s">
        <v>476</v>
      </c>
      <c r="H170" s="7" t="s">
        <v>149</v>
      </c>
      <c r="I170" s="7" t="s">
        <v>480</v>
      </c>
      <c r="J170" s="7">
        <v>166</v>
      </c>
      <c r="K170" s="19" t="s">
        <v>638</v>
      </c>
      <c r="M170">
        <v>60</v>
      </c>
      <c r="N170" t="s">
        <v>48</v>
      </c>
      <c r="O170" t="s">
        <v>116</v>
      </c>
      <c r="P170" t="s">
        <v>477</v>
      </c>
      <c r="Q170">
        <f>COUNTIFS($H$4:$H$1201,Tabla213[[#Headers],[Neopestalotiopsis]], $G$4:$G$1201,Tabla213[[#This Row],[Organo]], $B$4:$B$1201,M170)</f>
        <v>5</v>
      </c>
      <c r="R170">
        <f>COUNTIFS($H$4:$H$1201,Tabla213[[#Headers],[Fusarium]], $G$4:$G$1201,Tabla213[[#This Row],[Organo]], $B$4:$B$1201,M170)</f>
        <v>0</v>
      </c>
      <c r="S170">
        <f>COUNTIFS($H$4:$H$1201,Tabla213[[#Headers],[Cylindrocarpon]], $G$4:$G$1201,Tabla213[[#This Row],[Organo]], $B$4:$B$1201,M170)</f>
        <v>0</v>
      </c>
      <c r="T170">
        <f>COUNTIFS($H$4:$H$1201,Tabla213[[#Headers],[Macrophomina]], $G$4:$G$1201,Tabla213[[#This Row],[Organo]], $B$4:$B$1201,M170)</f>
        <v>0</v>
      </c>
      <c r="U170">
        <f>COUNTIFS($H$4:$H$1201,Tabla213[[#Headers],[Rhizoctonia]], $G$4:$G$1201,Tabla213[[#This Row],[Organo]], $B$4:$B$1201,M170)</f>
        <v>0</v>
      </c>
      <c r="V170">
        <v>0</v>
      </c>
      <c r="W170">
        <f>COUNTIFS($H$4:$H$1201,Tabla213[[#Headers],[Alternaria]], $G$4:$G$1201,Tabla213[[#This Row],[Organo]], $B$4:$B$1201,M170)</f>
        <v>0</v>
      </c>
      <c r="X170">
        <f>COUNTIFS($H$4:$H$1201,Tabla213[[#Headers],[Botrytis]], $G$4:$G$1201,Tabla213[[#This Row],[Organo]], $B$4:$B$1201,M170)</f>
        <v>1</v>
      </c>
      <c r="Y170">
        <f>COUNTIFS($H$4:$H$1201,Tabla213[[#Headers],[Colletotrichum]], $G$4:$G$1201,Tabla213[[#This Row],[Organo]], $B$4:$B$1201,M170)</f>
        <v>0</v>
      </c>
      <c r="Z170">
        <f>COUNTIFS($H$4:$H$1201,Tabla213[[#Headers],[Aspergillus]], $G$4:$G$1201,Tabla213[[#This Row],[Organo]], $B$4:$B$1201,M170)</f>
        <v>0</v>
      </c>
      <c r="AA170">
        <f>COUNTIFS($H$4:$H$1201,Tabla213[[#Headers],[NO ID]], $G$4:$G$1201,Tabla213[[#This Row],[Organo]], $B$4:$B$1201,M170)</f>
        <v>0</v>
      </c>
      <c r="AB170">
        <f>COUNTIFS($H$4:$H$1201,Tabla213[[#Headers],[Trichoderma]], $G$4:$G$1201,Tabla213[[#This Row],[Organo]], $B$4:$B$1201,M170)</f>
        <v>0</v>
      </c>
      <c r="AC170">
        <f>COUNTIFS($H$4:$H$1201,Tabla213[[#Headers],[Rizophus]], $G$4:$G$1201,Tabla213[[#This Row],[Organo]], $B$4:$B$1201,M170)</f>
        <v>0</v>
      </c>
      <c r="AD170">
        <f>COUNTIFS($H$4:$H$1201,Tabla213[[#Headers],[FALTANTES]], $G$4:$G$1201,Tabla213[[#This Row],[Organo]], $B$4:$B$1201,M170)</f>
        <v>0</v>
      </c>
      <c r="AF170">
        <f t="shared" ref="AF170" si="168">SUM(Q169:AD170)</f>
        <v>11</v>
      </c>
      <c r="AG170">
        <f>COUNTIF($B$5:$B$1201, Tabla213[[#This Row],[Num. Parcela]])</f>
        <v>11</v>
      </c>
      <c r="AH170" t="b">
        <f t="shared" ref="AH170" si="169">IF(AF170=AG170, TRUE)</f>
        <v>1</v>
      </c>
      <c r="AK170">
        <v>60</v>
      </c>
      <c r="AL170" t="s">
        <v>48</v>
      </c>
      <c r="AM170" t="s">
        <v>116</v>
      </c>
      <c r="AN170" t="s">
        <v>476</v>
      </c>
    </row>
    <row r="171" spans="1:40" x14ac:dyDescent="0.2">
      <c r="A171" s="7">
        <v>167</v>
      </c>
      <c r="B171" s="7">
        <v>6</v>
      </c>
      <c r="C171" s="1" t="str">
        <f t="shared" si="130"/>
        <v>PANTANO MEDIO</v>
      </c>
      <c r="D171" s="7" t="s">
        <v>108</v>
      </c>
      <c r="E171" s="1" t="str">
        <f t="shared" si="131"/>
        <v>FORTUNA</v>
      </c>
      <c r="F171" s="7">
        <v>1</v>
      </c>
      <c r="G171" s="7" t="s">
        <v>476</v>
      </c>
      <c r="H171" s="7" t="s">
        <v>149</v>
      </c>
      <c r="I171" s="8" t="s">
        <v>478</v>
      </c>
      <c r="J171" s="7">
        <v>167</v>
      </c>
      <c r="K171" s="19" t="s">
        <v>638</v>
      </c>
      <c r="M171">
        <v>61</v>
      </c>
      <c r="N171" t="s">
        <v>49</v>
      </c>
      <c r="O171" t="s">
        <v>114</v>
      </c>
      <c r="P171" t="s">
        <v>476</v>
      </c>
      <c r="Q171">
        <f>COUNTIFS($H$4:$H$1201,Tabla213[[#Headers],[Neopestalotiopsis]], $G$4:$G$1201,Tabla213[[#This Row],[Organo]], $B$4:$B$1201,M171)</f>
        <v>1</v>
      </c>
      <c r="R171">
        <f>COUNTIFS($H$4:$H$1201,Tabla213[[#Headers],[Fusarium]], $G$4:$G$1201,Tabla213[[#This Row],[Organo]], $B$4:$B$1201,M171)</f>
        <v>1</v>
      </c>
      <c r="S171">
        <f>COUNTIFS($H$4:$H$1201,Tabla213[[#Headers],[Cylindrocarpon]], $G$4:$G$1201,Tabla213[[#This Row],[Organo]], $B$4:$B$1201,M171)</f>
        <v>0</v>
      </c>
      <c r="T171">
        <f>COUNTIFS($H$4:$H$1201,Tabla213[[#Headers],[Macrophomina]], $G$4:$G$1201,Tabla213[[#This Row],[Organo]], $B$4:$B$1201,M171)</f>
        <v>0</v>
      </c>
      <c r="U171">
        <f>COUNTIFS($H$4:$H$1201,Tabla213[[#Headers],[Rhizoctonia]], $G$4:$G$1201,Tabla213[[#This Row],[Organo]], $B$4:$B$1201,M171)</f>
        <v>0</v>
      </c>
      <c r="V171">
        <v>0</v>
      </c>
      <c r="W171">
        <f>COUNTIFS($H$4:$H$1201,Tabla213[[#Headers],[Alternaria]], $G$4:$G$1201,Tabla213[[#This Row],[Organo]], $B$4:$B$1201,M171)</f>
        <v>0</v>
      </c>
      <c r="X171">
        <f>COUNTIFS($H$4:$H$1201,Tabla213[[#Headers],[Botrytis]], $G$4:$G$1201,Tabla213[[#This Row],[Organo]], $B$4:$B$1201,M171)</f>
        <v>0</v>
      </c>
      <c r="Y171">
        <f>COUNTIFS($H$4:$H$1201,Tabla213[[#Headers],[Colletotrichum]], $G$4:$G$1201,Tabla213[[#This Row],[Organo]], $B$4:$B$1201,M171)</f>
        <v>0</v>
      </c>
      <c r="Z171">
        <f>COUNTIFS($H$4:$H$1201,Tabla213[[#Headers],[Aspergillus]], $G$4:$G$1201,Tabla213[[#This Row],[Organo]], $B$4:$B$1201,M171)</f>
        <v>0</v>
      </c>
      <c r="AA171">
        <f>COUNTIFS($H$4:$H$1201,Tabla213[[#Headers],[NO ID]], $G$4:$G$1201,Tabla213[[#This Row],[Organo]], $B$4:$B$1201,M171)</f>
        <v>0</v>
      </c>
      <c r="AB171">
        <f>COUNTIFS($H$4:$H$1201,Tabla213[[#Headers],[Trichoderma]], $G$4:$G$1201,Tabla213[[#This Row],[Organo]], $B$4:$B$1201,M171)</f>
        <v>0</v>
      </c>
      <c r="AC171">
        <f>COUNTIFS($H$4:$H$1201,Tabla213[[#Headers],[Rizophus]], $G$4:$G$1201,Tabla213[[#This Row],[Organo]], $B$4:$B$1201,M171)</f>
        <v>0</v>
      </c>
      <c r="AD171">
        <f>COUNTIFS($H$4:$H$1201,Tabla213[[#Headers],[FALTANTES]], $G$4:$G$1201,Tabla213[[#This Row],[Organo]], $B$4:$B$1201,M171)</f>
        <v>0</v>
      </c>
      <c r="AK171">
        <v>61</v>
      </c>
      <c r="AL171" t="s">
        <v>49</v>
      </c>
      <c r="AM171" t="s">
        <v>114</v>
      </c>
      <c r="AN171" t="s">
        <v>477</v>
      </c>
    </row>
    <row r="172" spans="1:40" x14ac:dyDescent="0.2">
      <c r="A172" s="7">
        <v>168</v>
      </c>
      <c r="B172" s="7">
        <v>6</v>
      </c>
      <c r="C172" s="1" t="str">
        <f t="shared" si="130"/>
        <v>PANTANO MEDIO</v>
      </c>
      <c r="D172" s="7" t="s">
        <v>108</v>
      </c>
      <c r="E172" s="1" t="str">
        <f t="shared" si="131"/>
        <v>FORTUNA</v>
      </c>
      <c r="F172" s="7">
        <v>2</v>
      </c>
      <c r="G172" s="7" t="s">
        <v>477</v>
      </c>
      <c r="H172" s="7" t="s">
        <v>149</v>
      </c>
      <c r="I172" s="7" t="s">
        <v>484</v>
      </c>
      <c r="J172" s="7">
        <v>168</v>
      </c>
      <c r="K172" s="19" t="s">
        <v>638</v>
      </c>
      <c r="M172">
        <v>61</v>
      </c>
      <c r="N172" t="s">
        <v>49</v>
      </c>
      <c r="O172" t="s">
        <v>114</v>
      </c>
      <c r="P172" t="s">
        <v>477</v>
      </c>
      <c r="Q172">
        <f>COUNTIFS($H$4:$H$1201,Tabla213[[#Headers],[Neopestalotiopsis]], $G$4:$G$1201,Tabla213[[#This Row],[Organo]], $B$4:$B$1201,M172)</f>
        <v>1</v>
      </c>
      <c r="R172">
        <f>COUNTIFS($H$4:$H$1201,Tabla213[[#Headers],[Fusarium]], $G$4:$G$1201,Tabla213[[#This Row],[Organo]], $B$4:$B$1201,M172)</f>
        <v>0</v>
      </c>
      <c r="S172">
        <f>COUNTIFS($H$4:$H$1201,Tabla213[[#Headers],[Cylindrocarpon]], $G$4:$G$1201,Tabla213[[#This Row],[Organo]], $B$4:$B$1201,M172)</f>
        <v>0</v>
      </c>
      <c r="T172">
        <f>COUNTIFS($H$4:$H$1201,Tabla213[[#Headers],[Macrophomina]], $G$4:$G$1201,Tabla213[[#This Row],[Organo]], $B$4:$B$1201,M172)</f>
        <v>0</v>
      </c>
      <c r="U172">
        <f>COUNTIFS($H$4:$H$1201,Tabla213[[#Headers],[Rhizoctonia]], $G$4:$G$1201,Tabla213[[#This Row],[Organo]], $B$4:$B$1201,M172)</f>
        <v>0</v>
      </c>
      <c r="V172">
        <v>0</v>
      </c>
      <c r="W172">
        <f>COUNTIFS($H$4:$H$1201,Tabla213[[#Headers],[Alternaria]], $G$4:$G$1201,Tabla213[[#This Row],[Organo]], $B$4:$B$1201,M172)</f>
        <v>0</v>
      </c>
      <c r="X172">
        <f>COUNTIFS($H$4:$H$1201,Tabla213[[#Headers],[Botrytis]], $G$4:$G$1201,Tabla213[[#This Row],[Organo]], $B$4:$B$1201,M172)</f>
        <v>0</v>
      </c>
      <c r="Y172">
        <f>COUNTIFS($H$4:$H$1201,Tabla213[[#Headers],[Colletotrichum]], $G$4:$G$1201,Tabla213[[#This Row],[Organo]], $B$4:$B$1201,M172)</f>
        <v>0</v>
      </c>
      <c r="Z172">
        <f>COUNTIFS($H$4:$H$1201,Tabla213[[#Headers],[Aspergillus]], $G$4:$G$1201,Tabla213[[#This Row],[Organo]], $B$4:$B$1201,M172)</f>
        <v>0</v>
      </c>
      <c r="AA172">
        <f>COUNTIFS($H$4:$H$1201,Tabla213[[#Headers],[NO ID]], $G$4:$G$1201,Tabla213[[#This Row],[Organo]], $B$4:$B$1201,M172)</f>
        <v>0</v>
      </c>
      <c r="AB172">
        <f>COUNTIFS($H$4:$H$1201,Tabla213[[#Headers],[Trichoderma]], $G$4:$G$1201,Tabla213[[#This Row],[Organo]], $B$4:$B$1201,M172)</f>
        <v>0</v>
      </c>
      <c r="AC172">
        <f>COUNTIFS($H$4:$H$1201,Tabla213[[#Headers],[Rizophus]], $G$4:$G$1201,Tabla213[[#This Row],[Organo]], $B$4:$B$1201,M172)</f>
        <v>0</v>
      </c>
      <c r="AD172">
        <f>COUNTIFS($H$4:$H$1201,Tabla213[[#Headers],[FALTANTES]], $G$4:$G$1201,Tabla213[[#This Row],[Organo]], $B$4:$B$1201,M172)</f>
        <v>0</v>
      </c>
      <c r="AF172">
        <f t="shared" ref="AF172" si="170">SUM(Q171:AD172)</f>
        <v>3</v>
      </c>
      <c r="AG172">
        <f>COUNTIF($B$5:$B$1201, Tabla213[[#This Row],[Num. Parcela]])</f>
        <v>3</v>
      </c>
      <c r="AH172" t="b">
        <f t="shared" ref="AH172" si="171">IF(AF172=AG172, TRUE)</f>
        <v>1</v>
      </c>
      <c r="AK172">
        <v>61</v>
      </c>
      <c r="AL172" t="s">
        <v>49</v>
      </c>
      <c r="AM172" t="s">
        <v>114</v>
      </c>
      <c r="AN172" t="s">
        <v>476</v>
      </c>
    </row>
    <row r="173" spans="1:40" x14ac:dyDescent="0.2">
      <c r="A173" s="7">
        <v>169</v>
      </c>
      <c r="B173" s="7">
        <v>6</v>
      </c>
      <c r="C173" s="1" t="str">
        <f t="shared" si="130"/>
        <v>PANTANO MEDIO</v>
      </c>
      <c r="D173" s="7" t="s">
        <v>108</v>
      </c>
      <c r="E173" s="1" t="str">
        <f t="shared" si="131"/>
        <v>FORTUNA</v>
      </c>
      <c r="F173" s="7">
        <v>2</v>
      </c>
      <c r="G173" s="7" t="s">
        <v>477</v>
      </c>
      <c r="H173" s="7" t="s">
        <v>149</v>
      </c>
      <c r="I173" s="8" t="s">
        <v>478</v>
      </c>
      <c r="J173" s="7">
        <v>169</v>
      </c>
      <c r="K173" s="7"/>
      <c r="M173">
        <v>62</v>
      </c>
      <c r="N173" t="s">
        <v>50</v>
      </c>
      <c r="O173" t="s">
        <v>126</v>
      </c>
      <c r="P173" t="s">
        <v>476</v>
      </c>
      <c r="Q173">
        <f>COUNTIFS($H$4:$H$1201,Tabla213[[#Headers],[Neopestalotiopsis]], $G$4:$G$1201,Tabla213[[#This Row],[Organo]], $B$4:$B$1201,M173)</f>
        <v>0</v>
      </c>
      <c r="R173">
        <f>COUNTIFS($H$4:$H$1201,Tabla213[[#Headers],[Fusarium]], $G$4:$G$1201,Tabla213[[#This Row],[Organo]], $B$4:$B$1201,M173)</f>
        <v>1</v>
      </c>
      <c r="S173">
        <f>COUNTIFS($H$4:$H$1201,Tabla213[[#Headers],[Cylindrocarpon]], $G$4:$G$1201,Tabla213[[#This Row],[Organo]], $B$4:$B$1201,M173)</f>
        <v>0</v>
      </c>
      <c r="T173">
        <f>COUNTIFS($H$4:$H$1201,Tabla213[[#Headers],[Macrophomina]], $G$4:$G$1201,Tabla213[[#This Row],[Organo]], $B$4:$B$1201,M173)</f>
        <v>0</v>
      </c>
      <c r="U173">
        <f>COUNTIFS($H$4:$H$1201,Tabla213[[#Headers],[Rhizoctonia]], $G$4:$G$1201,Tabla213[[#This Row],[Organo]], $B$4:$B$1201,M173)</f>
        <v>0</v>
      </c>
      <c r="V173">
        <v>0</v>
      </c>
      <c r="W173">
        <f>COUNTIFS($H$4:$H$1201,Tabla213[[#Headers],[Alternaria]], $G$4:$G$1201,Tabla213[[#This Row],[Organo]], $B$4:$B$1201,M173)</f>
        <v>0</v>
      </c>
      <c r="X173">
        <f>COUNTIFS($H$4:$H$1201,Tabla213[[#Headers],[Botrytis]], $G$4:$G$1201,Tabla213[[#This Row],[Organo]], $B$4:$B$1201,M173)</f>
        <v>0</v>
      </c>
      <c r="Y173">
        <f>COUNTIFS($H$4:$H$1201,Tabla213[[#Headers],[Colletotrichum]], $G$4:$G$1201,Tabla213[[#This Row],[Organo]], $B$4:$B$1201,M173)</f>
        <v>0</v>
      </c>
      <c r="Z173">
        <f>COUNTIFS($H$4:$H$1201,Tabla213[[#Headers],[Aspergillus]], $G$4:$G$1201,Tabla213[[#This Row],[Organo]], $B$4:$B$1201,M173)</f>
        <v>0</v>
      </c>
      <c r="AA173">
        <f>COUNTIFS($H$4:$H$1201,Tabla213[[#Headers],[NO ID]], $G$4:$G$1201,Tabla213[[#This Row],[Organo]], $B$4:$B$1201,M173)</f>
        <v>0</v>
      </c>
      <c r="AB173">
        <f>COUNTIFS($H$4:$H$1201,Tabla213[[#Headers],[Trichoderma]], $G$4:$G$1201,Tabla213[[#This Row],[Organo]], $B$4:$B$1201,M173)</f>
        <v>0</v>
      </c>
      <c r="AC173">
        <f>COUNTIFS($H$4:$H$1201,Tabla213[[#Headers],[Rizophus]], $G$4:$G$1201,Tabla213[[#This Row],[Organo]], $B$4:$B$1201,M173)</f>
        <v>0</v>
      </c>
      <c r="AD173">
        <f>COUNTIFS($H$4:$H$1201,Tabla213[[#Headers],[FALTANTES]], $G$4:$G$1201,Tabla213[[#This Row],[Organo]], $B$4:$B$1201,M173)</f>
        <v>0</v>
      </c>
      <c r="AK173">
        <v>62</v>
      </c>
      <c r="AL173" t="s">
        <v>50</v>
      </c>
      <c r="AM173" t="s">
        <v>126</v>
      </c>
      <c r="AN173" t="s">
        <v>477</v>
      </c>
    </row>
    <row r="174" spans="1:40" x14ac:dyDescent="0.2">
      <c r="A174" s="7">
        <v>170</v>
      </c>
      <c r="B174" s="7">
        <v>6</v>
      </c>
      <c r="C174" s="1" t="str">
        <f t="shared" si="130"/>
        <v>PANTANO MEDIO</v>
      </c>
      <c r="D174" s="7" t="s">
        <v>108</v>
      </c>
      <c r="E174" s="1" t="str">
        <f t="shared" si="131"/>
        <v>FORTUNA</v>
      </c>
      <c r="F174" s="7">
        <v>2</v>
      </c>
      <c r="G174" s="7" t="s">
        <v>477</v>
      </c>
      <c r="H174" s="7" t="s">
        <v>471</v>
      </c>
      <c r="I174" s="7" t="s">
        <v>471</v>
      </c>
      <c r="J174" s="7">
        <v>170</v>
      </c>
      <c r="K174" s="19" t="s">
        <v>638</v>
      </c>
      <c r="M174">
        <v>62</v>
      </c>
      <c r="N174" t="s">
        <v>50</v>
      </c>
      <c r="O174" t="s">
        <v>126</v>
      </c>
      <c r="P174" t="s">
        <v>477</v>
      </c>
      <c r="Q174">
        <f>COUNTIFS($H$4:$H$1201,Tabla213[[#Headers],[Neopestalotiopsis]], $G$4:$G$1201,Tabla213[[#This Row],[Organo]], $B$4:$B$1201,M174)</f>
        <v>1</v>
      </c>
      <c r="R174">
        <f>COUNTIFS($H$4:$H$1201,Tabla213[[#Headers],[Fusarium]], $G$4:$G$1201,Tabla213[[#This Row],[Organo]], $B$4:$B$1201,M174)</f>
        <v>0</v>
      </c>
      <c r="S174">
        <f>COUNTIFS($H$4:$H$1201,Tabla213[[#Headers],[Cylindrocarpon]], $G$4:$G$1201,Tabla213[[#This Row],[Organo]], $B$4:$B$1201,M174)</f>
        <v>0</v>
      </c>
      <c r="T174">
        <f>COUNTIFS($H$4:$H$1201,Tabla213[[#Headers],[Macrophomina]], $G$4:$G$1201,Tabla213[[#This Row],[Organo]], $B$4:$B$1201,M174)</f>
        <v>0</v>
      </c>
      <c r="U174">
        <f>COUNTIFS($H$4:$H$1201,Tabla213[[#Headers],[Rhizoctonia]], $G$4:$G$1201,Tabla213[[#This Row],[Organo]], $B$4:$B$1201,M174)</f>
        <v>0</v>
      </c>
      <c r="V174">
        <v>0</v>
      </c>
      <c r="W174">
        <f>COUNTIFS($H$4:$H$1201,Tabla213[[#Headers],[Alternaria]], $G$4:$G$1201,Tabla213[[#This Row],[Organo]], $B$4:$B$1201,M174)</f>
        <v>0</v>
      </c>
      <c r="X174">
        <f>COUNTIFS($H$4:$H$1201,Tabla213[[#Headers],[Botrytis]], $G$4:$G$1201,Tabla213[[#This Row],[Organo]], $B$4:$B$1201,M174)</f>
        <v>0</v>
      </c>
      <c r="Y174">
        <f>COUNTIFS($H$4:$H$1201,Tabla213[[#Headers],[Colletotrichum]], $G$4:$G$1201,Tabla213[[#This Row],[Organo]], $B$4:$B$1201,M174)</f>
        <v>0</v>
      </c>
      <c r="Z174">
        <f>COUNTIFS($H$4:$H$1201,Tabla213[[#Headers],[Aspergillus]], $G$4:$G$1201,Tabla213[[#This Row],[Organo]], $B$4:$B$1201,M174)</f>
        <v>0</v>
      </c>
      <c r="AA174">
        <f>COUNTIFS($H$4:$H$1201,Tabla213[[#Headers],[NO ID]], $G$4:$G$1201,Tabla213[[#This Row],[Organo]], $B$4:$B$1201,M174)</f>
        <v>0</v>
      </c>
      <c r="AB174">
        <f>COUNTIFS($H$4:$H$1201,Tabla213[[#Headers],[Trichoderma]], $G$4:$G$1201,Tabla213[[#This Row],[Organo]], $B$4:$B$1201,M174)</f>
        <v>0</v>
      </c>
      <c r="AC174">
        <f>COUNTIFS($H$4:$H$1201,Tabla213[[#Headers],[Rizophus]], $G$4:$G$1201,Tabla213[[#This Row],[Organo]], $B$4:$B$1201,M174)</f>
        <v>0</v>
      </c>
      <c r="AD174">
        <f>COUNTIFS($H$4:$H$1201,Tabla213[[#Headers],[FALTANTES]], $G$4:$G$1201,Tabla213[[#This Row],[Organo]], $B$4:$B$1201,M174)</f>
        <v>0</v>
      </c>
      <c r="AF174">
        <f t="shared" ref="AF174" si="172">SUM(Q173:AD174)</f>
        <v>2</v>
      </c>
      <c r="AG174">
        <f>COUNTIF($B$5:$B$1201, Tabla213[[#This Row],[Num. Parcela]])</f>
        <v>2</v>
      </c>
      <c r="AH174" t="b">
        <f t="shared" ref="AH174" si="173">IF(AF174=AG174, TRUE)</f>
        <v>1</v>
      </c>
      <c r="AK174">
        <v>62</v>
      </c>
      <c r="AL174" t="s">
        <v>50</v>
      </c>
      <c r="AM174" t="s">
        <v>126</v>
      </c>
      <c r="AN174" t="s">
        <v>476</v>
      </c>
    </row>
    <row r="175" spans="1:40" x14ac:dyDescent="0.2">
      <c r="A175" s="7">
        <v>171</v>
      </c>
      <c r="B175" s="7">
        <v>6</v>
      </c>
      <c r="C175" s="1" t="str">
        <f t="shared" si="130"/>
        <v>PANTANO MEDIO</v>
      </c>
      <c r="D175" s="7" t="s">
        <v>108</v>
      </c>
      <c r="E175" s="1" t="str">
        <f t="shared" si="131"/>
        <v>FORTUNA</v>
      </c>
      <c r="F175" s="7">
        <v>1</v>
      </c>
      <c r="G175" s="7" t="s">
        <v>476</v>
      </c>
      <c r="H175" s="7" t="s">
        <v>155</v>
      </c>
      <c r="I175" s="7" t="s">
        <v>155</v>
      </c>
      <c r="J175" s="7">
        <v>171</v>
      </c>
      <c r="K175" s="7"/>
      <c r="M175">
        <v>63</v>
      </c>
      <c r="N175" t="s">
        <v>51</v>
      </c>
      <c r="O175" t="s">
        <v>118</v>
      </c>
      <c r="P175" t="s">
        <v>476</v>
      </c>
      <c r="Q175">
        <f>COUNTIFS($H$4:$H$1201,Tabla213[[#Headers],[Neopestalotiopsis]], $G$4:$G$1201,Tabla213[[#This Row],[Organo]], $B$4:$B$1201,M175)</f>
        <v>1</v>
      </c>
      <c r="R175">
        <f>COUNTIFS($H$4:$H$1201,Tabla213[[#Headers],[Fusarium]], $G$4:$G$1201,Tabla213[[#This Row],[Organo]], $B$4:$B$1201,M175)</f>
        <v>0</v>
      </c>
      <c r="S175">
        <f>COUNTIFS($H$4:$H$1201,Tabla213[[#Headers],[Cylindrocarpon]], $G$4:$G$1201,Tabla213[[#This Row],[Organo]], $B$4:$B$1201,M175)</f>
        <v>0</v>
      </c>
      <c r="T175">
        <f>COUNTIFS($H$4:$H$1201,Tabla213[[#Headers],[Macrophomina]], $G$4:$G$1201,Tabla213[[#This Row],[Organo]], $B$4:$B$1201,M175)</f>
        <v>0</v>
      </c>
      <c r="U175">
        <f>COUNTIFS($H$4:$H$1201,Tabla213[[#Headers],[Rhizoctonia]], $G$4:$G$1201,Tabla213[[#This Row],[Organo]], $B$4:$B$1201,M175)</f>
        <v>1</v>
      </c>
      <c r="V175">
        <v>0</v>
      </c>
      <c r="W175">
        <f>COUNTIFS($H$4:$H$1201,Tabla213[[#Headers],[Alternaria]], $G$4:$G$1201,Tabla213[[#This Row],[Organo]], $B$4:$B$1201,M175)</f>
        <v>0</v>
      </c>
      <c r="X175">
        <f>COUNTIFS($H$4:$H$1201,Tabla213[[#Headers],[Botrytis]], $G$4:$G$1201,Tabla213[[#This Row],[Organo]], $B$4:$B$1201,M175)</f>
        <v>0</v>
      </c>
      <c r="Y175">
        <f>COUNTIFS($H$4:$H$1201,Tabla213[[#Headers],[Colletotrichum]], $G$4:$G$1201,Tabla213[[#This Row],[Organo]], $B$4:$B$1201,M175)</f>
        <v>0</v>
      </c>
      <c r="Z175">
        <f>COUNTIFS($H$4:$H$1201,Tabla213[[#Headers],[Aspergillus]], $G$4:$G$1201,Tabla213[[#This Row],[Organo]], $B$4:$B$1201,M175)</f>
        <v>0</v>
      </c>
      <c r="AA175">
        <f>COUNTIFS($H$4:$H$1201,Tabla213[[#Headers],[NO ID]], $G$4:$G$1201,Tabla213[[#This Row],[Organo]], $B$4:$B$1201,M175)</f>
        <v>1</v>
      </c>
      <c r="AB175">
        <f>COUNTIFS($H$4:$H$1201,Tabla213[[#Headers],[Trichoderma]], $G$4:$G$1201,Tabla213[[#This Row],[Organo]], $B$4:$B$1201,M175)</f>
        <v>0</v>
      </c>
      <c r="AC175">
        <f>COUNTIFS($H$4:$H$1201,Tabla213[[#Headers],[Rizophus]], $G$4:$G$1201,Tabla213[[#This Row],[Organo]], $B$4:$B$1201,M175)</f>
        <v>0</v>
      </c>
      <c r="AD175">
        <f>COUNTIFS($H$4:$H$1201,Tabla213[[#Headers],[FALTANTES]], $G$4:$G$1201,Tabla213[[#This Row],[Organo]], $B$4:$B$1201,M175)</f>
        <v>0</v>
      </c>
      <c r="AK175">
        <v>63</v>
      </c>
      <c r="AL175" t="s">
        <v>51</v>
      </c>
      <c r="AM175" t="s">
        <v>118</v>
      </c>
      <c r="AN175" t="s">
        <v>477</v>
      </c>
    </row>
    <row r="176" spans="1:40" x14ac:dyDescent="0.2">
      <c r="A176" s="7">
        <v>172</v>
      </c>
      <c r="B176" s="7">
        <v>6</v>
      </c>
      <c r="C176" s="1" t="str">
        <f t="shared" si="130"/>
        <v>PANTANO MEDIO</v>
      </c>
      <c r="D176" s="7" t="s">
        <v>108</v>
      </c>
      <c r="E176" s="1" t="str">
        <f t="shared" si="131"/>
        <v>FORTUNA</v>
      </c>
      <c r="F176" s="7">
        <v>1</v>
      </c>
      <c r="G176" s="7" t="s">
        <v>476</v>
      </c>
      <c r="H176" s="7" t="s">
        <v>228</v>
      </c>
      <c r="I176" s="9" t="s">
        <v>487</v>
      </c>
      <c r="J176" s="9">
        <v>172</v>
      </c>
      <c r="K176" s="7"/>
      <c r="M176">
        <v>63</v>
      </c>
      <c r="N176" t="s">
        <v>51</v>
      </c>
      <c r="O176" t="s">
        <v>118</v>
      </c>
      <c r="P176" t="s">
        <v>477</v>
      </c>
      <c r="Q176">
        <f>COUNTIFS($H$4:$H$1201,Tabla213[[#Headers],[Neopestalotiopsis]], $G$4:$G$1201,Tabla213[[#This Row],[Organo]], $B$4:$B$1201,M176)</f>
        <v>1</v>
      </c>
      <c r="R176">
        <f>COUNTIFS($H$4:$H$1201,Tabla213[[#Headers],[Fusarium]], $G$4:$G$1201,Tabla213[[#This Row],[Organo]], $B$4:$B$1201,M176)</f>
        <v>0</v>
      </c>
      <c r="S176">
        <f>COUNTIFS($H$4:$H$1201,Tabla213[[#Headers],[Cylindrocarpon]], $G$4:$G$1201,Tabla213[[#This Row],[Organo]], $B$4:$B$1201,M176)</f>
        <v>0</v>
      </c>
      <c r="T176">
        <f>COUNTIFS($H$4:$H$1201,Tabla213[[#Headers],[Macrophomina]], $G$4:$G$1201,Tabla213[[#This Row],[Organo]], $B$4:$B$1201,M176)</f>
        <v>0</v>
      </c>
      <c r="U176">
        <f>COUNTIFS($H$4:$H$1201,Tabla213[[#Headers],[Rhizoctonia]], $G$4:$G$1201,Tabla213[[#This Row],[Organo]], $B$4:$B$1201,M176)</f>
        <v>3</v>
      </c>
      <c r="V176">
        <v>0</v>
      </c>
      <c r="W176">
        <f>COUNTIFS($H$4:$H$1201,Tabla213[[#Headers],[Alternaria]], $G$4:$G$1201,Tabla213[[#This Row],[Organo]], $B$4:$B$1201,M176)</f>
        <v>0</v>
      </c>
      <c r="X176">
        <f>COUNTIFS($H$4:$H$1201,Tabla213[[#Headers],[Botrytis]], $G$4:$G$1201,Tabla213[[#This Row],[Organo]], $B$4:$B$1201,M176)</f>
        <v>0</v>
      </c>
      <c r="Y176">
        <f>COUNTIFS($H$4:$H$1201,Tabla213[[#Headers],[Colletotrichum]], $G$4:$G$1201,Tabla213[[#This Row],[Organo]], $B$4:$B$1201,M176)</f>
        <v>0</v>
      </c>
      <c r="Z176">
        <f>COUNTIFS($H$4:$H$1201,Tabla213[[#Headers],[Aspergillus]], $G$4:$G$1201,Tabla213[[#This Row],[Organo]], $B$4:$B$1201,M176)</f>
        <v>0</v>
      </c>
      <c r="AA176">
        <f>COUNTIFS($H$4:$H$1201,Tabla213[[#Headers],[NO ID]], $G$4:$G$1201,Tabla213[[#This Row],[Organo]], $B$4:$B$1201,M176)</f>
        <v>0</v>
      </c>
      <c r="AB176">
        <f>COUNTIFS($H$4:$H$1201,Tabla213[[#Headers],[Trichoderma]], $G$4:$G$1201,Tabla213[[#This Row],[Organo]], $B$4:$B$1201,M176)</f>
        <v>0</v>
      </c>
      <c r="AC176">
        <f>COUNTIFS($H$4:$H$1201,Tabla213[[#Headers],[Rizophus]], $G$4:$G$1201,Tabla213[[#This Row],[Organo]], $B$4:$B$1201,M176)</f>
        <v>0</v>
      </c>
      <c r="AD176">
        <f>COUNTIFS($H$4:$H$1201,Tabla213[[#Headers],[FALTANTES]], $G$4:$G$1201,Tabla213[[#This Row],[Organo]], $B$4:$B$1201,M176)</f>
        <v>0</v>
      </c>
      <c r="AF176">
        <f t="shared" ref="AF176" si="174">SUM(Q175:AD176)</f>
        <v>7</v>
      </c>
      <c r="AG176">
        <f>COUNTIF($B$5:$B$1201, Tabla213[[#This Row],[Num. Parcela]])</f>
        <v>7</v>
      </c>
      <c r="AH176" t="b">
        <f t="shared" ref="AH176" si="175">IF(AF176=AG176, TRUE)</f>
        <v>1</v>
      </c>
      <c r="AK176">
        <v>63</v>
      </c>
      <c r="AL176" t="s">
        <v>51</v>
      </c>
      <c r="AM176" t="s">
        <v>118</v>
      </c>
      <c r="AN176" t="s">
        <v>476</v>
      </c>
    </row>
    <row r="177" spans="1:40" x14ac:dyDescent="0.2">
      <c r="A177" s="7">
        <v>173</v>
      </c>
      <c r="B177" s="7">
        <v>6</v>
      </c>
      <c r="C177" s="1" t="str">
        <f t="shared" si="130"/>
        <v>PANTANO MEDIO</v>
      </c>
      <c r="D177" s="7" t="s">
        <v>108</v>
      </c>
      <c r="E177" s="1" t="str">
        <f t="shared" si="131"/>
        <v>FORTUNA</v>
      </c>
      <c r="F177" s="7">
        <v>1</v>
      </c>
      <c r="G177" s="7" t="s">
        <v>476</v>
      </c>
      <c r="H177" s="7" t="s">
        <v>155</v>
      </c>
      <c r="I177" s="7" t="s">
        <v>155</v>
      </c>
      <c r="J177" s="7">
        <v>173</v>
      </c>
      <c r="K177" s="19" t="s">
        <v>638</v>
      </c>
      <c r="M177">
        <v>64</v>
      </c>
      <c r="N177" t="s">
        <v>52</v>
      </c>
      <c r="O177" t="s">
        <v>114</v>
      </c>
      <c r="P177" t="s">
        <v>476</v>
      </c>
      <c r="Q177">
        <f>COUNTIFS($H$4:$H$1201,Tabla213[[#Headers],[Neopestalotiopsis]], $G$4:$G$1201,Tabla213[[#This Row],[Organo]], $B$4:$B$1201,M177)</f>
        <v>1</v>
      </c>
      <c r="R177">
        <f>COUNTIFS($H$4:$H$1201,Tabla213[[#Headers],[Fusarium]], $G$4:$G$1201,Tabla213[[#This Row],[Organo]], $B$4:$B$1201,M177)</f>
        <v>0</v>
      </c>
      <c r="S177">
        <f>COUNTIFS($H$4:$H$1201,Tabla213[[#Headers],[Cylindrocarpon]], $G$4:$G$1201,Tabla213[[#This Row],[Organo]], $B$4:$B$1201,M177)</f>
        <v>0</v>
      </c>
      <c r="T177">
        <f>COUNTIFS($H$4:$H$1201,Tabla213[[#Headers],[Macrophomina]], $G$4:$G$1201,Tabla213[[#This Row],[Organo]], $B$4:$B$1201,M177)</f>
        <v>0</v>
      </c>
      <c r="U177">
        <f>COUNTIFS($H$4:$H$1201,Tabla213[[#Headers],[Rhizoctonia]], $G$4:$G$1201,Tabla213[[#This Row],[Organo]], $B$4:$B$1201,M177)</f>
        <v>0</v>
      </c>
      <c r="V177">
        <v>0</v>
      </c>
      <c r="W177">
        <f>COUNTIFS($H$4:$H$1201,Tabla213[[#Headers],[Alternaria]], $G$4:$G$1201,Tabla213[[#This Row],[Organo]], $B$4:$B$1201,M177)</f>
        <v>0</v>
      </c>
      <c r="X177">
        <f>COUNTIFS($H$4:$H$1201,Tabla213[[#Headers],[Botrytis]], $G$4:$G$1201,Tabla213[[#This Row],[Organo]], $B$4:$B$1201,M177)</f>
        <v>0</v>
      </c>
      <c r="Y177">
        <f>COUNTIFS($H$4:$H$1201,Tabla213[[#Headers],[Colletotrichum]], $G$4:$G$1201,Tabla213[[#This Row],[Organo]], $B$4:$B$1201,M177)</f>
        <v>0</v>
      </c>
      <c r="Z177">
        <f>COUNTIFS($H$4:$H$1201,Tabla213[[#Headers],[Aspergillus]], $G$4:$G$1201,Tabla213[[#This Row],[Organo]], $B$4:$B$1201,M177)</f>
        <v>0</v>
      </c>
      <c r="AA177">
        <f>COUNTIFS($H$4:$H$1201,Tabla213[[#Headers],[NO ID]], $G$4:$G$1201,Tabla213[[#This Row],[Organo]], $B$4:$B$1201,M177)</f>
        <v>0</v>
      </c>
      <c r="AB177">
        <f>COUNTIFS($H$4:$H$1201,Tabla213[[#Headers],[Trichoderma]], $G$4:$G$1201,Tabla213[[#This Row],[Organo]], $B$4:$B$1201,M177)</f>
        <v>0</v>
      </c>
      <c r="AC177">
        <f>COUNTIFS($H$4:$H$1201,Tabla213[[#Headers],[Rizophus]], $G$4:$G$1201,Tabla213[[#This Row],[Organo]], $B$4:$B$1201,M177)</f>
        <v>0</v>
      </c>
      <c r="AD177">
        <f>COUNTIFS($H$4:$H$1201,Tabla213[[#Headers],[FALTANTES]], $G$4:$G$1201,Tabla213[[#This Row],[Organo]], $B$4:$B$1201,M177)</f>
        <v>0</v>
      </c>
      <c r="AK177">
        <v>64</v>
      </c>
      <c r="AL177" t="s">
        <v>52</v>
      </c>
      <c r="AM177" t="s">
        <v>114</v>
      </c>
      <c r="AN177" t="s">
        <v>477</v>
      </c>
    </row>
    <row r="178" spans="1:40" x14ac:dyDescent="0.2">
      <c r="A178" s="7">
        <v>174</v>
      </c>
      <c r="B178" s="7">
        <v>6</v>
      </c>
      <c r="C178" s="1" t="str">
        <f t="shared" si="130"/>
        <v>PANTANO MEDIO</v>
      </c>
      <c r="D178" s="7" t="s">
        <v>108</v>
      </c>
      <c r="E178" s="1" t="str">
        <f t="shared" si="131"/>
        <v>FORTUNA</v>
      </c>
      <c r="F178" s="7">
        <v>2</v>
      </c>
      <c r="G178" s="7" t="s">
        <v>476</v>
      </c>
      <c r="H178" s="7" t="s">
        <v>228</v>
      </c>
      <c r="I178" s="11" t="s">
        <v>487</v>
      </c>
      <c r="J178" s="11">
        <v>174</v>
      </c>
      <c r="K178" s="7"/>
      <c r="M178">
        <v>64</v>
      </c>
      <c r="N178" t="s">
        <v>52</v>
      </c>
      <c r="O178" t="s">
        <v>114</v>
      </c>
      <c r="P178" t="s">
        <v>477</v>
      </c>
      <c r="Q178">
        <f>COUNTIFS($H$4:$H$1201,Tabla213[[#Headers],[Neopestalotiopsis]], $G$4:$G$1201,Tabla213[[#This Row],[Organo]], $B$4:$B$1201,M178)</f>
        <v>2</v>
      </c>
      <c r="R178">
        <f>COUNTIFS($H$4:$H$1201,Tabla213[[#Headers],[Fusarium]], $G$4:$G$1201,Tabla213[[#This Row],[Organo]], $B$4:$B$1201,M178)</f>
        <v>0</v>
      </c>
      <c r="S178">
        <f>COUNTIFS($H$4:$H$1201,Tabla213[[#Headers],[Cylindrocarpon]], $G$4:$G$1201,Tabla213[[#This Row],[Organo]], $B$4:$B$1201,M178)</f>
        <v>0</v>
      </c>
      <c r="T178">
        <f>COUNTIFS($H$4:$H$1201,Tabla213[[#Headers],[Macrophomina]], $G$4:$G$1201,Tabla213[[#This Row],[Organo]], $B$4:$B$1201,M178)</f>
        <v>0</v>
      </c>
      <c r="U178">
        <f>COUNTIFS($H$4:$H$1201,Tabla213[[#Headers],[Rhizoctonia]], $G$4:$G$1201,Tabla213[[#This Row],[Organo]], $B$4:$B$1201,M178)</f>
        <v>0</v>
      </c>
      <c r="V178">
        <v>0</v>
      </c>
      <c r="W178">
        <f>COUNTIFS($H$4:$H$1201,Tabla213[[#Headers],[Alternaria]], $G$4:$G$1201,Tabla213[[#This Row],[Organo]], $B$4:$B$1201,M178)</f>
        <v>0</v>
      </c>
      <c r="X178">
        <f>COUNTIFS($H$4:$H$1201,Tabla213[[#Headers],[Botrytis]], $G$4:$G$1201,Tabla213[[#This Row],[Organo]], $B$4:$B$1201,M178)</f>
        <v>0</v>
      </c>
      <c r="Y178">
        <f>COUNTIFS($H$4:$H$1201,Tabla213[[#Headers],[Colletotrichum]], $G$4:$G$1201,Tabla213[[#This Row],[Organo]], $B$4:$B$1201,M178)</f>
        <v>0</v>
      </c>
      <c r="Z178">
        <f>COUNTIFS($H$4:$H$1201,Tabla213[[#Headers],[Aspergillus]], $G$4:$G$1201,Tabla213[[#This Row],[Organo]], $B$4:$B$1201,M178)</f>
        <v>0</v>
      </c>
      <c r="AA178">
        <f>COUNTIFS($H$4:$H$1201,Tabla213[[#Headers],[NO ID]], $G$4:$G$1201,Tabla213[[#This Row],[Organo]], $B$4:$B$1201,M178)</f>
        <v>0</v>
      </c>
      <c r="AB178">
        <f>COUNTIFS($H$4:$H$1201,Tabla213[[#Headers],[Trichoderma]], $G$4:$G$1201,Tabla213[[#This Row],[Organo]], $B$4:$B$1201,M178)</f>
        <v>0</v>
      </c>
      <c r="AC178">
        <f>COUNTIFS($H$4:$H$1201,Tabla213[[#Headers],[Rizophus]], $G$4:$G$1201,Tabla213[[#This Row],[Organo]], $B$4:$B$1201,M178)</f>
        <v>0</v>
      </c>
      <c r="AD178">
        <f>COUNTIFS($H$4:$H$1201,Tabla213[[#Headers],[FALTANTES]], $G$4:$G$1201,Tabla213[[#This Row],[Organo]], $B$4:$B$1201,M178)</f>
        <v>0</v>
      </c>
      <c r="AF178">
        <f t="shared" ref="AF178" si="176">SUM(Q177:AD178)</f>
        <v>3</v>
      </c>
      <c r="AG178">
        <f>COUNTIF($B$5:$B$1201, Tabla213[[#This Row],[Num. Parcela]])</f>
        <v>3</v>
      </c>
      <c r="AH178" t="b">
        <f t="shared" ref="AH178" si="177">IF(AF178=AG178, TRUE)</f>
        <v>1</v>
      </c>
      <c r="AK178">
        <v>64</v>
      </c>
      <c r="AL178" t="s">
        <v>52</v>
      </c>
      <c r="AM178" t="s">
        <v>114</v>
      </c>
      <c r="AN178" t="s">
        <v>476</v>
      </c>
    </row>
    <row r="179" spans="1:40" x14ac:dyDescent="0.2">
      <c r="A179" s="7">
        <v>175</v>
      </c>
      <c r="B179" s="7">
        <v>6</v>
      </c>
      <c r="C179" s="1" t="str">
        <f t="shared" si="130"/>
        <v>PANTANO MEDIO</v>
      </c>
      <c r="D179" s="7" t="s">
        <v>108</v>
      </c>
      <c r="E179" s="1" t="str">
        <f t="shared" si="131"/>
        <v>FORTUNA</v>
      </c>
      <c r="F179" s="7">
        <v>2</v>
      </c>
      <c r="G179" s="7" t="s">
        <v>476</v>
      </c>
      <c r="H179" s="7" t="s">
        <v>149</v>
      </c>
      <c r="I179" s="7" t="s">
        <v>479</v>
      </c>
      <c r="J179" s="7">
        <v>175</v>
      </c>
      <c r="K179" s="7"/>
      <c r="M179">
        <v>65</v>
      </c>
      <c r="N179" t="s">
        <v>53</v>
      </c>
      <c r="O179" t="s">
        <v>131</v>
      </c>
      <c r="P179" t="s">
        <v>476</v>
      </c>
      <c r="Q179">
        <f>COUNTIFS($H$4:$H$1201,Tabla213[[#Headers],[Neopestalotiopsis]], $G$4:$G$1201,Tabla213[[#This Row],[Organo]], $B$4:$B$1201,M179)</f>
        <v>1</v>
      </c>
      <c r="R179">
        <f>COUNTIFS($H$4:$H$1201,Tabla213[[#Headers],[Fusarium]], $G$4:$G$1201,Tabla213[[#This Row],[Organo]], $B$4:$B$1201,M179)</f>
        <v>0</v>
      </c>
      <c r="S179">
        <f>COUNTIFS($H$4:$H$1201,Tabla213[[#Headers],[Cylindrocarpon]], $G$4:$G$1201,Tabla213[[#This Row],[Organo]], $B$4:$B$1201,M179)</f>
        <v>0</v>
      </c>
      <c r="T179">
        <f>COUNTIFS($H$4:$H$1201,Tabla213[[#Headers],[Macrophomina]], $G$4:$G$1201,Tabla213[[#This Row],[Organo]], $B$4:$B$1201,M179)</f>
        <v>0</v>
      </c>
      <c r="U179">
        <f>COUNTIFS($H$4:$H$1201,Tabla213[[#Headers],[Rhizoctonia]], $G$4:$G$1201,Tabla213[[#This Row],[Organo]], $B$4:$B$1201,M179)</f>
        <v>2</v>
      </c>
      <c r="V179">
        <v>0</v>
      </c>
      <c r="W179">
        <f>COUNTIFS($H$4:$H$1201,Tabla213[[#Headers],[Alternaria]], $G$4:$G$1201,Tabla213[[#This Row],[Organo]], $B$4:$B$1201,M179)</f>
        <v>0</v>
      </c>
      <c r="X179">
        <f>COUNTIFS($H$4:$H$1201,Tabla213[[#Headers],[Botrytis]], $G$4:$G$1201,Tabla213[[#This Row],[Organo]], $B$4:$B$1201,M179)</f>
        <v>0</v>
      </c>
      <c r="Y179">
        <f>COUNTIFS($H$4:$H$1201,Tabla213[[#Headers],[Colletotrichum]], $G$4:$G$1201,Tabla213[[#This Row],[Organo]], $B$4:$B$1201,M179)</f>
        <v>0</v>
      </c>
      <c r="Z179">
        <f>COUNTIFS($H$4:$H$1201,Tabla213[[#Headers],[Aspergillus]], $G$4:$G$1201,Tabla213[[#This Row],[Organo]], $B$4:$B$1201,M179)</f>
        <v>0</v>
      </c>
      <c r="AA179">
        <f>COUNTIFS($H$4:$H$1201,Tabla213[[#Headers],[NO ID]], $G$4:$G$1201,Tabla213[[#This Row],[Organo]], $B$4:$B$1201,M179)</f>
        <v>0</v>
      </c>
      <c r="AB179">
        <f>COUNTIFS($H$4:$H$1201,Tabla213[[#Headers],[Trichoderma]], $G$4:$G$1201,Tabla213[[#This Row],[Organo]], $B$4:$B$1201,M179)</f>
        <v>0</v>
      </c>
      <c r="AC179">
        <f>COUNTIFS($H$4:$H$1201,Tabla213[[#Headers],[Rizophus]], $G$4:$G$1201,Tabla213[[#This Row],[Organo]], $B$4:$B$1201,M179)</f>
        <v>0</v>
      </c>
      <c r="AD179">
        <f>COUNTIFS($H$4:$H$1201,Tabla213[[#Headers],[FALTANTES]], $G$4:$G$1201,Tabla213[[#This Row],[Organo]], $B$4:$B$1201,M179)</f>
        <v>0</v>
      </c>
      <c r="AK179">
        <v>65</v>
      </c>
      <c r="AL179" t="s">
        <v>53</v>
      </c>
      <c r="AM179" t="s">
        <v>131</v>
      </c>
      <c r="AN179" t="s">
        <v>477</v>
      </c>
    </row>
    <row r="180" spans="1:40" x14ac:dyDescent="0.2">
      <c r="A180" s="7">
        <v>176</v>
      </c>
      <c r="B180" s="7">
        <v>6</v>
      </c>
      <c r="C180" s="1" t="str">
        <f t="shared" si="130"/>
        <v>PANTANO MEDIO</v>
      </c>
      <c r="D180" s="7" t="s">
        <v>108</v>
      </c>
      <c r="E180" s="1" t="str">
        <f t="shared" si="131"/>
        <v>FORTUNA</v>
      </c>
      <c r="F180" s="7">
        <v>2</v>
      </c>
      <c r="G180" s="7" t="s">
        <v>476</v>
      </c>
      <c r="H180" s="7" t="s">
        <v>155</v>
      </c>
      <c r="I180" s="7" t="s">
        <v>155</v>
      </c>
      <c r="J180" s="7">
        <v>176</v>
      </c>
      <c r="K180" s="7"/>
      <c r="M180">
        <v>65</v>
      </c>
      <c r="N180" t="s">
        <v>53</v>
      </c>
      <c r="O180" t="s">
        <v>131</v>
      </c>
      <c r="P180" t="s">
        <v>477</v>
      </c>
      <c r="Q180">
        <f>COUNTIFS($H$4:$H$1201,Tabla213[[#Headers],[Neopestalotiopsis]], $G$4:$G$1201,Tabla213[[#This Row],[Organo]], $B$4:$B$1201,M180)</f>
        <v>1</v>
      </c>
      <c r="R180">
        <f>COUNTIFS($H$4:$H$1201,Tabla213[[#Headers],[Fusarium]], $G$4:$G$1201,Tabla213[[#This Row],[Organo]], $B$4:$B$1201,M180)</f>
        <v>1</v>
      </c>
      <c r="S180">
        <f>COUNTIFS($H$4:$H$1201,Tabla213[[#Headers],[Cylindrocarpon]], $G$4:$G$1201,Tabla213[[#This Row],[Organo]], $B$4:$B$1201,M180)</f>
        <v>0</v>
      </c>
      <c r="T180">
        <f>COUNTIFS($H$4:$H$1201,Tabla213[[#Headers],[Macrophomina]], $G$4:$G$1201,Tabla213[[#This Row],[Organo]], $B$4:$B$1201,M180)</f>
        <v>0</v>
      </c>
      <c r="U180">
        <f>COUNTIFS($H$4:$H$1201,Tabla213[[#Headers],[Rhizoctonia]], $G$4:$G$1201,Tabla213[[#This Row],[Organo]], $B$4:$B$1201,M180)</f>
        <v>0</v>
      </c>
      <c r="V180">
        <v>0</v>
      </c>
      <c r="W180">
        <f>COUNTIFS($H$4:$H$1201,Tabla213[[#Headers],[Alternaria]], $G$4:$G$1201,Tabla213[[#This Row],[Organo]], $B$4:$B$1201,M180)</f>
        <v>0</v>
      </c>
      <c r="X180">
        <f>COUNTIFS($H$4:$H$1201,Tabla213[[#Headers],[Botrytis]], $G$4:$G$1201,Tabla213[[#This Row],[Organo]], $B$4:$B$1201,M180)</f>
        <v>0</v>
      </c>
      <c r="Y180">
        <f>COUNTIFS($H$4:$H$1201,Tabla213[[#Headers],[Colletotrichum]], $G$4:$G$1201,Tabla213[[#This Row],[Organo]], $B$4:$B$1201,M180)</f>
        <v>0</v>
      </c>
      <c r="Z180">
        <f>COUNTIFS($H$4:$H$1201,Tabla213[[#Headers],[Aspergillus]], $G$4:$G$1201,Tabla213[[#This Row],[Organo]], $B$4:$B$1201,M180)</f>
        <v>0</v>
      </c>
      <c r="AA180">
        <f>COUNTIFS($H$4:$H$1201,Tabla213[[#Headers],[NO ID]], $G$4:$G$1201,Tabla213[[#This Row],[Organo]], $B$4:$B$1201,M180)</f>
        <v>0</v>
      </c>
      <c r="AB180">
        <f>COUNTIFS($H$4:$H$1201,Tabla213[[#Headers],[Trichoderma]], $G$4:$G$1201,Tabla213[[#This Row],[Organo]], $B$4:$B$1201,M180)</f>
        <v>0</v>
      </c>
      <c r="AC180">
        <f>COUNTIFS($H$4:$H$1201,Tabla213[[#Headers],[Rizophus]], $G$4:$G$1201,Tabla213[[#This Row],[Organo]], $B$4:$B$1201,M180)</f>
        <v>0</v>
      </c>
      <c r="AD180">
        <f>COUNTIFS($H$4:$H$1201,Tabla213[[#Headers],[FALTANTES]], $G$4:$G$1201,Tabla213[[#This Row],[Organo]], $B$4:$B$1201,M180)</f>
        <v>0</v>
      </c>
      <c r="AF180">
        <f t="shared" ref="AF180" si="178">SUM(Q179:AD180)</f>
        <v>5</v>
      </c>
      <c r="AG180">
        <f>COUNTIF($B$5:$B$1201, Tabla213[[#This Row],[Num. Parcela]])</f>
        <v>5</v>
      </c>
      <c r="AH180" t="b">
        <f t="shared" ref="AH180" si="179">IF(AF180=AG180, TRUE)</f>
        <v>1</v>
      </c>
      <c r="AK180">
        <v>65</v>
      </c>
      <c r="AL180" t="s">
        <v>53</v>
      </c>
      <c r="AM180" t="s">
        <v>131</v>
      </c>
      <c r="AN180" t="s">
        <v>476</v>
      </c>
    </row>
    <row r="181" spans="1:40" x14ac:dyDescent="0.2">
      <c r="A181" s="7">
        <v>177</v>
      </c>
      <c r="B181" s="7">
        <v>6</v>
      </c>
      <c r="C181" s="1" t="str">
        <f t="shared" si="130"/>
        <v>PANTANO MEDIO</v>
      </c>
      <c r="D181" s="7" t="s">
        <v>108</v>
      </c>
      <c r="E181" s="1" t="str">
        <f t="shared" si="131"/>
        <v>FORTUNA</v>
      </c>
      <c r="F181" s="7">
        <v>1</v>
      </c>
      <c r="G181" s="7" t="s">
        <v>477</v>
      </c>
      <c r="H181" s="7" t="s">
        <v>155</v>
      </c>
      <c r="I181" s="7" t="s">
        <v>155</v>
      </c>
      <c r="J181" s="7">
        <v>177</v>
      </c>
      <c r="K181" s="19" t="s">
        <v>638</v>
      </c>
      <c r="M181">
        <v>66</v>
      </c>
      <c r="N181" t="s">
        <v>54</v>
      </c>
      <c r="O181" t="s">
        <v>114</v>
      </c>
      <c r="P181" t="s">
        <v>476</v>
      </c>
      <c r="Q181">
        <f>COUNTIFS($H$4:$H$1201,Tabla213[[#Headers],[Neopestalotiopsis]], $G$4:$G$1201,Tabla213[[#This Row],[Organo]], $B$4:$B$1201,M181)</f>
        <v>1</v>
      </c>
      <c r="R181">
        <f>COUNTIFS($H$4:$H$1201,Tabla213[[#Headers],[Fusarium]], $G$4:$G$1201,Tabla213[[#This Row],[Organo]], $B$4:$B$1201,M181)</f>
        <v>2</v>
      </c>
      <c r="S181">
        <f>COUNTIFS($H$4:$H$1201,Tabla213[[#Headers],[Cylindrocarpon]], $G$4:$G$1201,Tabla213[[#This Row],[Organo]], $B$4:$B$1201,M181)</f>
        <v>0</v>
      </c>
      <c r="T181">
        <f>COUNTIFS($H$4:$H$1201,Tabla213[[#Headers],[Macrophomina]], $G$4:$G$1201,Tabla213[[#This Row],[Organo]], $B$4:$B$1201,M181)</f>
        <v>0</v>
      </c>
      <c r="U181">
        <f>COUNTIFS($H$4:$H$1201,Tabla213[[#Headers],[Rhizoctonia]], $G$4:$G$1201,Tabla213[[#This Row],[Organo]], $B$4:$B$1201,M181)</f>
        <v>0</v>
      </c>
      <c r="V181">
        <v>0</v>
      </c>
      <c r="W181">
        <f>COUNTIFS($H$4:$H$1201,Tabla213[[#Headers],[Alternaria]], $G$4:$G$1201,Tabla213[[#This Row],[Organo]], $B$4:$B$1201,M181)</f>
        <v>0</v>
      </c>
      <c r="X181">
        <f>COUNTIFS($H$4:$H$1201,Tabla213[[#Headers],[Botrytis]], $G$4:$G$1201,Tabla213[[#This Row],[Organo]], $B$4:$B$1201,M181)</f>
        <v>0</v>
      </c>
      <c r="Y181">
        <f>COUNTIFS($H$4:$H$1201,Tabla213[[#Headers],[Colletotrichum]], $G$4:$G$1201,Tabla213[[#This Row],[Organo]], $B$4:$B$1201,M181)</f>
        <v>0</v>
      </c>
      <c r="Z181">
        <f>COUNTIFS($H$4:$H$1201,Tabla213[[#Headers],[Aspergillus]], $G$4:$G$1201,Tabla213[[#This Row],[Organo]], $B$4:$B$1201,M181)</f>
        <v>0</v>
      </c>
      <c r="AA181">
        <f>COUNTIFS($H$4:$H$1201,Tabla213[[#Headers],[NO ID]], $G$4:$G$1201,Tabla213[[#This Row],[Organo]], $B$4:$B$1201,M181)</f>
        <v>1</v>
      </c>
      <c r="AB181">
        <f>COUNTIFS($H$4:$H$1201,Tabla213[[#Headers],[Trichoderma]], $G$4:$G$1201,Tabla213[[#This Row],[Organo]], $B$4:$B$1201,M181)</f>
        <v>0</v>
      </c>
      <c r="AC181">
        <f>COUNTIFS($H$4:$H$1201,Tabla213[[#Headers],[Rizophus]], $G$4:$G$1201,Tabla213[[#This Row],[Organo]], $B$4:$B$1201,M181)</f>
        <v>0</v>
      </c>
      <c r="AD181">
        <f>COUNTIFS($H$4:$H$1201,Tabla213[[#Headers],[FALTANTES]], $G$4:$G$1201,Tabla213[[#This Row],[Organo]], $B$4:$B$1201,M181)</f>
        <v>0</v>
      </c>
      <c r="AK181">
        <v>66</v>
      </c>
      <c r="AL181" t="s">
        <v>54</v>
      </c>
      <c r="AM181" t="s">
        <v>114</v>
      </c>
      <c r="AN181" t="s">
        <v>477</v>
      </c>
    </row>
    <row r="182" spans="1:40" x14ac:dyDescent="0.2">
      <c r="A182" s="7">
        <v>178</v>
      </c>
      <c r="B182" s="7">
        <v>6</v>
      </c>
      <c r="C182" s="1" t="str">
        <f t="shared" si="130"/>
        <v>PANTANO MEDIO</v>
      </c>
      <c r="D182" s="7" t="s">
        <v>108</v>
      </c>
      <c r="E182" s="1" t="str">
        <f t="shared" si="131"/>
        <v>FORTUNA</v>
      </c>
      <c r="F182" s="7">
        <v>1</v>
      </c>
      <c r="G182" s="7" t="s">
        <v>477</v>
      </c>
      <c r="H182" s="7" t="s">
        <v>149</v>
      </c>
      <c r="I182" s="8" t="s">
        <v>478</v>
      </c>
      <c r="J182" s="7">
        <v>178</v>
      </c>
      <c r="K182" s="7"/>
      <c r="M182">
        <v>66</v>
      </c>
      <c r="N182" t="s">
        <v>54</v>
      </c>
      <c r="O182" t="s">
        <v>114</v>
      </c>
      <c r="P182" t="s">
        <v>477</v>
      </c>
      <c r="Q182">
        <f>COUNTIFS($H$4:$H$1201,Tabla213[[#Headers],[Neopestalotiopsis]], $G$4:$G$1201,Tabla213[[#This Row],[Organo]], $B$4:$B$1201,M182)</f>
        <v>2</v>
      </c>
      <c r="R182">
        <f>COUNTIFS($H$4:$H$1201,Tabla213[[#Headers],[Fusarium]], $G$4:$G$1201,Tabla213[[#This Row],[Organo]], $B$4:$B$1201,M182)</f>
        <v>0</v>
      </c>
      <c r="S182">
        <f>COUNTIFS($H$4:$H$1201,Tabla213[[#Headers],[Cylindrocarpon]], $G$4:$G$1201,Tabla213[[#This Row],[Organo]], $B$4:$B$1201,M182)</f>
        <v>0</v>
      </c>
      <c r="T182">
        <f>COUNTIFS($H$4:$H$1201,Tabla213[[#Headers],[Macrophomina]], $G$4:$G$1201,Tabla213[[#This Row],[Organo]], $B$4:$B$1201,M182)</f>
        <v>0</v>
      </c>
      <c r="U182">
        <f>COUNTIFS($H$4:$H$1201,Tabla213[[#Headers],[Rhizoctonia]], $G$4:$G$1201,Tabla213[[#This Row],[Organo]], $B$4:$B$1201,M182)</f>
        <v>2</v>
      </c>
      <c r="V182">
        <v>0</v>
      </c>
      <c r="W182">
        <f>COUNTIFS($H$4:$H$1201,Tabla213[[#Headers],[Alternaria]], $G$4:$G$1201,Tabla213[[#This Row],[Organo]], $B$4:$B$1201,M182)</f>
        <v>1</v>
      </c>
      <c r="X182">
        <f>COUNTIFS($H$4:$H$1201,Tabla213[[#Headers],[Botrytis]], $G$4:$G$1201,Tabla213[[#This Row],[Organo]], $B$4:$B$1201,M182)</f>
        <v>0</v>
      </c>
      <c r="Y182">
        <f>COUNTIFS($H$4:$H$1201,Tabla213[[#Headers],[Colletotrichum]], $G$4:$G$1201,Tabla213[[#This Row],[Organo]], $B$4:$B$1201,M182)</f>
        <v>0</v>
      </c>
      <c r="Z182">
        <f>COUNTIFS($H$4:$H$1201,Tabla213[[#Headers],[Aspergillus]], $G$4:$G$1201,Tabla213[[#This Row],[Organo]], $B$4:$B$1201,M182)</f>
        <v>0</v>
      </c>
      <c r="AA182">
        <f>COUNTIFS($H$4:$H$1201,Tabla213[[#Headers],[NO ID]], $G$4:$G$1201,Tabla213[[#This Row],[Organo]], $B$4:$B$1201,M182)</f>
        <v>0</v>
      </c>
      <c r="AB182">
        <f>COUNTIFS($H$4:$H$1201,Tabla213[[#Headers],[Trichoderma]], $G$4:$G$1201,Tabla213[[#This Row],[Organo]], $B$4:$B$1201,M182)</f>
        <v>1</v>
      </c>
      <c r="AC182">
        <f>COUNTIFS($H$4:$H$1201,Tabla213[[#Headers],[Rizophus]], $G$4:$G$1201,Tabla213[[#This Row],[Organo]], $B$4:$B$1201,M182)</f>
        <v>0</v>
      </c>
      <c r="AD182">
        <f>COUNTIFS($H$4:$H$1201,Tabla213[[#Headers],[FALTANTES]], $G$4:$G$1201,Tabla213[[#This Row],[Organo]], $B$4:$B$1201,M182)</f>
        <v>0</v>
      </c>
      <c r="AF182">
        <f t="shared" ref="AF182" si="180">SUM(Q181:AD182)</f>
        <v>10</v>
      </c>
      <c r="AG182">
        <f>COUNTIF($B$5:$B$1201, Tabla213[[#This Row],[Num. Parcela]])</f>
        <v>10</v>
      </c>
      <c r="AH182" t="b">
        <f t="shared" ref="AH182" si="181">IF(AF182=AG182, TRUE)</f>
        <v>1</v>
      </c>
      <c r="AK182">
        <v>66</v>
      </c>
      <c r="AL182" t="s">
        <v>54</v>
      </c>
      <c r="AM182" t="s">
        <v>114</v>
      </c>
      <c r="AN182" t="s">
        <v>476</v>
      </c>
    </row>
    <row r="183" spans="1:40" x14ac:dyDescent="0.2">
      <c r="A183" s="7">
        <v>179</v>
      </c>
      <c r="B183" s="7">
        <v>6</v>
      </c>
      <c r="C183" s="1" t="str">
        <f t="shared" si="130"/>
        <v>PANTANO MEDIO</v>
      </c>
      <c r="D183" s="7" t="s">
        <v>108</v>
      </c>
      <c r="E183" s="1" t="str">
        <f t="shared" si="131"/>
        <v>FORTUNA</v>
      </c>
      <c r="F183" s="7">
        <v>2</v>
      </c>
      <c r="G183" s="7" t="s">
        <v>477</v>
      </c>
      <c r="H183" s="7" t="s">
        <v>485</v>
      </c>
      <c r="I183" s="10" t="s">
        <v>485</v>
      </c>
      <c r="J183" s="10">
        <v>179</v>
      </c>
      <c r="K183" s="7"/>
      <c r="M183">
        <v>67</v>
      </c>
      <c r="N183" t="s">
        <v>55</v>
      </c>
      <c r="O183" t="s">
        <v>114</v>
      </c>
      <c r="P183" t="s">
        <v>476</v>
      </c>
      <c r="Q183">
        <f>COUNTIFS($H$4:$H$1201,Tabla213[[#Headers],[Neopestalotiopsis]], $G$4:$G$1201,Tabla213[[#This Row],[Organo]], $B$4:$B$1201,M183)</f>
        <v>10</v>
      </c>
      <c r="R183">
        <f>COUNTIFS($H$4:$H$1201,Tabla213[[#Headers],[Fusarium]], $G$4:$G$1201,Tabla213[[#This Row],[Organo]], $B$4:$B$1201,M183)</f>
        <v>0</v>
      </c>
      <c r="S183">
        <f>COUNTIFS($H$4:$H$1201,Tabla213[[#Headers],[Cylindrocarpon]], $G$4:$G$1201,Tabla213[[#This Row],[Organo]], $B$4:$B$1201,M183)</f>
        <v>0</v>
      </c>
      <c r="T183">
        <f>COUNTIFS($H$4:$H$1201,Tabla213[[#Headers],[Macrophomina]], $G$4:$G$1201,Tabla213[[#This Row],[Organo]], $B$4:$B$1201,M183)</f>
        <v>0</v>
      </c>
      <c r="U183">
        <f>COUNTIFS($H$4:$H$1201,Tabla213[[#Headers],[Rhizoctonia]], $G$4:$G$1201,Tabla213[[#This Row],[Organo]], $B$4:$B$1201,M183)</f>
        <v>0</v>
      </c>
      <c r="V183">
        <v>0</v>
      </c>
      <c r="W183">
        <f>COUNTIFS($H$4:$H$1201,Tabla213[[#Headers],[Alternaria]], $G$4:$G$1201,Tabla213[[#This Row],[Organo]], $B$4:$B$1201,M183)</f>
        <v>0</v>
      </c>
      <c r="X183">
        <f>COUNTIFS($H$4:$H$1201,Tabla213[[#Headers],[Botrytis]], $G$4:$G$1201,Tabla213[[#This Row],[Organo]], $B$4:$B$1201,M183)</f>
        <v>0</v>
      </c>
      <c r="Y183">
        <f>COUNTIFS($H$4:$H$1201,Tabla213[[#Headers],[Colletotrichum]], $G$4:$G$1201,Tabla213[[#This Row],[Organo]], $B$4:$B$1201,M183)</f>
        <v>0</v>
      </c>
      <c r="Z183">
        <f>COUNTIFS($H$4:$H$1201,Tabla213[[#Headers],[Aspergillus]], $G$4:$G$1201,Tabla213[[#This Row],[Organo]], $B$4:$B$1201,M183)</f>
        <v>0</v>
      </c>
      <c r="AA183">
        <f>COUNTIFS($H$4:$H$1201,Tabla213[[#Headers],[NO ID]], $G$4:$G$1201,Tabla213[[#This Row],[Organo]], $B$4:$B$1201,M183)</f>
        <v>0</v>
      </c>
      <c r="AB183">
        <f>COUNTIFS($H$4:$H$1201,Tabla213[[#Headers],[Trichoderma]], $G$4:$G$1201,Tabla213[[#This Row],[Organo]], $B$4:$B$1201,M183)</f>
        <v>0</v>
      </c>
      <c r="AC183">
        <f>COUNTIFS($H$4:$H$1201,Tabla213[[#Headers],[Rizophus]], $G$4:$G$1201,Tabla213[[#This Row],[Organo]], $B$4:$B$1201,M183)</f>
        <v>0</v>
      </c>
      <c r="AD183">
        <f>COUNTIFS($H$4:$H$1201,Tabla213[[#Headers],[FALTANTES]], $G$4:$G$1201,Tabla213[[#This Row],[Organo]], $B$4:$B$1201,M183)</f>
        <v>0</v>
      </c>
      <c r="AK183">
        <v>67</v>
      </c>
      <c r="AL183" t="s">
        <v>55</v>
      </c>
      <c r="AM183" t="s">
        <v>114</v>
      </c>
      <c r="AN183" t="s">
        <v>477</v>
      </c>
    </row>
    <row r="184" spans="1:40" x14ac:dyDescent="0.2">
      <c r="A184" s="7">
        <v>180</v>
      </c>
      <c r="B184" s="7">
        <v>6</v>
      </c>
      <c r="C184" s="1" t="str">
        <f t="shared" si="130"/>
        <v>PANTANO MEDIO</v>
      </c>
      <c r="D184" s="7" t="s">
        <v>108</v>
      </c>
      <c r="E184" s="1" t="str">
        <f t="shared" si="131"/>
        <v>FORTUNA</v>
      </c>
      <c r="F184" s="7">
        <v>2</v>
      </c>
      <c r="G184" s="7" t="s">
        <v>477</v>
      </c>
      <c r="H184" s="7" t="s">
        <v>149</v>
      </c>
      <c r="I184" s="7" t="s">
        <v>480</v>
      </c>
      <c r="J184" s="7">
        <v>180</v>
      </c>
      <c r="K184" s="7"/>
      <c r="M184">
        <v>67</v>
      </c>
      <c r="N184" t="s">
        <v>55</v>
      </c>
      <c r="O184" t="s">
        <v>114</v>
      </c>
      <c r="P184" t="s">
        <v>477</v>
      </c>
      <c r="Q184">
        <f>COUNTIFS($H$4:$H$1201,Tabla213[[#Headers],[Neopestalotiopsis]], $G$4:$G$1201,Tabla213[[#This Row],[Organo]], $B$4:$B$1201,M184)</f>
        <v>4</v>
      </c>
      <c r="R184">
        <f>COUNTIFS($H$4:$H$1201,Tabla213[[#Headers],[Fusarium]], $G$4:$G$1201,Tabla213[[#This Row],[Organo]], $B$4:$B$1201,M184)</f>
        <v>1</v>
      </c>
      <c r="S184">
        <f>COUNTIFS($H$4:$H$1201,Tabla213[[#Headers],[Cylindrocarpon]], $G$4:$G$1201,Tabla213[[#This Row],[Organo]], $B$4:$B$1201,M184)</f>
        <v>0</v>
      </c>
      <c r="T184">
        <f>COUNTIFS($H$4:$H$1201,Tabla213[[#Headers],[Macrophomina]], $G$4:$G$1201,Tabla213[[#This Row],[Organo]], $B$4:$B$1201,M184)</f>
        <v>0</v>
      </c>
      <c r="U184">
        <f>COUNTIFS($H$4:$H$1201,Tabla213[[#Headers],[Rhizoctonia]], $G$4:$G$1201,Tabla213[[#This Row],[Organo]], $B$4:$B$1201,M184)</f>
        <v>2</v>
      </c>
      <c r="V184">
        <v>0</v>
      </c>
      <c r="W184">
        <f>COUNTIFS($H$4:$H$1201,Tabla213[[#Headers],[Alternaria]], $G$4:$G$1201,Tabla213[[#This Row],[Organo]], $B$4:$B$1201,M184)</f>
        <v>0</v>
      </c>
      <c r="X184">
        <f>COUNTIFS($H$4:$H$1201,Tabla213[[#Headers],[Botrytis]], $G$4:$G$1201,Tabla213[[#This Row],[Organo]], $B$4:$B$1201,M184)</f>
        <v>0</v>
      </c>
      <c r="Y184">
        <f>COUNTIFS($H$4:$H$1201,Tabla213[[#Headers],[Colletotrichum]], $G$4:$G$1201,Tabla213[[#This Row],[Organo]], $B$4:$B$1201,M184)</f>
        <v>0</v>
      </c>
      <c r="Z184">
        <f>COUNTIFS($H$4:$H$1201,Tabla213[[#Headers],[Aspergillus]], $G$4:$G$1201,Tabla213[[#This Row],[Organo]], $B$4:$B$1201,M184)</f>
        <v>0</v>
      </c>
      <c r="AA184">
        <f>COUNTIFS($H$4:$H$1201,Tabla213[[#Headers],[NO ID]], $G$4:$G$1201,Tabla213[[#This Row],[Organo]], $B$4:$B$1201,M184)</f>
        <v>0</v>
      </c>
      <c r="AB184">
        <f>COUNTIFS($H$4:$H$1201,Tabla213[[#Headers],[Trichoderma]], $G$4:$G$1201,Tabla213[[#This Row],[Organo]], $B$4:$B$1201,M184)</f>
        <v>0</v>
      </c>
      <c r="AC184">
        <f>COUNTIFS($H$4:$H$1201,Tabla213[[#Headers],[Rizophus]], $G$4:$G$1201,Tabla213[[#This Row],[Organo]], $B$4:$B$1201,M184)</f>
        <v>0</v>
      </c>
      <c r="AD184">
        <f>COUNTIFS($H$4:$H$1201,Tabla213[[#Headers],[FALTANTES]], $G$4:$G$1201,Tabla213[[#This Row],[Organo]], $B$4:$B$1201,M184)</f>
        <v>0</v>
      </c>
      <c r="AF184">
        <f t="shared" ref="AF184" si="182">SUM(Q183:AD184)</f>
        <v>17</v>
      </c>
      <c r="AG184">
        <f>COUNTIF($B$5:$B$1201, Tabla213[[#This Row],[Num. Parcela]])</f>
        <v>17</v>
      </c>
      <c r="AH184" t="b">
        <f t="shared" ref="AH184" si="183">IF(AF184=AG184, TRUE)</f>
        <v>1</v>
      </c>
      <c r="AK184">
        <v>67</v>
      </c>
      <c r="AL184" t="s">
        <v>55</v>
      </c>
      <c r="AM184" t="s">
        <v>114</v>
      </c>
      <c r="AN184" t="s">
        <v>476</v>
      </c>
    </row>
    <row r="185" spans="1:40" x14ac:dyDescent="0.2">
      <c r="A185" s="7">
        <v>181</v>
      </c>
      <c r="B185" s="7">
        <v>6</v>
      </c>
      <c r="C185" s="1" t="str">
        <f t="shared" si="130"/>
        <v>PANTANO MEDIO</v>
      </c>
      <c r="D185" s="7" t="s">
        <v>108</v>
      </c>
      <c r="E185" s="1" t="str">
        <f t="shared" si="131"/>
        <v>FORTUNA</v>
      </c>
      <c r="F185" s="7">
        <v>2</v>
      </c>
      <c r="G185" s="7" t="s">
        <v>477</v>
      </c>
      <c r="H185" s="7" t="s">
        <v>485</v>
      </c>
      <c r="I185" s="10" t="s">
        <v>485</v>
      </c>
      <c r="J185" s="10">
        <v>181</v>
      </c>
      <c r="K185" s="7"/>
      <c r="M185">
        <v>68</v>
      </c>
      <c r="N185" t="s">
        <v>56</v>
      </c>
      <c r="O185" t="s">
        <v>114</v>
      </c>
      <c r="P185" t="s">
        <v>476</v>
      </c>
      <c r="Q185">
        <f>COUNTIFS($H$4:$H$1201,Tabla213[[#Headers],[Neopestalotiopsis]], $G$4:$G$1201,Tabla213[[#This Row],[Organo]], $B$4:$B$1201,M185)</f>
        <v>0</v>
      </c>
      <c r="R185">
        <f>COUNTIFS($H$4:$H$1201,Tabla213[[#Headers],[Fusarium]], $G$4:$G$1201,Tabla213[[#This Row],[Organo]], $B$4:$B$1201,M185)</f>
        <v>1</v>
      </c>
      <c r="S185">
        <f>COUNTIFS($H$4:$H$1201,Tabla213[[#Headers],[Cylindrocarpon]], $G$4:$G$1201,Tabla213[[#This Row],[Organo]], $B$4:$B$1201,M185)</f>
        <v>0</v>
      </c>
      <c r="T185">
        <f>COUNTIFS($H$4:$H$1201,Tabla213[[#Headers],[Macrophomina]], $G$4:$G$1201,Tabla213[[#This Row],[Organo]], $B$4:$B$1201,M185)</f>
        <v>0</v>
      </c>
      <c r="U185">
        <f>COUNTIFS($H$4:$H$1201,Tabla213[[#Headers],[Rhizoctonia]], $G$4:$G$1201,Tabla213[[#This Row],[Organo]], $B$4:$B$1201,M185)</f>
        <v>1</v>
      </c>
      <c r="V185">
        <v>0</v>
      </c>
      <c r="W185">
        <f>COUNTIFS($H$4:$H$1201,Tabla213[[#Headers],[Alternaria]], $G$4:$G$1201,Tabla213[[#This Row],[Organo]], $B$4:$B$1201,M185)</f>
        <v>0</v>
      </c>
      <c r="X185">
        <f>COUNTIFS($H$4:$H$1201,Tabla213[[#Headers],[Botrytis]], $G$4:$G$1201,Tabla213[[#This Row],[Organo]], $B$4:$B$1201,M185)</f>
        <v>0</v>
      </c>
      <c r="Y185">
        <f>COUNTIFS($H$4:$H$1201,Tabla213[[#Headers],[Colletotrichum]], $G$4:$G$1201,Tabla213[[#This Row],[Organo]], $B$4:$B$1201,M185)</f>
        <v>0</v>
      </c>
      <c r="Z185">
        <f>COUNTIFS($H$4:$H$1201,Tabla213[[#Headers],[Aspergillus]], $G$4:$G$1201,Tabla213[[#This Row],[Organo]], $B$4:$B$1201,M185)</f>
        <v>0</v>
      </c>
      <c r="AA185">
        <f>COUNTIFS($H$4:$H$1201,Tabla213[[#Headers],[NO ID]], $G$4:$G$1201,Tabla213[[#This Row],[Organo]], $B$4:$B$1201,M185)</f>
        <v>0</v>
      </c>
      <c r="AB185">
        <f>COUNTIFS($H$4:$H$1201,Tabla213[[#Headers],[Trichoderma]], $G$4:$G$1201,Tabla213[[#This Row],[Organo]], $B$4:$B$1201,M185)</f>
        <v>0</v>
      </c>
      <c r="AC185">
        <f>COUNTIFS($H$4:$H$1201,Tabla213[[#Headers],[Rizophus]], $G$4:$G$1201,Tabla213[[#This Row],[Organo]], $B$4:$B$1201,M185)</f>
        <v>0</v>
      </c>
      <c r="AD185">
        <f>COUNTIFS($H$4:$H$1201,Tabla213[[#Headers],[FALTANTES]], $G$4:$G$1201,Tabla213[[#This Row],[Organo]], $B$4:$B$1201,M185)</f>
        <v>0</v>
      </c>
      <c r="AK185">
        <v>68</v>
      </c>
      <c r="AL185" t="s">
        <v>56</v>
      </c>
      <c r="AM185" t="s">
        <v>114</v>
      </c>
      <c r="AN185" t="s">
        <v>477</v>
      </c>
    </row>
    <row r="186" spans="1:40" x14ac:dyDescent="0.2">
      <c r="A186" s="7">
        <v>182</v>
      </c>
      <c r="B186" s="7">
        <v>6</v>
      </c>
      <c r="C186" s="1" t="str">
        <f t="shared" si="130"/>
        <v>PANTANO MEDIO</v>
      </c>
      <c r="D186" s="7" t="s">
        <v>108</v>
      </c>
      <c r="E186" s="1" t="str">
        <f t="shared" si="131"/>
        <v>FORTUNA</v>
      </c>
      <c r="F186" s="7">
        <v>1</v>
      </c>
      <c r="G186" s="7" t="s">
        <v>477</v>
      </c>
      <c r="H186" s="7" t="s">
        <v>471</v>
      </c>
      <c r="I186" s="7" t="s">
        <v>471</v>
      </c>
      <c r="J186" s="7">
        <v>182</v>
      </c>
      <c r="K186" s="7"/>
      <c r="M186">
        <v>68</v>
      </c>
      <c r="N186" t="s">
        <v>56</v>
      </c>
      <c r="O186" t="s">
        <v>114</v>
      </c>
      <c r="P186" t="s">
        <v>477</v>
      </c>
      <c r="Q186">
        <f>COUNTIFS($H$4:$H$1201,Tabla213[[#Headers],[Neopestalotiopsis]], $G$4:$G$1201,Tabla213[[#This Row],[Organo]], $B$4:$B$1201,M186)</f>
        <v>1</v>
      </c>
      <c r="R186">
        <f>COUNTIFS($H$4:$H$1201,Tabla213[[#Headers],[Fusarium]], $G$4:$G$1201,Tabla213[[#This Row],[Organo]], $B$4:$B$1201,M186)</f>
        <v>1</v>
      </c>
      <c r="S186">
        <f>COUNTIFS($H$4:$H$1201,Tabla213[[#Headers],[Cylindrocarpon]], $G$4:$G$1201,Tabla213[[#This Row],[Organo]], $B$4:$B$1201,M186)</f>
        <v>1</v>
      </c>
      <c r="T186">
        <f>COUNTIFS($H$4:$H$1201,Tabla213[[#Headers],[Macrophomina]], $G$4:$G$1201,Tabla213[[#This Row],[Organo]], $B$4:$B$1201,M186)</f>
        <v>0</v>
      </c>
      <c r="U186">
        <f>COUNTIFS($H$4:$H$1201,Tabla213[[#Headers],[Rhizoctonia]], $G$4:$G$1201,Tabla213[[#This Row],[Organo]], $B$4:$B$1201,M186)</f>
        <v>1</v>
      </c>
      <c r="V186">
        <v>1</v>
      </c>
      <c r="W186">
        <f>COUNTIFS($H$4:$H$1201,Tabla213[[#Headers],[Alternaria]], $G$4:$G$1201,Tabla213[[#This Row],[Organo]], $B$4:$B$1201,M186)</f>
        <v>0</v>
      </c>
      <c r="X186">
        <f>COUNTIFS($H$4:$H$1201,Tabla213[[#Headers],[Botrytis]], $G$4:$G$1201,Tabla213[[#This Row],[Organo]], $B$4:$B$1201,M186)</f>
        <v>0</v>
      </c>
      <c r="Y186">
        <f>COUNTIFS($H$4:$H$1201,Tabla213[[#Headers],[Colletotrichum]], $G$4:$G$1201,Tabla213[[#This Row],[Organo]], $B$4:$B$1201,M186)</f>
        <v>0</v>
      </c>
      <c r="Z186">
        <f>COUNTIFS($H$4:$H$1201,Tabla213[[#Headers],[Aspergillus]], $G$4:$G$1201,Tabla213[[#This Row],[Organo]], $B$4:$B$1201,M186)</f>
        <v>0</v>
      </c>
      <c r="AA186">
        <f>COUNTIFS($H$4:$H$1201,Tabla213[[#Headers],[NO ID]], $G$4:$G$1201,Tabla213[[#This Row],[Organo]], $B$4:$B$1201,M186)</f>
        <v>0</v>
      </c>
      <c r="AB186">
        <f>COUNTIFS($H$4:$H$1201,Tabla213[[#Headers],[Trichoderma]], $G$4:$G$1201,Tabla213[[#This Row],[Organo]], $B$4:$B$1201,M186)</f>
        <v>0</v>
      </c>
      <c r="AC186">
        <f>COUNTIFS($H$4:$H$1201,Tabla213[[#Headers],[Rizophus]], $G$4:$G$1201,Tabla213[[#This Row],[Organo]], $B$4:$B$1201,M186)</f>
        <v>0</v>
      </c>
      <c r="AD186">
        <f>COUNTIFS($H$4:$H$1201,Tabla213[[#Headers],[FALTANTES]], $G$4:$G$1201,Tabla213[[#This Row],[Organo]], $B$4:$B$1201,M186)</f>
        <v>0</v>
      </c>
      <c r="AF186">
        <f t="shared" ref="AF186" si="184">SUM(Q185:AD186)</f>
        <v>7</v>
      </c>
      <c r="AG186">
        <f>COUNTIF($B$5:$B$1201, Tabla213[[#This Row],[Num. Parcela]])</f>
        <v>7</v>
      </c>
      <c r="AH186" t="b">
        <f t="shared" ref="AH186" si="185">IF(AF186=AG186, TRUE)</f>
        <v>1</v>
      </c>
      <c r="AK186">
        <v>68</v>
      </c>
      <c r="AL186" t="s">
        <v>56</v>
      </c>
      <c r="AM186" t="s">
        <v>114</v>
      </c>
      <c r="AN186" t="s">
        <v>476</v>
      </c>
    </row>
    <row r="187" spans="1:40" x14ac:dyDescent="0.2">
      <c r="A187" s="7">
        <v>183</v>
      </c>
      <c r="B187" s="7">
        <v>6</v>
      </c>
      <c r="C187" s="1" t="str">
        <f t="shared" si="130"/>
        <v>PANTANO MEDIO</v>
      </c>
      <c r="D187" s="7" t="s">
        <v>108</v>
      </c>
      <c r="E187" s="1" t="str">
        <f t="shared" si="131"/>
        <v>FORTUNA</v>
      </c>
      <c r="F187" s="7">
        <v>1</v>
      </c>
      <c r="G187" s="7" t="s">
        <v>477</v>
      </c>
      <c r="H187" s="7" t="s">
        <v>471</v>
      </c>
      <c r="I187" s="7" t="s">
        <v>471</v>
      </c>
      <c r="J187" s="7">
        <v>183</v>
      </c>
      <c r="K187" s="7"/>
      <c r="M187">
        <v>69</v>
      </c>
      <c r="N187" t="s">
        <v>57</v>
      </c>
      <c r="O187" t="s">
        <v>131</v>
      </c>
      <c r="P187" t="s">
        <v>476</v>
      </c>
      <c r="Q187">
        <f>COUNTIFS($H$4:$H$1201,Tabla213[[#Headers],[Neopestalotiopsis]], $G$4:$G$1201,Tabla213[[#This Row],[Organo]], $B$4:$B$1201,M187)</f>
        <v>4</v>
      </c>
      <c r="R187">
        <f>COUNTIFS($H$4:$H$1201,Tabla213[[#Headers],[Fusarium]], $G$4:$G$1201,Tabla213[[#This Row],[Organo]], $B$4:$B$1201,M187)</f>
        <v>1</v>
      </c>
      <c r="S187">
        <f>COUNTIFS($H$4:$H$1201,Tabla213[[#Headers],[Cylindrocarpon]], $G$4:$G$1201,Tabla213[[#This Row],[Organo]], $B$4:$B$1201,M187)</f>
        <v>0</v>
      </c>
      <c r="T187">
        <f>COUNTIFS($H$4:$H$1201,Tabla213[[#Headers],[Macrophomina]], $G$4:$G$1201,Tabla213[[#This Row],[Organo]], $B$4:$B$1201,M187)</f>
        <v>0</v>
      </c>
      <c r="U187">
        <f>COUNTIFS($H$4:$H$1201,Tabla213[[#Headers],[Rhizoctonia]], $G$4:$G$1201,Tabla213[[#This Row],[Organo]], $B$4:$B$1201,M187)</f>
        <v>0</v>
      </c>
      <c r="V187">
        <v>0</v>
      </c>
      <c r="W187">
        <f>COUNTIFS($H$4:$H$1201,Tabla213[[#Headers],[Alternaria]], $G$4:$G$1201,Tabla213[[#This Row],[Organo]], $B$4:$B$1201,M187)</f>
        <v>0</v>
      </c>
      <c r="X187">
        <f>COUNTIFS($H$4:$H$1201,Tabla213[[#Headers],[Botrytis]], $G$4:$G$1201,Tabla213[[#This Row],[Organo]], $B$4:$B$1201,M187)</f>
        <v>0</v>
      </c>
      <c r="Y187">
        <f>COUNTIFS($H$4:$H$1201,Tabla213[[#Headers],[Colletotrichum]], $G$4:$G$1201,Tabla213[[#This Row],[Organo]], $B$4:$B$1201,M187)</f>
        <v>0</v>
      </c>
      <c r="Z187">
        <f>COUNTIFS($H$4:$H$1201,Tabla213[[#Headers],[Aspergillus]], $G$4:$G$1201,Tabla213[[#This Row],[Organo]], $B$4:$B$1201,M187)</f>
        <v>0</v>
      </c>
      <c r="AA187">
        <f>COUNTIFS($H$4:$H$1201,Tabla213[[#Headers],[NO ID]], $G$4:$G$1201,Tabla213[[#This Row],[Organo]], $B$4:$B$1201,M187)</f>
        <v>0</v>
      </c>
      <c r="AB187">
        <f>COUNTIFS($H$4:$H$1201,Tabla213[[#Headers],[Trichoderma]], $G$4:$G$1201,Tabla213[[#This Row],[Organo]], $B$4:$B$1201,M187)</f>
        <v>0</v>
      </c>
      <c r="AC187">
        <f>COUNTIFS($H$4:$H$1201,Tabla213[[#Headers],[Rizophus]], $G$4:$G$1201,Tabla213[[#This Row],[Organo]], $B$4:$B$1201,M187)</f>
        <v>0</v>
      </c>
      <c r="AD187">
        <f>COUNTIFS($H$4:$H$1201,Tabla213[[#Headers],[FALTANTES]], $G$4:$G$1201,Tabla213[[#This Row],[Organo]], $B$4:$B$1201,M187)</f>
        <v>0</v>
      </c>
      <c r="AK187">
        <v>69</v>
      </c>
      <c r="AL187" t="s">
        <v>57</v>
      </c>
      <c r="AM187" t="s">
        <v>131</v>
      </c>
      <c r="AN187" t="s">
        <v>477</v>
      </c>
    </row>
    <row r="188" spans="1:40" x14ac:dyDescent="0.2">
      <c r="A188" s="7">
        <v>184</v>
      </c>
      <c r="B188" s="7">
        <v>6</v>
      </c>
      <c r="C188" s="1" t="str">
        <f t="shared" si="130"/>
        <v>PANTANO MEDIO</v>
      </c>
      <c r="D188" s="7" t="s">
        <v>108</v>
      </c>
      <c r="E188" s="1" t="str">
        <f t="shared" si="131"/>
        <v>FORTUNA</v>
      </c>
      <c r="F188" s="7">
        <v>1</v>
      </c>
      <c r="G188" s="7" t="s">
        <v>477</v>
      </c>
      <c r="H188" s="7" t="s">
        <v>474</v>
      </c>
      <c r="I188" s="11" t="s">
        <v>474</v>
      </c>
      <c r="J188" s="9">
        <v>184</v>
      </c>
      <c r="K188" s="7"/>
      <c r="M188">
        <v>69</v>
      </c>
      <c r="N188" t="s">
        <v>57</v>
      </c>
      <c r="O188" t="s">
        <v>131</v>
      </c>
      <c r="P188" t="s">
        <v>477</v>
      </c>
      <c r="Q188">
        <f>COUNTIFS($H$4:$H$1201,Tabla213[[#Headers],[Neopestalotiopsis]], $G$4:$G$1201,Tabla213[[#This Row],[Organo]], $B$4:$B$1201,M188)</f>
        <v>3</v>
      </c>
      <c r="R188">
        <f>COUNTIFS($H$4:$H$1201,Tabla213[[#Headers],[Fusarium]], $G$4:$G$1201,Tabla213[[#This Row],[Organo]], $B$4:$B$1201,M188)</f>
        <v>2</v>
      </c>
      <c r="S188">
        <f>COUNTIFS($H$4:$H$1201,Tabla213[[#Headers],[Cylindrocarpon]], $G$4:$G$1201,Tabla213[[#This Row],[Organo]], $B$4:$B$1201,M188)</f>
        <v>0</v>
      </c>
      <c r="T188">
        <f>COUNTIFS($H$4:$H$1201,Tabla213[[#Headers],[Macrophomina]], $G$4:$G$1201,Tabla213[[#This Row],[Organo]], $B$4:$B$1201,M188)</f>
        <v>0</v>
      </c>
      <c r="U188">
        <f>COUNTIFS($H$4:$H$1201,Tabla213[[#Headers],[Rhizoctonia]], $G$4:$G$1201,Tabla213[[#This Row],[Organo]], $B$4:$B$1201,M188)</f>
        <v>0</v>
      </c>
      <c r="V188">
        <v>0</v>
      </c>
      <c r="W188">
        <f>COUNTIFS($H$4:$H$1201,Tabla213[[#Headers],[Alternaria]], $G$4:$G$1201,Tabla213[[#This Row],[Organo]], $B$4:$B$1201,M188)</f>
        <v>1</v>
      </c>
      <c r="X188">
        <f>COUNTIFS($H$4:$H$1201,Tabla213[[#Headers],[Botrytis]], $G$4:$G$1201,Tabla213[[#This Row],[Organo]], $B$4:$B$1201,M188)</f>
        <v>0</v>
      </c>
      <c r="Y188">
        <f>COUNTIFS($H$4:$H$1201,Tabla213[[#Headers],[Colletotrichum]], $G$4:$G$1201,Tabla213[[#This Row],[Organo]], $B$4:$B$1201,M188)</f>
        <v>0</v>
      </c>
      <c r="Z188">
        <f>COUNTIFS($H$4:$H$1201,Tabla213[[#Headers],[Aspergillus]], $G$4:$G$1201,Tabla213[[#This Row],[Organo]], $B$4:$B$1201,M188)</f>
        <v>0</v>
      </c>
      <c r="AA188">
        <f>COUNTIFS($H$4:$H$1201,Tabla213[[#Headers],[NO ID]], $G$4:$G$1201,Tabla213[[#This Row],[Organo]], $B$4:$B$1201,M188)</f>
        <v>1</v>
      </c>
      <c r="AB188">
        <f>COUNTIFS($H$4:$H$1201,Tabla213[[#Headers],[Trichoderma]], $G$4:$G$1201,Tabla213[[#This Row],[Organo]], $B$4:$B$1201,M188)</f>
        <v>0</v>
      </c>
      <c r="AC188">
        <f>COUNTIFS($H$4:$H$1201,Tabla213[[#Headers],[Rizophus]], $G$4:$G$1201,Tabla213[[#This Row],[Organo]], $B$4:$B$1201,M188)</f>
        <v>0</v>
      </c>
      <c r="AD188">
        <f>COUNTIFS($H$4:$H$1201,Tabla213[[#Headers],[FALTANTES]], $G$4:$G$1201,Tabla213[[#This Row],[Organo]], $B$4:$B$1201,M188)</f>
        <v>0</v>
      </c>
      <c r="AF188">
        <f t="shared" ref="AF188" si="186">SUM(Q187:AD188)</f>
        <v>12</v>
      </c>
      <c r="AG188">
        <f>COUNTIF($B$5:$B$1201, Tabla213[[#This Row],[Num. Parcela]])</f>
        <v>12</v>
      </c>
      <c r="AH188" t="b">
        <f t="shared" ref="AH188" si="187">IF(AF188=AG188, TRUE)</f>
        <v>1</v>
      </c>
      <c r="AK188">
        <v>69</v>
      </c>
      <c r="AL188" t="s">
        <v>57</v>
      </c>
      <c r="AM188" t="s">
        <v>131</v>
      </c>
      <c r="AN188" t="s">
        <v>476</v>
      </c>
    </row>
    <row r="189" spans="1:40" x14ac:dyDescent="0.2">
      <c r="A189" s="7">
        <v>185</v>
      </c>
      <c r="B189" s="7">
        <v>6</v>
      </c>
      <c r="C189" s="1" t="str">
        <f t="shared" si="130"/>
        <v>PANTANO MEDIO</v>
      </c>
      <c r="D189" s="7" t="s">
        <v>108</v>
      </c>
      <c r="E189" s="1" t="str">
        <f t="shared" si="131"/>
        <v>FORTUNA</v>
      </c>
      <c r="F189" s="7">
        <v>2</v>
      </c>
      <c r="G189" s="7" t="s">
        <v>477</v>
      </c>
      <c r="H189" s="7" t="s">
        <v>149</v>
      </c>
      <c r="I189" s="7" t="s">
        <v>480</v>
      </c>
      <c r="J189" s="7">
        <v>185</v>
      </c>
      <c r="K189" s="7"/>
      <c r="M189">
        <v>70</v>
      </c>
      <c r="N189" t="s">
        <v>58</v>
      </c>
      <c r="O189" t="s">
        <v>114</v>
      </c>
      <c r="P189" t="s">
        <v>476</v>
      </c>
      <c r="Q189">
        <f>COUNTIFS($H$4:$H$1201,Tabla213[[#Headers],[Neopestalotiopsis]], $G$4:$G$1201,Tabla213[[#This Row],[Organo]], $B$4:$B$1201,M189)</f>
        <v>5</v>
      </c>
      <c r="R189">
        <f>COUNTIFS($H$4:$H$1201,Tabla213[[#Headers],[Fusarium]], $G$4:$G$1201,Tabla213[[#This Row],[Organo]], $B$4:$B$1201,M189)</f>
        <v>2</v>
      </c>
      <c r="S189">
        <f>COUNTIFS($H$4:$H$1201,Tabla213[[#Headers],[Cylindrocarpon]], $G$4:$G$1201,Tabla213[[#This Row],[Organo]], $B$4:$B$1201,M189)</f>
        <v>0</v>
      </c>
      <c r="T189">
        <f>COUNTIFS($H$4:$H$1201,Tabla213[[#Headers],[Macrophomina]], $G$4:$G$1201,Tabla213[[#This Row],[Organo]], $B$4:$B$1201,M189)</f>
        <v>0</v>
      </c>
      <c r="U189">
        <f>COUNTIFS($H$4:$H$1201,Tabla213[[#Headers],[Rhizoctonia]], $G$4:$G$1201,Tabla213[[#This Row],[Organo]], $B$4:$B$1201,M189)</f>
        <v>0</v>
      </c>
      <c r="V189">
        <v>0</v>
      </c>
      <c r="W189">
        <f>COUNTIFS($H$4:$H$1201,Tabla213[[#Headers],[Alternaria]], $G$4:$G$1201,Tabla213[[#This Row],[Organo]], $B$4:$B$1201,M189)</f>
        <v>1</v>
      </c>
      <c r="X189">
        <f>COUNTIFS($H$4:$H$1201,Tabla213[[#Headers],[Botrytis]], $G$4:$G$1201,Tabla213[[#This Row],[Organo]], $B$4:$B$1201,M189)</f>
        <v>0</v>
      </c>
      <c r="Y189">
        <f>COUNTIFS($H$4:$H$1201,Tabla213[[#Headers],[Colletotrichum]], $G$4:$G$1201,Tabla213[[#This Row],[Organo]], $B$4:$B$1201,M189)</f>
        <v>3</v>
      </c>
      <c r="Z189">
        <f>COUNTIFS($H$4:$H$1201,Tabla213[[#Headers],[Aspergillus]], $G$4:$G$1201,Tabla213[[#This Row],[Organo]], $B$4:$B$1201,M189)</f>
        <v>0</v>
      </c>
      <c r="AA189">
        <f>COUNTIFS($H$4:$H$1201,Tabla213[[#Headers],[NO ID]], $G$4:$G$1201,Tabla213[[#This Row],[Organo]], $B$4:$B$1201,M189)</f>
        <v>0</v>
      </c>
      <c r="AB189">
        <f>COUNTIFS($H$4:$H$1201,Tabla213[[#Headers],[Trichoderma]], $G$4:$G$1201,Tabla213[[#This Row],[Organo]], $B$4:$B$1201,M189)</f>
        <v>0</v>
      </c>
      <c r="AC189">
        <f>COUNTIFS($H$4:$H$1201,Tabla213[[#Headers],[Rizophus]], $G$4:$G$1201,Tabla213[[#This Row],[Organo]], $B$4:$B$1201,M189)</f>
        <v>0</v>
      </c>
      <c r="AD189">
        <f>COUNTIFS($H$4:$H$1201,Tabla213[[#Headers],[FALTANTES]], $G$4:$G$1201,Tabla213[[#This Row],[Organo]], $B$4:$B$1201,M189)</f>
        <v>0</v>
      </c>
      <c r="AK189">
        <v>70</v>
      </c>
      <c r="AL189" t="s">
        <v>58</v>
      </c>
      <c r="AM189" t="s">
        <v>114</v>
      </c>
      <c r="AN189" t="s">
        <v>477</v>
      </c>
    </row>
    <row r="190" spans="1:40" x14ac:dyDescent="0.2">
      <c r="A190" s="7">
        <v>186</v>
      </c>
      <c r="B190" s="7">
        <v>6</v>
      </c>
      <c r="C190" s="1" t="str">
        <f t="shared" si="130"/>
        <v>PANTANO MEDIO</v>
      </c>
      <c r="D190" s="7" t="s">
        <v>108</v>
      </c>
      <c r="E190" s="1" t="str">
        <f t="shared" si="131"/>
        <v>FORTUNA</v>
      </c>
      <c r="F190" s="7">
        <v>2</v>
      </c>
      <c r="G190" s="7" t="s">
        <v>477</v>
      </c>
      <c r="H190" s="7" t="s">
        <v>485</v>
      </c>
      <c r="I190" s="10" t="s">
        <v>485</v>
      </c>
      <c r="J190" s="10">
        <v>186</v>
      </c>
      <c r="K190" s="7"/>
      <c r="M190">
        <v>70</v>
      </c>
      <c r="N190" t="s">
        <v>58</v>
      </c>
      <c r="O190" t="s">
        <v>114</v>
      </c>
      <c r="P190" t="s">
        <v>477</v>
      </c>
      <c r="Q190">
        <f>COUNTIFS($H$4:$H$1201,Tabla213[[#Headers],[Neopestalotiopsis]], $G$4:$G$1201,Tabla213[[#This Row],[Organo]], $B$4:$B$1201,M190)</f>
        <v>2</v>
      </c>
      <c r="R190">
        <f>COUNTIFS($H$4:$H$1201,Tabla213[[#Headers],[Fusarium]], $G$4:$G$1201,Tabla213[[#This Row],[Organo]], $B$4:$B$1201,M190)</f>
        <v>2</v>
      </c>
      <c r="S190">
        <f>COUNTIFS($H$4:$H$1201,Tabla213[[#Headers],[Cylindrocarpon]], $G$4:$G$1201,Tabla213[[#This Row],[Organo]], $B$4:$B$1201,M190)</f>
        <v>1</v>
      </c>
      <c r="T190">
        <f>COUNTIFS($H$4:$H$1201,Tabla213[[#Headers],[Macrophomina]], $G$4:$G$1201,Tabla213[[#This Row],[Organo]], $B$4:$B$1201,M190)</f>
        <v>0</v>
      </c>
      <c r="U190">
        <f>COUNTIFS($H$4:$H$1201,Tabla213[[#Headers],[Rhizoctonia]], $G$4:$G$1201,Tabla213[[#This Row],[Organo]], $B$4:$B$1201,M190)</f>
        <v>1</v>
      </c>
      <c r="V190">
        <v>0</v>
      </c>
      <c r="W190">
        <f>COUNTIFS($H$4:$H$1201,Tabla213[[#Headers],[Alternaria]], $G$4:$G$1201,Tabla213[[#This Row],[Organo]], $B$4:$B$1201,M190)</f>
        <v>0</v>
      </c>
      <c r="X190">
        <f>COUNTIFS($H$4:$H$1201,Tabla213[[#Headers],[Botrytis]], $G$4:$G$1201,Tabla213[[#This Row],[Organo]], $B$4:$B$1201,M190)</f>
        <v>0</v>
      </c>
      <c r="Y190">
        <f>COUNTIFS($H$4:$H$1201,Tabla213[[#Headers],[Colletotrichum]], $G$4:$G$1201,Tabla213[[#This Row],[Organo]], $B$4:$B$1201,M190)</f>
        <v>0</v>
      </c>
      <c r="Z190">
        <f>COUNTIFS($H$4:$H$1201,Tabla213[[#Headers],[Aspergillus]], $G$4:$G$1201,Tabla213[[#This Row],[Organo]], $B$4:$B$1201,M190)</f>
        <v>0</v>
      </c>
      <c r="AA190">
        <f>COUNTIFS($H$4:$H$1201,Tabla213[[#Headers],[NO ID]], $G$4:$G$1201,Tabla213[[#This Row],[Organo]], $B$4:$B$1201,M190)</f>
        <v>0</v>
      </c>
      <c r="AB190">
        <f>COUNTIFS($H$4:$H$1201,Tabla213[[#Headers],[Trichoderma]], $G$4:$G$1201,Tabla213[[#This Row],[Organo]], $B$4:$B$1201,M190)</f>
        <v>0</v>
      </c>
      <c r="AC190">
        <f>COUNTIFS($H$4:$H$1201,Tabla213[[#Headers],[Rizophus]], $G$4:$G$1201,Tabla213[[#This Row],[Organo]], $B$4:$B$1201,M190)</f>
        <v>0</v>
      </c>
      <c r="AD190">
        <f>COUNTIFS($H$4:$H$1201,Tabla213[[#Headers],[FALTANTES]], $G$4:$G$1201,Tabla213[[#This Row],[Organo]], $B$4:$B$1201,M190)</f>
        <v>0</v>
      </c>
      <c r="AF190">
        <f t="shared" ref="AF190" si="188">SUM(Q189:AD190)</f>
        <v>17</v>
      </c>
      <c r="AG190">
        <f>COUNTIF($B$5:$B$1201, Tabla213[[#This Row],[Num. Parcela]])</f>
        <v>17</v>
      </c>
      <c r="AH190" t="b">
        <f t="shared" ref="AH190" si="189">IF(AF190=AG190, TRUE)</f>
        <v>1</v>
      </c>
      <c r="AK190">
        <v>70</v>
      </c>
      <c r="AL190" t="s">
        <v>58</v>
      </c>
      <c r="AM190" t="s">
        <v>114</v>
      </c>
      <c r="AN190" t="s">
        <v>476</v>
      </c>
    </row>
    <row r="191" spans="1:40" x14ac:dyDescent="0.2">
      <c r="A191" s="7">
        <v>187</v>
      </c>
      <c r="B191" s="7">
        <v>7</v>
      </c>
      <c r="C191" s="1" t="str">
        <f t="shared" si="130"/>
        <v>PANTABAJO</v>
      </c>
      <c r="D191" s="7" t="s">
        <v>108</v>
      </c>
      <c r="E191" s="1" t="str">
        <f t="shared" si="131"/>
        <v>SENSATION</v>
      </c>
      <c r="F191" s="7">
        <v>1</v>
      </c>
      <c r="G191" s="7" t="s">
        <v>476</v>
      </c>
      <c r="H191" s="7" t="s">
        <v>472</v>
      </c>
      <c r="I191" s="7" t="s">
        <v>472</v>
      </c>
      <c r="J191" s="7">
        <v>187</v>
      </c>
      <c r="K191" s="19" t="s">
        <v>638</v>
      </c>
      <c r="L191">
        <v>1</v>
      </c>
      <c r="M191">
        <v>71</v>
      </c>
      <c r="N191" t="s">
        <v>59</v>
      </c>
      <c r="O191" t="s">
        <v>114</v>
      </c>
      <c r="P191" t="s">
        <v>476</v>
      </c>
      <c r="Q191">
        <f>COUNTIFS($H$4:$H$1201,Tabla213[[#Headers],[Neopestalotiopsis]], $G$4:$G$1201,Tabla213[[#This Row],[Organo]], $B$4:$B$1201,M191)</f>
        <v>0</v>
      </c>
      <c r="R191">
        <f>COUNTIFS($H$4:$H$1201,Tabla213[[#Headers],[Fusarium]], $G$4:$G$1201,Tabla213[[#This Row],[Organo]], $B$4:$B$1201,M191)</f>
        <v>0</v>
      </c>
      <c r="S191">
        <f>COUNTIFS($H$4:$H$1201,Tabla213[[#Headers],[Cylindrocarpon]], $G$4:$G$1201,Tabla213[[#This Row],[Organo]], $B$4:$B$1201,M191)</f>
        <v>0</v>
      </c>
      <c r="T191">
        <f>COUNTIFS($H$4:$H$1201,Tabla213[[#Headers],[Macrophomina]], $G$4:$G$1201,Tabla213[[#This Row],[Organo]], $B$4:$B$1201,M191)</f>
        <v>0</v>
      </c>
      <c r="U191">
        <f>COUNTIFS($H$4:$H$1201,Tabla213[[#Headers],[Rhizoctonia]], $G$4:$G$1201,Tabla213[[#This Row],[Organo]], $B$4:$B$1201,M191)</f>
        <v>0</v>
      </c>
      <c r="V191">
        <v>0</v>
      </c>
      <c r="W191">
        <f>COUNTIFS($H$4:$H$1201,Tabla213[[#Headers],[Alternaria]], $G$4:$G$1201,Tabla213[[#This Row],[Organo]], $B$4:$B$1201,M191)</f>
        <v>0</v>
      </c>
      <c r="X191">
        <f>COUNTIFS($H$4:$H$1201,Tabla213[[#Headers],[Botrytis]], $G$4:$G$1201,Tabla213[[#This Row],[Organo]], $B$4:$B$1201,M191)</f>
        <v>0</v>
      </c>
      <c r="Y191">
        <f>COUNTIFS($H$4:$H$1201,Tabla213[[#Headers],[Colletotrichum]], $G$4:$G$1201,Tabla213[[#This Row],[Organo]], $B$4:$B$1201,M191)</f>
        <v>0</v>
      </c>
      <c r="Z191">
        <f>COUNTIFS($H$4:$H$1201,Tabla213[[#Headers],[Aspergillus]], $G$4:$G$1201,Tabla213[[#This Row],[Organo]], $B$4:$B$1201,M191)</f>
        <v>0</v>
      </c>
      <c r="AA191">
        <f>COUNTIFS($H$4:$H$1201,Tabla213[[#Headers],[NO ID]], $G$4:$G$1201,Tabla213[[#This Row],[Organo]], $B$4:$B$1201,M191)</f>
        <v>0</v>
      </c>
      <c r="AB191">
        <f>COUNTIFS($H$4:$H$1201,Tabla213[[#Headers],[Trichoderma]], $G$4:$G$1201,Tabla213[[#This Row],[Organo]], $B$4:$B$1201,M191)</f>
        <v>0</v>
      </c>
      <c r="AC191">
        <f>COUNTIFS($H$4:$H$1201,Tabla213[[#Headers],[Rizophus]], $G$4:$G$1201,Tabla213[[#This Row],[Organo]], $B$4:$B$1201,M191)</f>
        <v>0</v>
      </c>
      <c r="AD191">
        <f>COUNTIFS($H$4:$H$1201,Tabla213[[#Headers],[FALTANTES]], $G$4:$G$1201,Tabla213[[#This Row],[Organo]], $B$4:$B$1201,M191)</f>
        <v>0</v>
      </c>
      <c r="AK191">
        <v>71</v>
      </c>
      <c r="AL191" t="s">
        <v>59</v>
      </c>
      <c r="AM191" t="s">
        <v>114</v>
      </c>
      <c r="AN191" t="s">
        <v>477</v>
      </c>
    </row>
    <row r="192" spans="1:40" x14ac:dyDescent="0.2">
      <c r="A192" s="7">
        <v>188</v>
      </c>
      <c r="B192" s="7">
        <v>7</v>
      </c>
      <c r="C192" s="1" t="str">
        <f t="shared" si="130"/>
        <v>PANTABAJO</v>
      </c>
      <c r="D192" s="7" t="s">
        <v>108</v>
      </c>
      <c r="E192" s="1" t="str">
        <f t="shared" si="131"/>
        <v>SENSATION</v>
      </c>
      <c r="F192" s="7">
        <v>1</v>
      </c>
      <c r="G192" s="7" t="s">
        <v>476</v>
      </c>
      <c r="H192" s="7" t="s">
        <v>149</v>
      </c>
      <c r="I192" s="7" t="s">
        <v>480</v>
      </c>
      <c r="J192" s="7">
        <v>188</v>
      </c>
      <c r="K192" s="19" t="s">
        <v>638</v>
      </c>
      <c r="M192">
        <v>71</v>
      </c>
      <c r="N192" t="s">
        <v>59</v>
      </c>
      <c r="O192" t="s">
        <v>114</v>
      </c>
      <c r="P192" t="s">
        <v>477</v>
      </c>
      <c r="Q192">
        <f>COUNTIFS($H$4:$H$1201,Tabla213[[#Headers],[Neopestalotiopsis]], $G$4:$G$1201,Tabla213[[#This Row],[Organo]], $B$4:$B$1201,M192)</f>
        <v>0</v>
      </c>
      <c r="R192">
        <f>COUNTIFS($H$4:$H$1201,Tabla213[[#Headers],[Fusarium]], $G$4:$G$1201,Tabla213[[#This Row],[Organo]], $B$4:$B$1201,M192)</f>
        <v>1</v>
      </c>
      <c r="S192">
        <f>COUNTIFS($H$4:$H$1201,Tabla213[[#Headers],[Cylindrocarpon]], $G$4:$G$1201,Tabla213[[#This Row],[Organo]], $B$4:$B$1201,M192)</f>
        <v>0</v>
      </c>
      <c r="T192">
        <f>COUNTIFS($H$4:$H$1201,Tabla213[[#Headers],[Macrophomina]], $G$4:$G$1201,Tabla213[[#This Row],[Organo]], $B$4:$B$1201,M192)</f>
        <v>0</v>
      </c>
      <c r="U192">
        <f>COUNTIFS($H$4:$H$1201,Tabla213[[#Headers],[Rhizoctonia]], $G$4:$G$1201,Tabla213[[#This Row],[Organo]], $B$4:$B$1201,M192)</f>
        <v>2</v>
      </c>
      <c r="V192">
        <v>0</v>
      </c>
      <c r="W192">
        <f>COUNTIFS($H$4:$H$1201,Tabla213[[#Headers],[Alternaria]], $G$4:$G$1201,Tabla213[[#This Row],[Organo]], $B$4:$B$1201,M192)</f>
        <v>0</v>
      </c>
      <c r="X192">
        <f>COUNTIFS($H$4:$H$1201,Tabla213[[#Headers],[Botrytis]], $G$4:$G$1201,Tabla213[[#This Row],[Organo]], $B$4:$B$1201,M192)</f>
        <v>0</v>
      </c>
      <c r="Y192">
        <f>COUNTIFS($H$4:$H$1201,Tabla213[[#Headers],[Colletotrichum]], $G$4:$G$1201,Tabla213[[#This Row],[Organo]], $B$4:$B$1201,M192)</f>
        <v>1</v>
      </c>
      <c r="Z192">
        <f>COUNTIFS($H$4:$H$1201,Tabla213[[#Headers],[Aspergillus]], $G$4:$G$1201,Tabla213[[#This Row],[Organo]], $B$4:$B$1201,M192)</f>
        <v>0</v>
      </c>
      <c r="AA192">
        <f>COUNTIFS($H$4:$H$1201,Tabla213[[#Headers],[NO ID]], $G$4:$G$1201,Tabla213[[#This Row],[Organo]], $B$4:$B$1201,M192)</f>
        <v>0</v>
      </c>
      <c r="AB192">
        <f>COUNTIFS($H$4:$H$1201,Tabla213[[#Headers],[Trichoderma]], $G$4:$G$1201,Tabla213[[#This Row],[Organo]], $B$4:$B$1201,M192)</f>
        <v>0</v>
      </c>
      <c r="AC192">
        <f>COUNTIFS($H$4:$H$1201,Tabla213[[#Headers],[Rizophus]], $G$4:$G$1201,Tabla213[[#This Row],[Organo]], $B$4:$B$1201,M192)</f>
        <v>0</v>
      </c>
      <c r="AD192">
        <f>COUNTIFS($H$4:$H$1201,Tabla213[[#Headers],[FALTANTES]], $G$4:$G$1201,Tabla213[[#This Row],[Organo]], $B$4:$B$1201,M192)</f>
        <v>0</v>
      </c>
      <c r="AF192">
        <f t="shared" ref="AF192" si="190">SUM(Q191:AD192)</f>
        <v>4</v>
      </c>
      <c r="AG192">
        <f>COUNTIF($B$5:$B$1201, Tabla213[[#This Row],[Num. Parcela]])</f>
        <v>4</v>
      </c>
      <c r="AH192" t="b">
        <f t="shared" ref="AH192" si="191">IF(AF192=AG192, TRUE)</f>
        <v>1</v>
      </c>
      <c r="AK192">
        <v>71</v>
      </c>
      <c r="AL192" t="s">
        <v>59</v>
      </c>
      <c r="AM192" t="s">
        <v>114</v>
      </c>
      <c r="AN192" t="s">
        <v>476</v>
      </c>
    </row>
    <row r="193" spans="1:40" x14ac:dyDescent="0.2">
      <c r="A193" s="7">
        <v>189</v>
      </c>
      <c r="B193" s="7">
        <v>7</v>
      </c>
      <c r="C193" s="1" t="str">
        <f t="shared" si="130"/>
        <v>PANTABAJO</v>
      </c>
      <c r="D193" s="7" t="s">
        <v>108</v>
      </c>
      <c r="E193" s="1" t="str">
        <f t="shared" si="131"/>
        <v>SENSATION</v>
      </c>
      <c r="F193" s="7">
        <v>1</v>
      </c>
      <c r="G193" s="7" t="s">
        <v>476</v>
      </c>
      <c r="H193" s="7" t="s">
        <v>149</v>
      </c>
      <c r="I193" s="7" t="s">
        <v>480</v>
      </c>
      <c r="J193" s="7">
        <v>189</v>
      </c>
      <c r="K193" s="19" t="s">
        <v>638</v>
      </c>
      <c r="M193">
        <v>72</v>
      </c>
      <c r="N193" t="s">
        <v>60</v>
      </c>
      <c r="O193" t="s">
        <v>114</v>
      </c>
      <c r="P193" t="s">
        <v>476</v>
      </c>
      <c r="Q193">
        <f>COUNTIFS($H$4:$H$1201,Tabla213[[#Headers],[Neopestalotiopsis]], $G$4:$G$1201,Tabla213[[#This Row],[Organo]], $B$4:$B$1201,M193)</f>
        <v>1</v>
      </c>
      <c r="R193">
        <f>COUNTIFS($H$4:$H$1201,Tabla213[[#Headers],[Fusarium]], $G$4:$G$1201,Tabla213[[#This Row],[Organo]], $B$4:$B$1201,M193)</f>
        <v>2</v>
      </c>
      <c r="S193">
        <f>COUNTIFS($H$4:$H$1201,Tabla213[[#Headers],[Cylindrocarpon]], $G$4:$G$1201,Tabla213[[#This Row],[Organo]], $B$4:$B$1201,M193)</f>
        <v>0</v>
      </c>
      <c r="T193">
        <f>COUNTIFS($H$4:$H$1201,Tabla213[[#Headers],[Macrophomina]], $G$4:$G$1201,Tabla213[[#This Row],[Organo]], $B$4:$B$1201,M193)</f>
        <v>0</v>
      </c>
      <c r="U193">
        <f>COUNTIFS($H$4:$H$1201,Tabla213[[#Headers],[Rhizoctonia]], $G$4:$G$1201,Tabla213[[#This Row],[Organo]], $B$4:$B$1201,M193)</f>
        <v>0</v>
      </c>
      <c r="V193">
        <v>0</v>
      </c>
      <c r="W193">
        <f>COUNTIFS($H$4:$H$1201,Tabla213[[#Headers],[Alternaria]], $G$4:$G$1201,Tabla213[[#This Row],[Organo]], $B$4:$B$1201,M193)</f>
        <v>0</v>
      </c>
      <c r="X193">
        <f>COUNTIFS($H$4:$H$1201,Tabla213[[#Headers],[Botrytis]], $G$4:$G$1201,Tabla213[[#This Row],[Organo]], $B$4:$B$1201,M193)</f>
        <v>0</v>
      </c>
      <c r="Y193">
        <f>COUNTIFS($H$4:$H$1201,Tabla213[[#Headers],[Colletotrichum]], $G$4:$G$1201,Tabla213[[#This Row],[Organo]], $B$4:$B$1201,M193)</f>
        <v>0</v>
      </c>
      <c r="Z193">
        <f>COUNTIFS($H$4:$H$1201,Tabla213[[#Headers],[Aspergillus]], $G$4:$G$1201,Tabla213[[#This Row],[Organo]], $B$4:$B$1201,M193)</f>
        <v>0</v>
      </c>
      <c r="AA193">
        <f>COUNTIFS($H$4:$H$1201,Tabla213[[#Headers],[NO ID]], $G$4:$G$1201,Tabla213[[#This Row],[Organo]], $B$4:$B$1201,M193)</f>
        <v>0</v>
      </c>
      <c r="AB193">
        <f>COUNTIFS($H$4:$H$1201,Tabla213[[#Headers],[Trichoderma]], $G$4:$G$1201,Tabla213[[#This Row],[Organo]], $B$4:$B$1201,M193)</f>
        <v>0</v>
      </c>
      <c r="AC193">
        <f>COUNTIFS($H$4:$H$1201,Tabla213[[#Headers],[Rizophus]], $G$4:$G$1201,Tabla213[[#This Row],[Organo]], $B$4:$B$1201,M193)</f>
        <v>0</v>
      </c>
      <c r="AD193">
        <f>COUNTIFS($H$4:$H$1201,Tabla213[[#Headers],[FALTANTES]], $G$4:$G$1201,Tabla213[[#This Row],[Organo]], $B$4:$B$1201,M193)</f>
        <v>0</v>
      </c>
      <c r="AK193">
        <v>72</v>
      </c>
      <c r="AL193" t="s">
        <v>60</v>
      </c>
      <c r="AM193" t="s">
        <v>114</v>
      </c>
      <c r="AN193" t="s">
        <v>477</v>
      </c>
    </row>
    <row r="194" spans="1:40" x14ac:dyDescent="0.2">
      <c r="A194" s="7">
        <v>190</v>
      </c>
      <c r="B194" s="7">
        <v>7</v>
      </c>
      <c r="C194" s="1" t="str">
        <f t="shared" si="130"/>
        <v>PANTABAJO</v>
      </c>
      <c r="D194" s="7" t="s">
        <v>108</v>
      </c>
      <c r="E194" s="1" t="str">
        <f t="shared" si="131"/>
        <v>SENSATION</v>
      </c>
      <c r="F194" s="7">
        <v>2</v>
      </c>
      <c r="G194" s="7" t="s">
        <v>476</v>
      </c>
      <c r="H194" s="7" t="s">
        <v>155</v>
      </c>
      <c r="I194" s="7" t="s">
        <v>155</v>
      </c>
      <c r="J194" s="7">
        <v>190</v>
      </c>
      <c r="K194" s="19" t="s">
        <v>638</v>
      </c>
      <c r="M194">
        <v>72</v>
      </c>
      <c r="N194" t="s">
        <v>60</v>
      </c>
      <c r="O194" t="s">
        <v>114</v>
      </c>
      <c r="P194" t="s">
        <v>477</v>
      </c>
      <c r="Q194">
        <f>COUNTIFS($H$4:$H$1201,Tabla213[[#Headers],[Neopestalotiopsis]], $G$4:$G$1201,Tabla213[[#This Row],[Organo]], $B$4:$B$1201,M194)</f>
        <v>1</v>
      </c>
      <c r="R194">
        <f>COUNTIFS($H$4:$H$1201,Tabla213[[#Headers],[Fusarium]], $G$4:$G$1201,Tabla213[[#This Row],[Organo]], $B$4:$B$1201,M194)</f>
        <v>1</v>
      </c>
      <c r="S194">
        <f>COUNTIFS($H$4:$H$1201,Tabla213[[#Headers],[Cylindrocarpon]], $G$4:$G$1201,Tabla213[[#This Row],[Organo]], $B$4:$B$1201,M194)</f>
        <v>1</v>
      </c>
      <c r="T194">
        <f>COUNTIFS($H$4:$H$1201,Tabla213[[#Headers],[Macrophomina]], $G$4:$G$1201,Tabla213[[#This Row],[Organo]], $B$4:$B$1201,M194)</f>
        <v>0</v>
      </c>
      <c r="U194">
        <f>COUNTIFS($H$4:$H$1201,Tabla213[[#Headers],[Rhizoctonia]], $G$4:$G$1201,Tabla213[[#This Row],[Organo]], $B$4:$B$1201,M194)</f>
        <v>1</v>
      </c>
      <c r="V194">
        <v>0</v>
      </c>
      <c r="W194">
        <f>COUNTIFS($H$4:$H$1201,Tabla213[[#Headers],[Alternaria]], $G$4:$G$1201,Tabla213[[#This Row],[Organo]], $B$4:$B$1201,M194)</f>
        <v>0</v>
      </c>
      <c r="X194">
        <f>COUNTIFS($H$4:$H$1201,Tabla213[[#Headers],[Botrytis]], $G$4:$G$1201,Tabla213[[#This Row],[Organo]], $B$4:$B$1201,M194)</f>
        <v>0</v>
      </c>
      <c r="Y194">
        <f>COUNTIFS($H$4:$H$1201,Tabla213[[#Headers],[Colletotrichum]], $G$4:$G$1201,Tabla213[[#This Row],[Organo]], $B$4:$B$1201,M194)</f>
        <v>0</v>
      </c>
      <c r="Z194">
        <f>COUNTIFS($H$4:$H$1201,Tabla213[[#Headers],[Aspergillus]], $G$4:$G$1201,Tabla213[[#This Row],[Organo]], $B$4:$B$1201,M194)</f>
        <v>0</v>
      </c>
      <c r="AA194">
        <f>COUNTIFS($H$4:$H$1201,Tabla213[[#Headers],[NO ID]], $G$4:$G$1201,Tabla213[[#This Row],[Organo]], $B$4:$B$1201,M194)</f>
        <v>0</v>
      </c>
      <c r="AB194">
        <f>COUNTIFS($H$4:$H$1201,Tabla213[[#Headers],[Trichoderma]], $G$4:$G$1201,Tabla213[[#This Row],[Organo]], $B$4:$B$1201,M194)</f>
        <v>0</v>
      </c>
      <c r="AC194">
        <f>COUNTIFS($H$4:$H$1201,Tabla213[[#Headers],[Rizophus]], $G$4:$G$1201,Tabla213[[#This Row],[Organo]], $B$4:$B$1201,M194)</f>
        <v>0</v>
      </c>
      <c r="AD194">
        <f>COUNTIFS($H$4:$H$1201,Tabla213[[#Headers],[FALTANTES]], $G$4:$G$1201,Tabla213[[#This Row],[Organo]], $B$4:$B$1201,M194)</f>
        <v>0</v>
      </c>
      <c r="AF194">
        <f t="shared" ref="AF194" si="192">SUM(Q193:AD194)</f>
        <v>7</v>
      </c>
      <c r="AG194">
        <f>COUNTIF($B$5:$B$1201, Tabla213[[#This Row],[Num. Parcela]])</f>
        <v>7</v>
      </c>
      <c r="AH194" t="b">
        <f t="shared" ref="AH194" si="193">IF(AF194=AG194, TRUE)</f>
        <v>1</v>
      </c>
      <c r="AK194">
        <v>72</v>
      </c>
      <c r="AL194" t="s">
        <v>60</v>
      </c>
      <c r="AM194" t="s">
        <v>114</v>
      </c>
      <c r="AN194" t="s">
        <v>476</v>
      </c>
    </row>
    <row r="195" spans="1:40" x14ac:dyDescent="0.2">
      <c r="A195" s="7">
        <v>191</v>
      </c>
      <c r="B195" s="7">
        <v>7</v>
      </c>
      <c r="C195" s="1" t="str">
        <f t="shared" si="130"/>
        <v>PANTABAJO</v>
      </c>
      <c r="D195" s="7" t="s">
        <v>108</v>
      </c>
      <c r="E195" s="1" t="str">
        <f t="shared" si="131"/>
        <v>SENSATION</v>
      </c>
      <c r="F195" s="7">
        <v>2</v>
      </c>
      <c r="G195" s="7" t="s">
        <v>476</v>
      </c>
      <c r="H195" s="7" t="s">
        <v>155</v>
      </c>
      <c r="I195" s="7" t="s">
        <v>155</v>
      </c>
      <c r="J195" s="7">
        <v>191</v>
      </c>
      <c r="K195" s="19" t="s">
        <v>638</v>
      </c>
      <c r="M195">
        <v>73</v>
      </c>
      <c r="N195" t="s">
        <v>62</v>
      </c>
      <c r="O195" t="s">
        <v>131</v>
      </c>
      <c r="P195" t="s">
        <v>476</v>
      </c>
      <c r="Q195">
        <f>COUNTIFS($H$4:$H$1201,Tabla213[[#Headers],[Neopestalotiopsis]], $G$4:$G$1201,Tabla213[[#This Row],[Organo]], $B$4:$B$1201,M195)</f>
        <v>1</v>
      </c>
      <c r="R195">
        <f>COUNTIFS($H$4:$H$1201,Tabla213[[#Headers],[Fusarium]], $G$4:$G$1201,Tabla213[[#This Row],[Organo]], $B$4:$B$1201,M195)</f>
        <v>1</v>
      </c>
      <c r="S195">
        <f>COUNTIFS($H$4:$H$1201,Tabla213[[#Headers],[Cylindrocarpon]], $G$4:$G$1201,Tabla213[[#This Row],[Organo]], $B$4:$B$1201,M195)</f>
        <v>0</v>
      </c>
      <c r="T195">
        <f>COUNTIFS($H$4:$H$1201,Tabla213[[#Headers],[Macrophomina]], $G$4:$G$1201,Tabla213[[#This Row],[Organo]], $B$4:$B$1201,M195)</f>
        <v>0</v>
      </c>
      <c r="U195">
        <f>COUNTIFS($H$4:$H$1201,Tabla213[[#Headers],[Rhizoctonia]], $G$4:$G$1201,Tabla213[[#This Row],[Organo]], $B$4:$B$1201,M195)</f>
        <v>0</v>
      </c>
      <c r="V195">
        <v>0</v>
      </c>
      <c r="W195">
        <f>COUNTIFS($H$4:$H$1201,Tabla213[[#Headers],[Alternaria]], $G$4:$G$1201,Tabla213[[#This Row],[Organo]], $B$4:$B$1201,M195)</f>
        <v>0</v>
      </c>
      <c r="X195">
        <f>COUNTIFS($H$4:$H$1201,Tabla213[[#Headers],[Botrytis]], $G$4:$G$1201,Tabla213[[#This Row],[Organo]], $B$4:$B$1201,M195)</f>
        <v>0</v>
      </c>
      <c r="Y195">
        <f>COUNTIFS($H$4:$H$1201,Tabla213[[#Headers],[Colletotrichum]], $G$4:$G$1201,Tabla213[[#This Row],[Organo]], $B$4:$B$1201,M195)</f>
        <v>0</v>
      </c>
      <c r="Z195">
        <f>COUNTIFS($H$4:$H$1201,Tabla213[[#Headers],[Aspergillus]], $G$4:$G$1201,Tabla213[[#This Row],[Organo]], $B$4:$B$1201,M195)</f>
        <v>0</v>
      </c>
      <c r="AA195">
        <f>COUNTIFS($H$4:$H$1201,Tabla213[[#Headers],[NO ID]], $G$4:$G$1201,Tabla213[[#This Row],[Organo]], $B$4:$B$1201,M195)</f>
        <v>0</v>
      </c>
      <c r="AB195">
        <f>COUNTIFS($H$4:$H$1201,Tabla213[[#Headers],[Trichoderma]], $G$4:$G$1201,Tabla213[[#This Row],[Organo]], $B$4:$B$1201,M195)</f>
        <v>0</v>
      </c>
      <c r="AC195">
        <f>COUNTIFS($H$4:$H$1201,Tabla213[[#Headers],[Rizophus]], $G$4:$G$1201,Tabla213[[#This Row],[Organo]], $B$4:$B$1201,M195)</f>
        <v>0</v>
      </c>
      <c r="AD195">
        <f>COUNTIFS($H$4:$H$1201,Tabla213[[#Headers],[FALTANTES]], $G$4:$G$1201,Tabla213[[#This Row],[Organo]], $B$4:$B$1201,M195)</f>
        <v>0</v>
      </c>
      <c r="AK195">
        <v>73</v>
      </c>
      <c r="AL195" t="s">
        <v>61</v>
      </c>
      <c r="AM195" t="s">
        <v>131</v>
      </c>
      <c r="AN195" t="s">
        <v>477</v>
      </c>
    </row>
    <row r="196" spans="1:40" x14ac:dyDescent="0.2">
      <c r="A196" s="7">
        <v>192</v>
      </c>
      <c r="B196" s="7">
        <v>7</v>
      </c>
      <c r="C196" s="1" t="str">
        <f t="shared" si="130"/>
        <v>PANTABAJO</v>
      </c>
      <c r="D196" s="7" t="s">
        <v>108</v>
      </c>
      <c r="E196" s="1" t="str">
        <f t="shared" si="131"/>
        <v>SENSATION</v>
      </c>
      <c r="F196" s="7">
        <v>1</v>
      </c>
      <c r="G196" s="7" t="s">
        <v>477</v>
      </c>
      <c r="H196" s="7" t="s">
        <v>228</v>
      </c>
      <c r="I196" s="9" t="s">
        <v>487</v>
      </c>
      <c r="J196" s="9">
        <v>192</v>
      </c>
      <c r="K196" s="7"/>
      <c r="M196">
        <v>73</v>
      </c>
      <c r="N196" t="s">
        <v>62</v>
      </c>
      <c r="O196" t="s">
        <v>131</v>
      </c>
      <c r="P196" t="s">
        <v>477</v>
      </c>
      <c r="Q196">
        <f>COUNTIFS($H$4:$H$1201,Tabla213[[#Headers],[Neopestalotiopsis]], $G$4:$G$1201,Tabla213[[#This Row],[Organo]], $B$4:$B$1201,M196)</f>
        <v>2</v>
      </c>
      <c r="R196">
        <f>COUNTIFS($H$4:$H$1201,Tabla213[[#Headers],[Fusarium]], $G$4:$G$1201,Tabla213[[#This Row],[Organo]], $B$4:$B$1201,M196)</f>
        <v>1</v>
      </c>
      <c r="S196">
        <f>COUNTIFS($H$4:$H$1201,Tabla213[[#Headers],[Cylindrocarpon]], $G$4:$G$1201,Tabla213[[#This Row],[Organo]], $B$4:$B$1201,M196)</f>
        <v>0</v>
      </c>
      <c r="T196">
        <f>COUNTIFS($H$4:$H$1201,Tabla213[[#Headers],[Macrophomina]], $G$4:$G$1201,Tabla213[[#This Row],[Organo]], $B$4:$B$1201,M196)</f>
        <v>0</v>
      </c>
      <c r="U196">
        <f>COUNTIFS($H$4:$H$1201,Tabla213[[#Headers],[Rhizoctonia]], $G$4:$G$1201,Tabla213[[#This Row],[Organo]], $B$4:$B$1201,M196)</f>
        <v>1</v>
      </c>
      <c r="V196">
        <v>0</v>
      </c>
      <c r="W196">
        <f>COUNTIFS($H$4:$H$1201,Tabla213[[#Headers],[Alternaria]], $G$4:$G$1201,Tabla213[[#This Row],[Organo]], $B$4:$B$1201,M196)</f>
        <v>0</v>
      </c>
      <c r="X196">
        <f>COUNTIFS($H$4:$H$1201,Tabla213[[#Headers],[Botrytis]], $G$4:$G$1201,Tabla213[[#This Row],[Organo]], $B$4:$B$1201,M196)</f>
        <v>0</v>
      </c>
      <c r="Y196">
        <f>COUNTIFS($H$4:$H$1201,Tabla213[[#Headers],[Colletotrichum]], $G$4:$G$1201,Tabla213[[#This Row],[Organo]], $B$4:$B$1201,M196)</f>
        <v>1</v>
      </c>
      <c r="Z196">
        <f>COUNTIFS($H$4:$H$1201,Tabla213[[#Headers],[Aspergillus]], $G$4:$G$1201,Tabla213[[#This Row],[Organo]], $B$4:$B$1201,M196)</f>
        <v>0</v>
      </c>
      <c r="AA196">
        <f>COUNTIFS($H$4:$H$1201,Tabla213[[#Headers],[NO ID]], $G$4:$G$1201,Tabla213[[#This Row],[Organo]], $B$4:$B$1201,M196)</f>
        <v>0</v>
      </c>
      <c r="AB196">
        <f>COUNTIFS($H$4:$H$1201,Tabla213[[#Headers],[Trichoderma]], $G$4:$G$1201,Tabla213[[#This Row],[Organo]], $B$4:$B$1201,M196)</f>
        <v>0</v>
      </c>
      <c r="AC196">
        <f>COUNTIFS($H$4:$H$1201,Tabla213[[#Headers],[Rizophus]], $G$4:$G$1201,Tabla213[[#This Row],[Organo]], $B$4:$B$1201,M196)</f>
        <v>0</v>
      </c>
      <c r="AD196">
        <f>COUNTIFS($H$4:$H$1201,Tabla213[[#Headers],[FALTANTES]], $G$4:$G$1201,Tabla213[[#This Row],[Organo]], $B$4:$B$1201,M196)</f>
        <v>0</v>
      </c>
      <c r="AF196">
        <f t="shared" ref="AF196" si="194">SUM(Q195:AD196)</f>
        <v>7</v>
      </c>
      <c r="AG196">
        <f>COUNTIF($B$5:$B$1201, Tabla213[[#This Row],[Num. Parcela]])</f>
        <v>7</v>
      </c>
      <c r="AH196" t="b">
        <f t="shared" ref="AH196" si="195">IF(AF196=AG196, TRUE)</f>
        <v>1</v>
      </c>
      <c r="AK196">
        <v>73</v>
      </c>
      <c r="AL196" t="s">
        <v>61</v>
      </c>
      <c r="AM196" t="s">
        <v>131</v>
      </c>
      <c r="AN196" t="s">
        <v>476</v>
      </c>
    </row>
    <row r="197" spans="1:40" x14ac:dyDescent="0.2">
      <c r="A197" s="7">
        <v>193</v>
      </c>
      <c r="B197" s="7">
        <v>7</v>
      </c>
      <c r="C197" s="1" t="str">
        <f t="shared" ref="C197:C260" si="196">IF(B197=1.1,"EL PEJO 1",IF(B197=1.2,"EL PEJO 2",IF(B197=1.3,"EL PEJO 3",IF(B197=1.4,"EL PEJO 4",IF(B197=2,"LA MAGUELLERA",IF(B197=3,"RANCHO ALVAREZ",IF(B197=4.1,"CANINDO 2",IF(B197=4.2,"CANINDO 3",IF(B197=4.3,"CANINDO 1",IF(B197=5.1,"CIRILLO 2",IF(B197=5.2,"CIRILLO 1",IF(B197=6,"PANTANO MEDIO",IF(B197=7,"PANTABAJO",IF(B197=8.1,"CHAVA MARTINEZ 1",IF(B197=8.2,"CHAVA MARTINEZ 2",IF(B197=9.1,"TIERRA DE POLLO 1",IF(B197=9.2,"TIERRA DE POLLO 2",IF(B197=10,"TIERRA DE GARCIA",IF(B197=11,"LA GALERA 1",IF(B197=12,"GALERA 2",IF(B197=13,"GALERA 3",IF(B197=14.1,"EL TRIANGULO 1",IF(B197=14.2,"EL TRIANGULO 2",IF(B197=15.1,"LA CRUZ 1",IF(B197=15.2,"LA CRUZ 2",IF(B197=16.1,"LUIS ROMERO 1",IF(B197=16.2,"LUIS ROMERO 2",IF(B197=17,"MAURILIO 1",IF(B197=18,"HUGO NAVARRO 1",)))))))))))))))))))))))))))))</f>
        <v>PANTABAJO</v>
      </c>
      <c r="D197" s="7" t="s">
        <v>108</v>
      </c>
      <c r="E197" s="1" t="str">
        <f t="shared" ref="E197:E260" si="197">IF(B197=1.1,"SENSATION",IF(B197=1.2,"VICTOR",IF(B197=1.3,"SANTA MARIA",IF(B197=1.4,"WARRIOR",IF(B197=2,"SAYULA",IF(B197=3,"SAYULA",IF(B197=4.1,"SAYULA",IF(B197=4.2,"SANTA MARIA",IF(B197=4.3,"NIÑA",IF(B197=5.1,"SAYULA",IF(B197=5.2,"SENSATION",IF(B197=6,"FORTUNA",IF(B197=7,"SENSATION",IF(B197=8.1,"FORTUNA",IF(B197=8.2,"ADELANTO",IF(B197=9.1,"GIDDINGS",IF(B197=9.2,"SANTA MARIA",IF(B197=10,"FORTUNA",IF(B197=11,"SENSATION",IF(B197=12,"SENSATION",IF(B197=13,"FRONTERA",IF(B197=14.1,"SENSATION",IF(B197=14.2,"CODIGO",IF(B197=15.1,"FRONTERA",IF(B197=15.2,"SAYULA",IF(B197=16.1,"SANTA MARIA &amp; FRONTERA",IF(B197=16.2,"SAYULA",IF(B197=17,"NO DOCUMENTADO",IF(B197=18,"NO DOCUMENTADO",IF(B197=19,"NO DOCUMENTADO"))))))))))))))))))))))))))))))</f>
        <v>SENSATION</v>
      </c>
      <c r="F197" s="7">
        <v>1</v>
      </c>
      <c r="G197" s="7" t="s">
        <v>477</v>
      </c>
      <c r="H197" s="7" t="s">
        <v>228</v>
      </c>
      <c r="I197" s="9" t="s">
        <v>487</v>
      </c>
      <c r="J197" s="9">
        <v>193</v>
      </c>
      <c r="K197" s="7"/>
      <c r="M197">
        <v>74.099999999999994</v>
      </c>
      <c r="N197" t="s">
        <v>698</v>
      </c>
      <c r="O197" t="s">
        <v>114</v>
      </c>
      <c r="P197" t="s">
        <v>476</v>
      </c>
      <c r="Q197">
        <f>COUNTIFS($H$4:$H$1201,Tabla213[[#Headers],[Neopestalotiopsis]], $G$4:$G$1201,Tabla213[[#This Row],[Organo]], $B$4:$B$1201,M197)</f>
        <v>1</v>
      </c>
      <c r="R197">
        <f>COUNTIFS($H$4:$H$1201,Tabla213[[#Headers],[Fusarium]], $G$4:$G$1201,Tabla213[[#This Row],[Organo]], $B$4:$B$1201,M197)</f>
        <v>0</v>
      </c>
      <c r="S197">
        <f>COUNTIFS($H$4:$H$1201,Tabla213[[#Headers],[Cylindrocarpon]], $G$4:$G$1201,Tabla213[[#This Row],[Organo]], $B$4:$B$1201,M197)</f>
        <v>0</v>
      </c>
      <c r="T197">
        <f>COUNTIFS($H$4:$H$1201,Tabla213[[#Headers],[Macrophomina]], $G$4:$G$1201,Tabla213[[#This Row],[Organo]], $B$4:$B$1201,M197)</f>
        <v>0</v>
      </c>
      <c r="U197">
        <f>COUNTIFS($H$4:$H$1201,Tabla213[[#Headers],[Rhizoctonia]], $G$4:$G$1201,Tabla213[[#This Row],[Organo]], $B$4:$B$1201,M197)</f>
        <v>0</v>
      </c>
      <c r="V197">
        <v>0</v>
      </c>
      <c r="W197">
        <f>COUNTIFS($H$4:$H$1201,Tabla213[[#Headers],[Alternaria]], $G$4:$G$1201,Tabla213[[#This Row],[Organo]], $B$4:$B$1201,M197)</f>
        <v>0</v>
      </c>
      <c r="X197">
        <f>COUNTIFS($H$4:$H$1201,Tabla213[[#Headers],[Botrytis]], $G$4:$G$1201,Tabla213[[#This Row],[Organo]], $B$4:$B$1201,M197)</f>
        <v>0</v>
      </c>
      <c r="Y197">
        <f>COUNTIFS($H$4:$H$1201,Tabla213[[#Headers],[Colletotrichum]], $G$4:$G$1201,Tabla213[[#This Row],[Organo]], $B$4:$B$1201,M197)</f>
        <v>0</v>
      </c>
      <c r="Z197">
        <f>COUNTIFS($H$4:$H$1201,Tabla213[[#Headers],[Aspergillus]], $G$4:$G$1201,Tabla213[[#This Row],[Organo]], $B$4:$B$1201,M197)</f>
        <v>0</v>
      </c>
      <c r="AA197">
        <f>COUNTIFS($H$4:$H$1201,Tabla213[[#Headers],[NO ID]], $G$4:$G$1201,Tabla213[[#This Row],[Organo]], $B$4:$B$1201,M197)</f>
        <v>0</v>
      </c>
      <c r="AB197">
        <f>COUNTIFS($H$4:$H$1201,Tabla213[[#Headers],[Trichoderma]], $G$4:$G$1201,Tabla213[[#This Row],[Organo]], $B$4:$B$1201,M197)</f>
        <v>0</v>
      </c>
      <c r="AC197">
        <f>COUNTIFS($H$4:$H$1201,Tabla213[[#Headers],[Rizophus]], $G$4:$G$1201,Tabla213[[#This Row],[Organo]], $B$4:$B$1201,M197)</f>
        <v>0</v>
      </c>
      <c r="AD197">
        <f>COUNTIFS($H$4:$H$1201,Tabla213[[#Headers],[FALTANTES]], $G$4:$G$1201,Tabla213[[#This Row],[Organo]], $B$4:$B$1201,M197)</f>
        <v>0</v>
      </c>
      <c r="AK197">
        <v>74.099999999999994</v>
      </c>
      <c r="AL197" t="s">
        <v>61</v>
      </c>
      <c r="AM197" t="s">
        <v>114</v>
      </c>
      <c r="AN197" t="s">
        <v>477</v>
      </c>
    </row>
    <row r="198" spans="1:40" x14ac:dyDescent="0.2">
      <c r="A198" s="7">
        <v>194</v>
      </c>
      <c r="B198" s="7">
        <v>7</v>
      </c>
      <c r="C198" s="1" t="str">
        <f t="shared" si="196"/>
        <v>PANTABAJO</v>
      </c>
      <c r="D198" s="7" t="s">
        <v>108</v>
      </c>
      <c r="E198" s="1" t="str">
        <f t="shared" si="197"/>
        <v>SENSATION</v>
      </c>
      <c r="F198" s="7">
        <v>1</v>
      </c>
      <c r="G198" s="7" t="s">
        <v>477</v>
      </c>
      <c r="H198" s="7" t="s">
        <v>485</v>
      </c>
      <c r="I198" s="10" t="s">
        <v>485</v>
      </c>
      <c r="J198" s="10">
        <v>194</v>
      </c>
      <c r="K198" s="7"/>
      <c r="M198">
        <v>74.099999999999994</v>
      </c>
      <c r="N198" t="s">
        <v>698</v>
      </c>
      <c r="O198" t="s">
        <v>114</v>
      </c>
      <c r="P198" t="s">
        <v>477</v>
      </c>
      <c r="Q198">
        <f>COUNTIFS($H$4:$H$1201,Tabla213[[#Headers],[Neopestalotiopsis]], $G$4:$G$1201,Tabla213[[#This Row],[Organo]], $B$4:$B$1201,M198)</f>
        <v>1</v>
      </c>
      <c r="R198">
        <f>COUNTIFS($H$4:$H$1201,Tabla213[[#Headers],[Fusarium]], $G$4:$G$1201,Tabla213[[#This Row],[Organo]], $B$4:$B$1201,M198)</f>
        <v>2</v>
      </c>
      <c r="S198">
        <f>COUNTIFS($H$4:$H$1201,Tabla213[[#Headers],[Cylindrocarpon]], $G$4:$G$1201,Tabla213[[#This Row],[Organo]], $B$4:$B$1201,M198)</f>
        <v>0</v>
      </c>
      <c r="T198">
        <f>COUNTIFS($H$4:$H$1201,Tabla213[[#Headers],[Macrophomina]], $G$4:$G$1201,Tabla213[[#This Row],[Organo]], $B$4:$B$1201,M198)</f>
        <v>0</v>
      </c>
      <c r="U198">
        <f>COUNTIFS($H$4:$H$1201,Tabla213[[#Headers],[Rhizoctonia]], $G$4:$G$1201,Tabla213[[#This Row],[Organo]], $B$4:$B$1201,M198)</f>
        <v>0</v>
      </c>
      <c r="V198">
        <v>0</v>
      </c>
      <c r="W198">
        <f>COUNTIFS($H$4:$H$1201,Tabla213[[#Headers],[Alternaria]], $G$4:$G$1201,Tabla213[[#This Row],[Organo]], $B$4:$B$1201,M198)</f>
        <v>0</v>
      </c>
      <c r="X198">
        <f>COUNTIFS($H$4:$H$1201,Tabla213[[#Headers],[Botrytis]], $G$4:$G$1201,Tabla213[[#This Row],[Organo]], $B$4:$B$1201,M198)</f>
        <v>0</v>
      </c>
      <c r="Y198">
        <f>COUNTIFS($H$4:$H$1201,Tabla213[[#Headers],[Colletotrichum]], $G$4:$G$1201,Tabla213[[#This Row],[Organo]], $B$4:$B$1201,M198)</f>
        <v>0</v>
      </c>
      <c r="Z198">
        <f>COUNTIFS($H$4:$H$1201,Tabla213[[#Headers],[Aspergillus]], $G$4:$G$1201,Tabla213[[#This Row],[Organo]], $B$4:$B$1201,M198)</f>
        <v>0</v>
      </c>
      <c r="AA198">
        <f>COUNTIFS($H$4:$H$1201,Tabla213[[#Headers],[NO ID]], $G$4:$G$1201,Tabla213[[#This Row],[Organo]], $B$4:$B$1201,M198)</f>
        <v>0</v>
      </c>
      <c r="AB198">
        <f>COUNTIFS($H$4:$H$1201,Tabla213[[#Headers],[Trichoderma]], $G$4:$G$1201,Tabla213[[#This Row],[Organo]], $B$4:$B$1201,M198)</f>
        <v>0</v>
      </c>
      <c r="AC198">
        <f>COUNTIFS($H$4:$H$1201,Tabla213[[#Headers],[Rizophus]], $G$4:$G$1201,Tabla213[[#This Row],[Organo]], $B$4:$B$1201,M198)</f>
        <v>0</v>
      </c>
      <c r="AD198">
        <f>COUNTIFS($H$4:$H$1201,Tabla213[[#Headers],[FALTANTES]], $G$4:$G$1201,Tabla213[[#This Row],[Organo]], $B$4:$B$1201,M198)</f>
        <v>0</v>
      </c>
      <c r="AF198">
        <f t="shared" ref="AF198" si="198">SUM(Q197:AD198)</f>
        <v>4</v>
      </c>
      <c r="AG198">
        <f>COUNTIF($B$5:$B$1201, Tabla213[[#This Row],[Num. Parcela]])</f>
        <v>4</v>
      </c>
      <c r="AH198" t="b">
        <f t="shared" ref="AH198" si="199">IF(AF198=AG198, TRUE)</f>
        <v>1</v>
      </c>
      <c r="AK198">
        <v>74.099999999999994</v>
      </c>
      <c r="AL198" t="s">
        <v>61</v>
      </c>
      <c r="AM198" t="s">
        <v>114</v>
      </c>
      <c r="AN198" t="s">
        <v>476</v>
      </c>
    </row>
    <row r="199" spans="1:40" x14ac:dyDescent="0.2">
      <c r="A199" s="7">
        <v>195</v>
      </c>
      <c r="B199" s="7">
        <v>7</v>
      </c>
      <c r="C199" s="1" t="str">
        <f t="shared" si="196"/>
        <v>PANTABAJO</v>
      </c>
      <c r="D199" s="7" t="s">
        <v>108</v>
      </c>
      <c r="E199" s="1" t="str">
        <f t="shared" si="197"/>
        <v>SENSATION</v>
      </c>
      <c r="F199" s="7">
        <v>1</v>
      </c>
      <c r="G199" s="7" t="s">
        <v>477</v>
      </c>
      <c r="H199" s="7" t="s">
        <v>228</v>
      </c>
      <c r="I199" s="9" t="s">
        <v>487</v>
      </c>
      <c r="J199" s="9">
        <v>195</v>
      </c>
      <c r="K199" s="7"/>
      <c r="M199">
        <v>74.2</v>
      </c>
      <c r="N199" t="s">
        <v>699</v>
      </c>
      <c r="O199" t="s">
        <v>131</v>
      </c>
      <c r="P199" t="s">
        <v>476</v>
      </c>
      <c r="Q199">
        <f>COUNTIFS($H$4:$H$1201,Tabla213[[#Headers],[Neopestalotiopsis]], $G$4:$G$1201,Tabla213[[#This Row],[Organo]], $B$4:$B$1201,M199)</f>
        <v>1</v>
      </c>
      <c r="R199">
        <f>COUNTIFS($H$4:$H$1201,Tabla213[[#Headers],[Fusarium]], $G$4:$G$1201,Tabla213[[#This Row],[Organo]], $B$4:$B$1201,M199)</f>
        <v>1</v>
      </c>
      <c r="S199">
        <f>COUNTIFS($H$4:$H$1201,Tabla213[[#Headers],[Cylindrocarpon]], $G$4:$G$1201,Tabla213[[#This Row],[Organo]], $B$4:$B$1201,M199)</f>
        <v>0</v>
      </c>
      <c r="T199">
        <f>COUNTIFS($H$4:$H$1201,Tabla213[[#Headers],[Macrophomina]], $G$4:$G$1201,Tabla213[[#This Row],[Organo]], $B$4:$B$1201,M199)</f>
        <v>0</v>
      </c>
      <c r="U199">
        <f>COUNTIFS($H$4:$H$1201,Tabla213[[#Headers],[Rhizoctonia]], $G$4:$G$1201,Tabla213[[#This Row],[Organo]], $B$4:$B$1201,M199)</f>
        <v>0</v>
      </c>
      <c r="V199">
        <v>0</v>
      </c>
      <c r="W199">
        <f>COUNTIFS($H$4:$H$1201,Tabla213[[#Headers],[Alternaria]], $G$4:$G$1201,Tabla213[[#This Row],[Organo]], $B$4:$B$1201,M199)</f>
        <v>0</v>
      </c>
      <c r="X199">
        <f>COUNTIFS($H$4:$H$1201,Tabla213[[#Headers],[Botrytis]], $G$4:$G$1201,Tabla213[[#This Row],[Organo]], $B$4:$B$1201,M199)</f>
        <v>0</v>
      </c>
      <c r="Y199">
        <f>COUNTIFS($H$4:$H$1201,Tabla213[[#Headers],[Colletotrichum]], $G$4:$G$1201,Tabla213[[#This Row],[Organo]], $B$4:$B$1201,M199)</f>
        <v>0</v>
      </c>
      <c r="Z199">
        <f>COUNTIFS($H$4:$H$1201,Tabla213[[#Headers],[Aspergillus]], $G$4:$G$1201,Tabla213[[#This Row],[Organo]], $B$4:$B$1201,M199)</f>
        <v>0</v>
      </c>
      <c r="AA199">
        <f>COUNTIFS($H$4:$H$1201,Tabla213[[#Headers],[NO ID]], $G$4:$G$1201,Tabla213[[#This Row],[Organo]], $B$4:$B$1201,M199)</f>
        <v>0</v>
      </c>
      <c r="AB199">
        <f>COUNTIFS($H$4:$H$1201,Tabla213[[#Headers],[Trichoderma]], $G$4:$G$1201,Tabla213[[#This Row],[Organo]], $B$4:$B$1201,M199)</f>
        <v>0</v>
      </c>
      <c r="AC199">
        <f>COUNTIFS($H$4:$H$1201,Tabla213[[#Headers],[Rizophus]], $G$4:$G$1201,Tabla213[[#This Row],[Organo]], $B$4:$B$1201,M199)</f>
        <v>0</v>
      </c>
      <c r="AD199">
        <f>COUNTIFS($H$4:$H$1201,Tabla213[[#Headers],[FALTANTES]], $G$4:$G$1201,Tabla213[[#This Row],[Organo]], $B$4:$B$1201,M199)</f>
        <v>0</v>
      </c>
      <c r="AK199">
        <v>74.2</v>
      </c>
      <c r="AL199" t="s">
        <v>61</v>
      </c>
      <c r="AM199" t="s">
        <v>131</v>
      </c>
      <c r="AN199" t="s">
        <v>477</v>
      </c>
    </row>
    <row r="200" spans="1:40" x14ac:dyDescent="0.2">
      <c r="A200" s="7">
        <v>196</v>
      </c>
      <c r="B200" s="7">
        <v>7</v>
      </c>
      <c r="C200" s="1" t="str">
        <f t="shared" si="196"/>
        <v>PANTABAJO</v>
      </c>
      <c r="D200" s="7" t="s">
        <v>108</v>
      </c>
      <c r="E200" s="1" t="str">
        <f t="shared" si="197"/>
        <v>SENSATION</v>
      </c>
      <c r="F200" s="7">
        <v>2</v>
      </c>
      <c r="G200" s="7" t="s">
        <v>477</v>
      </c>
      <c r="H200" s="7" t="s">
        <v>488</v>
      </c>
      <c r="I200" s="9" t="s">
        <v>488</v>
      </c>
      <c r="J200" s="9">
        <v>196</v>
      </c>
      <c r="K200" s="7"/>
      <c r="M200">
        <v>74.2</v>
      </c>
      <c r="N200" t="s">
        <v>699</v>
      </c>
      <c r="O200" t="s">
        <v>131</v>
      </c>
      <c r="P200" t="s">
        <v>477</v>
      </c>
      <c r="Q200">
        <f>COUNTIFS($H$4:$H$1201,Tabla213[[#Headers],[Neopestalotiopsis]], $G$4:$G$1201,Tabla213[[#This Row],[Organo]], $B$4:$B$1201,M200)</f>
        <v>1</v>
      </c>
      <c r="R200">
        <f>COUNTIFS($H$4:$H$1201,Tabla213[[#Headers],[Fusarium]], $G$4:$G$1201,Tabla213[[#This Row],[Organo]], $B$4:$B$1201,M200)</f>
        <v>1</v>
      </c>
      <c r="S200">
        <f>COUNTIFS($H$4:$H$1201,Tabla213[[#Headers],[Cylindrocarpon]], $G$4:$G$1201,Tabla213[[#This Row],[Organo]], $B$4:$B$1201,M200)</f>
        <v>0</v>
      </c>
      <c r="T200">
        <f>COUNTIFS($H$4:$H$1201,Tabla213[[#Headers],[Macrophomina]], $G$4:$G$1201,Tabla213[[#This Row],[Organo]], $B$4:$B$1201,M200)</f>
        <v>0</v>
      </c>
      <c r="U200">
        <f>COUNTIFS($H$4:$H$1201,Tabla213[[#Headers],[Rhizoctonia]], $G$4:$G$1201,Tabla213[[#This Row],[Organo]], $B$4:$B$1201,M200)</f>
        <v>0</v>
      </c>
      <c r="V200">
        <v>0</v>
      </c>
      <c r="W200">
        <f>COUNTIFS($H$4:$H$1201,Tabla213[[#Headers],[Alternaria]], $G$4:$G$1201,Tabla213[[#This Row],[Organo]], $B$4:$B$1201,M200)</f>
        <v>0</v>
      </c>
      <c r="X200">
        <f>COUNTIFS($H$4:$H$1201,Tabla213[[#Headers],[Botrytis]], $G$4:$G$1201,Tabla213[[#This Row],[Organo]], $B$4:$B$1201,M200)</f>
        <v>0</v>
      </c>
      <c r="Y200">
        <f>COUNTIFS($H$4:$H$1201,Tabla213[[#Headers],[Colletotrichum]], $G$4:$G$1201,Tabla213[[#This Row],[Organo]], $B$4:$B$1201,M200)</f>
        <v>0</v>
      </c>
      <c r="Z200">
        <f>COUNTIFS($H$4:$H$1201,Tabla213[[#Headers],[Aspergillus]], $G$4:$G$1201,Tabla213[[#This Row],[Organo]], $B$4:$B$1201,M200)</f>
        <v>0</v>
      </c>
      <c r="AA200">
        <f>COUNTIFS($H$4:$H$1201,Tabla213[[#Headers],[NO ID]], $G$4:$G$1201,Tabla213[[#This Row],[Organo]], $B$4:$B$1201,M200)</f>
        <v>0</v>
      </c>
      <c r="AB200">
        <f>COUNTIFS($H$4:$H$1201,Tabla213[[#Headers],[Trichoderma]], $G$4:$G$1201,Tabla213[[#This Row],[Organo]], $B$4:$B$1201,M200)</f>
        <v>0</v>
      </c>
      <c r="AC200">
        <f>COUNTIFS($H$4:$H$1201,Tabla213[[#Headers],[Rizophus]], $G$4:$G$1201,Tabla213[[#This Row],[Organo]], $B$4:$B$1201,M200)</f>
        <v>0</v>
      </c>
      <c r="AD200">
        <f>COUNTIFS($H$4:$H$1201,Tabla213[[#Headers],[FALTANTES]], $G$4:$G$1201,Tabla213[[#This Row],[Organo]], $B$4:$B$1201,M200)</f>
        <v>0</v>
      </c>
      <c r="AF200">
        <f t="shared" ref="AF200" si="200">SUM(Q199:AD200)</f>
        <v>4</v>
      </c>
      <c r="AG200">
        <f>COUNTIF($B$5:$B$1201, Tabla213[[#This Row],[Num. Parcela]])</f>
        <v>4</v>
      </c>
      <c r="AH200" t="b">
        <f t="shared" ref="AH200" si="201">IF(AF200=AG200, TRUE)</f>
        <v>1</v>
      </c>
      <c r="AK200">
        <v>74.2</v>
      </c>
      <c r="AL200" t="s">
        <v>61</v>
      </c>
      <c r="AM200" t="s">
        <v>131</v>
      </c>
      <c r="AN200" t="s">
        <v>476</v>
      </c>
    </row>
    <row r="201" spans="1:40" x14ac:dyDescent="0.2">
      <c r="A201" s="7">
        <v>197</v>
      </c>
      <c r="B201" s="7">
        <v>7</v>
      </c>
      <c r="C201" s="1" t="str">
        <f t="shared" si="196"/>
        <v>PANTABAJO</v>
      </c>
      <c r="D201" s="7" t="s">
        <v>108</v>
      </c>
      <c r="E201" s="1" t="str">
        <f t="shared" si="197"/>
        <v>SENSATION</v>
      </c>
      <c r="F201" s="7">
        <v>2</v>
      </c>
      <c r="G201" s="7" t="s">
        <v>477</v>
      </c>
      <c r="H201" s="7" t="s">
        <v>228</v>
      </c>
      <c r="I201" s="11" t="s">
        <v>487</v>
      </c>
      <c r="J201" s="11">
        <v>197</v>
      </c>
      <c r="K201" s="7"/>
      <c r="M201">
        <v>75</v>
      </c>
      <c r="N201" t="s">
        <v>63</v>
      </c>
      <c r="O201" t="s">
        <v>134</v>
      </c>
      <c r="P201" t="s">
        <v>476</v>
      </c>
      <c r="Q201">
        <f>COUNTIFS($H$4:$H$1201,Tabla213[[#Headers],[Neopestalotiopsis]], $G$4:$G$1201,Tabla213[[#This Row],[Organo]], $B$4:$B$1201,M201)</f>
        <v>1</v>
      </c>
      <c r="R201">
        <f>COUNTIFS($H$4:$H$1201,Tabla213[[#Headers],[Fusarium]], $G$4:$G$1201,Tabla213[[#This Row],[Organo]], $B$4:$B$1201,M201)</f>
        <v>1</v>
      </c>
      <c r="S201">
        <f>COUNTIFS($H$4:$H$1201,Tabla213[[#Headers],[Cylindrocarpon]], $G$4:$G$1201,Tabla213[[#This Row],[Organo]], $B$4:$B$1201,M201)</f>
        <v>0</v>
      </c>
      <c r="T201">
        <f>COUNTIFS($H$4:$H$1201,Tabla213[[#Headers],[Macrophomina]], $G$4:$G$1201,Tabla213[[#This Row],[Organo]], $B$4:$B$1201,M201)</f>
        <v>0</v>
      </c>
      <c r="U201">
        <f>COUNTIFS($H$4:$H$1201,Tabla213[[#Headers],[Rhizoctonia]], $G$4:$G$1201,Tabla213[[#This Row],[Organo]], $B$4:$B$1201,M201)</f>
        <v>0</v>
      </c>
      <c r="V201">
        <v>0</v>
      </c>
      <c r="W201">
        <f>COUNTIFS($H$4:$H$1201,Tabla213[[#Headers],[Alternaria]], $G$4:$G$1201,Tabla213[[#This Row],[Organo]], $B$4:$B$1201,M201)</f>
        <v>0</v>
      </c>
      <c r="X201">
        <f>COUNTIFS($H$4:$H$1201,Tabla213[[#Headers],[Botrytis]], $G$4:$G$1201,Tabla213[[#This Row],[Organo]], $B$4:$B$1201,M201)</f>
        <v>0</v>
      </c>
      <c r="Y201">
        <f>COUNTIFS($H$4:$H$1201,Tabla213[[#Headers],[Colletotrichum]], $G$4:$G$1201,Tabla213[[#This Row],[Organo]], $B$4:$B$1201,M201)</f>
        <v>0</v>
      </c>
      <c r="Z201">
        <f>COUNTIFS($H$4:$H$1201,Tabla213[[#Headers],[Aspergillus]], $G$4:$G$1201,Tabla213[[#This Row],[Organo]], $B$4:$B$1201,M201)</f>
        <v>0</v>
      </c>
      <c r="AA201">
        <f>COUNTIFS($H$4:$H$1201,Tabla213[[#Headers],[NO ID]], $G$4:$G$1201,Tabla213[[#This Row],[Organo]], $B$4:$B$1201,M201)</f>
        <v>1</v>
      </c>
      <c r="AB201">
        <f>COUNTIFS($H$4:$H$1201,Tabla213[[#Headers],[Trichoderma]], $G$4:$G$1201,Tabla213[[#This Row],[Organo]], $B$4:$B$1201,M201)</f>
        <v>0</v>
      </c>
      <c r="AC201">
        <f>COUNTIFS($H$4:$H$1201,Tabla213[[#Headers],[Rizophus]], $G$4:$G$1201,Tabla213[[#This Row],[Organo]], $B$4:$B$1201,M201)</f>
        <v>0</v>
      </c>
      <c r="AD201">
        <f>COUNTIFS($H$4:$H$1201,Tabla213[[#Headers],[FALTANTES]], $G$4:$G$1201,Tabla213[[#This Row],[Organo]], $B$4:$B$1201,M201)</f>
        <v>0</v>
      </c>
      <c r="AK201">
        <v>75</v>
      </c>
      <c r="AL201" t="s">
        <v>63</v>
      </c>
      <c r="AM201" t="s">
        <v>132</v>
      </c>
      <c r="AN201" t="s">
        <v>477</v>
      </c>
    </row>
    <row r="202" spans="1:40" x14ac:dyDescent="0.2">
      <c r="A202" s="7">
        <v>198</v>
      </c>
      <c r="B202" s="7">
        <v>7</v>
      </c>
      <c r="C202" s="1" t="str">
        <f t="shared" si="196"/>
        <v>PANTABAJO</v>
      </c>
      <c r="D202" s="7" t="s">
        <v>108</v>
      </c>
      <c r="E202" s="1" t="str">
        <f t="shared" si="197"/>
        <v>SENSATION</v>
      </c>
      <c r="F202" s="7">
        <v>2</v>
      </c>
      <c r="G202" s="7" t="s">
        <v>477</v>
      </c>
      <c r="H202" s="7" t="s">
        <v>149</v>
      </c>
      <c r="I202" s="8" t="s">
        <v>478</v>
      </c>
      <c r="J202" s="7">
        <v>198</v>
      </c>
      <c r="K202" s="19" t="s">
        <v>638</v>
      </c>
      <c r="M202">
        <v>75</v>
      </c>
      <c r="N202" t="s">
        <v>63</v>
      </c>
      <c r="O202" t="s">
        <v>134</v>
      </c>
      <c r="P202" t="s">
        <v>477</v>
      </c>
      <c r="Q202">
        <f>COUNTIFS($H$4:$H$1201,Tabla213[[#Headers],[Neopestalotiopsis]], $G$4:$G$1201,Tabla213[[#This Row],[Organo]], $B$4:$B$1201,M202)</f>
        <v>1</v>
      </c>
      <c r="R202">
        <f>COUNTIFS($H$4:$H$1201,Tabla213[[#Headers],[Fusarium]], $G$4:$G$1201,Tabla213[[#This Row],[Organo]], $B$4:$B$1201,M202)</f>
        <v>1</v>
      </c>
      <c r="S202">
        <f>COUNTIFS($H$4:$H$1201,Tabla213[[#Headers],[Cylindrocarpon]], $G$4:$G$1201,Tabla213[[#This Row],[Organo]], $B$4:$B$1201,M202)</f>
        <v>1</v>
      </c>
      <c r="T202">
        <f>COUNTIFS($H$4:$H$1201,Tabla213[[#Headers],[Macrophomina]], $G$4:$G$1201,Tabla213[[#This Row],[Organo]], $B$4:$B$1201,M202)</f>
        <v>0</v>
      </c>
      <c r="U202">
        <f>COUNTIFS($H$4:$H$1201,Tabla213[[#Headers],[Rhizoctonia]], $G$4:$G$1201,Tabla213[[#This Row],[Organo]], $B$4:$B$1201,M202)</f>
        <v>1</v>
      </c>
      <c r="V202">
        <v>0</v>
      </c>
      <c r="W202">
        <f>COUNTIFS($H$4:$H$1201,Tabla213[[#Headers],[Alternaria]], $G$4:$G$1201,Tabla213[[#This Row],[Organo]], $B$4:$B$1201,M202)</f>
        <v>0</v>
      </c>
      <c r="X202">
        <f>COUNTIFS($H$4:$H$1201,Tabla213[[#Headers],[Botrytis]], $G$4:$G$1201,Tabla213[[#This Row],[Organo]], $B$4:$B$1201,M202)</f>
        <v>0</v>
      </c>
      <c r="Y202">
        <f>COUNTIFS($H$4:$H$1201,Tabla213[[#Headers],[Colletotrichum]], $G$4:$G$1201,Tabla213[[#This Row],[Organo]], $B$4:$B$1201,M202)</f>
        <v>0</v>
      </c>
      <c r="Z202">
        <f>COUNTIFS($H$4:$H$1201,Tabla213[[#Headers],[Aspergillus]], $G$4:$G$1201,Tabla213[[#This Row],[Organo]], $B$4:$B$1201,M202)</f>
        <v>0</v>
      </c>
      <c r="AA202">
        <f>COUNTIFS($H$4:$H$1201,Tabla213[[#Headers],[NO ID]], $G$4:$G$1201,Tabla213[[#This Row],[Organo]], $B$4:$B$1201,M202)</f>
        <v>0</v>
      </c>
      <c r="AB202">
        <f>COUNTIFS($H$4:$H$1201,Tabla213[[#Headers],[Trichoderma]], $G$4:$G$1201,Tabla213[[#This Row],[Organo]], $B$4:$B$1201,M202)</f>
        <v>0</v>
      </c>
      <c r="AC202">
        <f>COUNTIFS($H$4:$H$1201,Tabla213[[#Headers],[Rizophus]], $G$4:$G$1201,Tabla213[[#This Row],[Organo]], $B$4:$B$1201,M202)</f>
        <v>0</v>
      </c>
      <c r="AD202">
        <f>COUNTIFS($H$4:$H$1201,Tabla213[[#Headers],[FALTANTES]], $G$4:$G$1201,Tabla213[[#This Row],[Organo]], $B$4:$B$1201,M202)</f>
        <v>0</v>
      </c>
      <c r="AF202">
        <f t="shared" ref="AF202" si="202">SUM(Q201:AD202)</f>
        <v>7</v>
      </c>
      <c r="AG202">
        <f>COUNTIF($B$5:$B$1201, Tabla213[[#This Row],[Num. Parcela]])</f>
        <v>7</v>
      </c>
      <c r="AH202" t="b">
        <f t="shared" ref="AH202" si="203">IF(AF202=AG202, TRUE)</f>
        <v>1</v>
      </c>
      <c r="AK202">
        <v>75</v>
      </c>
      <c r="AL202" t="s">
        <v>63</v>
      </c>
      <c r="AM202" t="s">
        <v>132</v>
      </c>
      <c r="AN202" t="s">
        <v>476</v>
      </c>
    </row>
    <row r="203" spans="1:40" x14ac:dyDescent="0.2">
      <c r="A203" s="7">
        <v>199</v>
      </c>
      <c r="B203" s="7">
        <v>7</v>
      </c>
      <c r="C203" s="1" t="str">
        <f t="shared" si="196"/>
        <v>PANTABAJO</v>
      </c>
      <c r="D203" s="7" t="s">
        <v>108</v>
      </c>
      <c r="E203" s="1" t="str">
        <f t="shared" si="197"/>
        <v>SENSATION</v>
      </c>
      <c r="F203" s="7">
        <v>1</v>
      </c>
      <c r="G203" s="7" t="s">
        <v>476</v>
      </c>
      <c r="H203" s="7" t="s">
        <v>474</v>
      </c>
      <c r="I203" s="11" t="s">
        <v>474</v>
      </c>
      <c r="J203" s="9">
        <v>199</v>
      </c>
      <c r="K203" s="7"/>
      <c r="M203">
        <v>76.099999999999994</v>
      </c>
      <c r="N203" t="s">
        <v>700</v>
      </c>
      <c r="O203" t="s">
        <v>131</v>
      </c>
      <c r="P203" t="s">
        <v>476</v>
      </c>
      <c r="Q203">
        <f>COUNTIFS($H$4:$H$1201,Tabla213[[#Headers],[Neopestalotiopsis]], $G$4:$G$1201,Tabla213[[#This Row],[Organo]], $B$4:$B$1201,M203)</f>
        <v>1</v>
      </c>
      <c r="R203">
        <f>COUNTIFS($H$4:$H$1201,Tabla213[[#Headers],[Fusarium]], $G$4:$G$1201,Tabla213[[#This Row],[Organo]], $B$4:$B$1201,M203)</f>
        <v>0</v>
      </c>
      <c r="S203">
        <f>COUNTIFS($H$4:$H$1201,Tabla213[[#Headers],[Cylindrocarpon]], $G$4:$G$1201,Tabla213[[#This Row],[Organo]], $B$4:$B$1201,M203)</f>
        <v>0</v>
      </c>
      <c r="T203">
        <f>COUNTIFS($H$4:$H$1201,Tabla213[[#Headers],[Macrophomina]], $G$4:$G$1201,Tabla213[[#This Row],[Organo]], $B$4:$B$1201,M203)</f>
        <v>0</v>
      </c>
      <c r="U203">
        <f>COUNTIFS($H$4:$H$1201,Tabla213[[#Headers],[Rhizoctonia]], $G$4:$G$1201,Tabla213[[#This Row],[Organo]], $B$4:$B$1201,M203)</f>
        <v>0</v>
      </c>
      <c r="V203">
        <v>0</v>
      </c>
      <c r="W203">
        <f>COUNTIFS($H$4:$H$1201,Tabla213[[#Headers],[Alternaria]], $G$4:$G$1201,Tabla213[[#This Row],[Organo]], $B$4:$B$1201,M203)</f>
        <v>0</v>
      </c>
      <c r="X203">
        <f>COUNTIFS($H$4:$H$1201,Tabla213[[#Headers],[Botrytis]], $G$4:$G$1201,Tabla213[[#This Row],[Organo]], $B$4:$B$1201,M203)</f>
        <v>0</v>
      </c>
      <c r="Y203">
        <f>COUNTIFS($H$4:$H$1201,Tabla213[[#Headers],[Colletotrichum]], $G$4:$G$1201,Tabla213[[#This Row],[Organo]], $B$4:$B$1201,M203)</f>
        <v>0</v>
      </c>
      <c r="Z203">
        <f>COUNTIFS($H$4:$H$1201,Tabla213[[#Headers],[Aspergillus]], $G$4:$G$1201,Tabla213[[#This Row],[Organo]], $B$4:$B$1201,M203)</f>
        <v>0</v>
      </c>
      <c r="AA203">
        <f>COUNTIFS($H$4:$H$1201,Tabla213[[#Headers],[NO ID]], $G$4:$G$1201,Tabla213[[#This Row],[Organo]], $B$4:$B$1201,M203)</f>
        <v>0</v>
      </c>
      <c r="AB203">
        <f>COUNTIFS($H$4:$H$1201,Tabla213[[#Headers],[Trichoderma]], $G$4:$G$1201,Tabla213[[#This Row],[Organo]], $B$4:$B$1201,M203)</f>
        <v>0</v>
      </c>
      <c r="AC203">
        <f>COUNTIFS($H$4:$H$1201,Tabla213[[#Headers],[Rizophus]], $G$4:$G$1201,Tabla213[[#This Row],[Organo]], $B$4:$B$1201,M203)</f>
        <v>0</v>
      </c>
      <c r="AD203">
        <f>COUNTIFS($H$4:$H$1201,Tabla213[[#Headers],[FALTANTES]], $G$4:$G$1201,Tabla213[[#This Row],[Organo]], $B$4:$B$1201,M203)</f>
        <v>0</v>
      </c>
      <c r="AK203">
        <v>76.099999999999994</v>
      </c>
      <c r="AL203" t="s">
        <v>64</v>
      </c>
      <c r="AM203" t="s">
        <v>131</v>
      </c>
      <c r="AN203" t="s">
        <v>477</v>
      </c>
    </row>
    <row r="204" spans="1:40" x14ac:dyDescent="0.2">
      <c r="A204" s="7">
        <v>200</v>
      </c>
      <c r="B204" s="7">
        <v>7</v>
      </c>
      <c r="C204" s="1" t="str">
        <f t="shared" si="196"/>
        <v>PANTABAJO</v>
      </c>
      <c r="D204" s="7" t="s">
        <v>108</v>
      </c>
      <c r="E204" s="1" t="str">
        <f t="shared" si="197"/>
        <v>SENSATION</v>
      </c>
      <c r="F204" s="7">
        <v>1</v>
      </c>
      <c r="G204" s="7" t="s">
        <v>476</v>
      </c>
      <c r="H204" s="7" t="s">
        <v>474</v>
      </c>
      <c r="I204" s="11" t="s">
        <v>474</v>
      </c>
      <c r="J204" s="9">
        <v>200</v>
      </c>
      <c r="K204" s="7"/>
      <c r="M204">
        <v>76.099999999999994</v>
      </c>
      <c r="N204" t="s">
        <v>700</v>
      </c>
      <c r="O204" t="s">
        <v>131</v>
      </c>
      <c r="P204" t="s">
        <v>477</v>
      </c>
      <c r="Q204">
        <f>COUNTIFS($H$4:$H$1201,Tabla213[[#Headers],[Neopestalotiopsis]], $G$4:$G$1201,Tabla213[[#This Row],[Organo]], $B$4:$B$1201,M204)</f>
        <v>1</v>
      </c>
      <c r="R204">
        <f>COUNTIFS($H$4:$H$1201,Tabla213[[#Headers],[Fusarium]], $G$4:$G$1201,Tabla213[[#This Row],[Organo]], $B$4:$B$1201,M204)</f>
        <v>1</v>
      </c>
      <c r="S204">
        <f>COUNTIFS($H$4:$H$1201,Tabla213[[#Headers],[Cylindrocarpon]], $G$4:$G$1201,Tabla213[[#This Row],[Organo]], $B$4:$B$1201,M204)</f>
        <v>0</v>
      </c>
      <c r="T204">
        <f>COUNTIFS($H$4:$H$1201,Tabla213[[#Headers],[Macrophomina]], $G$4:$G$1201,Tabla213[[#This Row],[Organo]], $B$4:$B$1201,M204)</f>
        <v>0</v>
      </c>
      <c r="U204">
        <f>COUNTIFS($H$4:$H$1201,Tabla213[[#Headers],[Rhizoctonia]], $G$4:$G$1201,Tabla213[[#This Row],[Organo]], $B$4:$B$1201,M204)</f>
        <v>0</v>
      </c>
      <c r="V204">
        <v>0</v>
      </c>
      <c r="W204">
        <f>COUNTIFS($H$4:$H$1201,Tabla213[[#Headers],[Alternaria]], $G$4:$G$1201,Tabla213[[#This Row],[Organo]], $B$4:$B$1201,M204)</f>
        <v>0</v>
      </c>
      <c r="X204">
        <f>COUNTIFS($H$4:$H$1201,Tabla213[[#Headers],[Botrytis]], $G$4:$G$1201,Tabla213[[#This Row],[Organo]], $B$4:$B$1201,M204)</f>
        <v>0</v>
      </c>
      <c r="Y204">
        <f>COUNTIFS($H$4:$H$1201,Tabla213[[#Headers],[Colletotrichum]], $G$4:$G$1201,Tabla213[[#This Row],[Organo]], $B$4:$B$1201,M204)</f>
        <v>0</v>
      </c>
      <c r="Z204">
        <f>COUNTIFS($H$4:$H$1201,Tabla213[[#Headers],[Aspergillus]], $G$4:$G$1201,Tabla213[[#This Row],[Organo]], $B$4:$B$1201,M204)</f>
        <v>0</v>
      </c>
      <c r="AA204">
        <f>COUNTIFS($H$4:$H$1201,Tabla213[[#Headers],[NO ID]], $G$4:$G$1201,Tabla213[[#This Row],[Organo]], $B$4:$B$1201,M204)</f>
        <v>0</v>
      </c>
      <c r="AB204">
        <f>COUNTIFS($H$4:$H$1201,Tabla213[[#Headers],[Trichoderma]], $G$4:$G$1201,Tabla213[[#This Row],[Organo]], $B$4:$B$1201,M204)</f>
        <v>0</v>
      </c>
      <c r="AC204">
        <f>COUNTIFS($H$4:$H$1201,Tabla213[[#Headers],[Rizophus]], $G$4:$G$1201,Tabla213[[#This Row],[Organo]], $B$4:$B$1201,M204)</f>
        <v>0</v>
      </c>
      <c r="AD204">
        <f>COUNTIFS($H$4:$H$1201,Tabla213[[#Headers],[FALTANTES]], $G$4:$G$1201,Tabla213[[#This Row],[Organo]], $B$4:$B$1201,M204)</f>
        <v>0</v>
      </c>
      <c r="AF204">
        <f t="shared" ref="AF204" si="204">SUM(Q203:AD204)</f>
        <v>3</v>
      </c>
      <c r="AG204">
        <f>COUNTIF($B$5:$B$1201, Tabla213[[#This Row],[Num. Parcela]])</f>
        <v>3</v>
      </c>
      <c r="AH204" t="b">
        <f t="shared" ref="AH204" si="205">IF(AF204=AG204, TRUE)</f>
        <v>1</v>
      </c>
      <c r="AK204">
        <v>76.099999999999994</v>
      </c>
      <c r="AL204" t="s">
        <v>64</v>
      </c>
      <c r="AM204" t="s">
        <v>131</v>
      </c>
      <c r="AN204" t="s">
        <v>476</v>
      </c>
    </row>
    <row r="205" spans="1:40" x14ac:dyDescent="0.2">
      <c r="A205" s="7">
        <v>201</v>
      </c>
      <c r="B205" s="7">
        <v>7</v>
      </c>
      <c r="C205" s="1" t="str">
        <f t="shared" si="196"/>
        <v>PANTABAJO</v>
      </c>
      <c r="D205" s="7" t="s">
        <v>108</v>
      </c>
      <c r="E205" s="1" t="str">
        <f t="shared" si="197"/>
        <v>SENSATION</v>
      </c>
      <c r="F205" s="7">
        <v>1</v>
      </c>
      <c r="G205" s="7" t="s">
        <v>477</v>
      </c>
      <c r="H205" s="7" t="s">
        <v>155</v>
      </c>
      <c r="I205" s="7" t="s">
        <v>155</v>
      </c>
      <c r="J205" s="7">
        <v>201</v>
      </c>
      <c r="K205" s="19" t="s">
        <v>638</v>
      </c>
      <c r="M205">
        <v>76.2</v>
      </c>
      <c r="N205" t="s">
        <v>701</v>
      </c>
      <c r="O205" t="s">
        <v>114</v>
      </c>
      <c r="P205" t="s">
        <v>476</v>
      </c>
      <c r="Q205">
        <f>COUNTIFS($H$4:$H$1201,Tabla213[[#Headers],[Neopestalotiopsis]], $G$4:$G$1201,Tabla213[[#This Row],[Organo]], $B$4:$B$1201,M205)</f>
        <v>0</v>
      </c>
      <c r="R205">
        <f>COUNTIFS($H$4:$H$1201,Tabla213[[#Headers],[Fusarium]], $G$4:$G$1201,Tabla213[[#This Row],[Organo]], $B$4:$B$1201,M205)</f>
        <v>2</v>
      </c>
      <c r="S205">
        <f>COUNTIFS($H$4:$H$1201,Tabla213[[#Headers],[Cylindrocarpon]], $G$4:$G$1201,Tabla213[[#This Row],[Organo]], $B$4:$B$1201,M205)</f>
        <v>0</v>
      </c>
      <c r="T205">
        <f>COUNTIFS($H$4:$H$1201,Tabla213[[#Headers],[Macrophomina]], $G$4:$G$1201,Tabla213[[#This Row],[Organo]], $B$4:$B$1201,M205)</f>
        <v>0</v>
      </c>
      <c r="U205">
        <f>COUNTIFS($H$4:$H$1201,Tabla213[[#Headers],[Rhizoctonia]], $G$4:$G$1201,Tabla213[[#This Row],[Organo]], $B$4:$B$1201,M205)</f>
        <v>0</v>
      </c>
      <c r="V205">
        <v>0</v>
      </c>
      <c r="W205">
        <f>COUNTIFS($H$4:$H$1201,Tabla213[[#Headers],[Alternaria]], $G$4:$G$1201,Tabla213[[#This Row],[Organo]], $B$4:$B$1201,M205)</f>
        <v>0</v>
      </c>
      <c r="X205">
        <f>COUNTIFS($H$4:$H$1201,Tabla213[[#Headers],[Botrytis]], $G$4:$G$1201,Tabla213[[#This Row],[Organo]], $B$4:$B$1201,M205)</f>
        <v>0</v>
      </c>
      <c r="Y205">
        <f>COUNTIFS($H$4:$H$1201,Tabla213[[#Headers],[Colletotrichum]], $G$4:$G$1201,Tabla213[[#This Row],[Organo]], $B$4:$B$1201,M205)</f>
        <v>0</v>
      </c>
      <c r="Z205">
        <f>COUNTIFS($H$4:$H$1201,Tabla213[[#Headers],[Aspergillus]], $G$4:$G$1201,Tabla213[[#This Row],[Organo]], $B$4:$B$1201,M205)</f>
        <v>0</v>
      </c>
      <c r="AA205">
        <f>COUNTIFS($H$4:$H$1201,Tabla213[[#Headers],[NO ID]], $G$4:$G$1201,Tabla213[[#This Row],[Organo]], $B$4:$B$1201,M205)</f>
        <v>0</v>
      </c>
      <c r="AB205">
        <f>COUNTIFS($H$4:$H$1201,Tabla213[[#Headers],[Trichoderma]], $G$4:$G$1201,Tabla213[[#This Row],[Organo]], $B$4:$B$1201,M205)</f>
        <v>0</v>
      </c>
      <c r="AC205">
        <f>COUNTIFS($H$4:$H$1201,Tabla213[[#Headers],[Rizophus]], $G$4:$G$1201,Tabla213[[#This Row],[Organo]], $B$4:$B$1201,M205)</f>
        <v>0</v>
      </c>
      <c r="AD205">
        <f>COUNTIFS($H$4:$H$1201,Tabla213[[#Headers],[FALTANTES]], $G$4:$G$1201,Tabla213[[#This Row],[Organo]], $B$4:$B$1201,M205)</f>
        <v>0</v>
      </c>
      <c r="AK205">
        <v>76.2</v>
      </c>
      <c r="AL205" t="s">
        <v>64</v>
      </c>
      <c r="AM205" t="s">
        <v>114</v>
      </c>
      <c r="AN205" t="s">
        <v>477</v>
      </c>
    </row>
    <row r="206" spans="1:40" x14ac:dyDescent="0.2">
      <c r="A206" s="7">
        <v>202</v>
      </c>
      <c r="B206" s="7">
        <v>7</v>
      </c>
      <c r="C206" s="1" t="str">
        <f t="shared" si="196"/>
        <v>PANTABAJO</v>
      </c>
      <c r="D206" s="7" t="s">
        <v>108</v>
      </c>
      <c r="E206" s="1" t="str">
        <f t="shared" si="197"/>
        <v>SENSATION</v>
      </c>
      <c r="F206" s="7">
        <v>1</v>
      </c>
      <c r="G206" s="7" t="s">
        <v>477</v>
      </c>
      <c r="H206" s="7" t="s">
        <v>485</v>
      </c>
      <c r="I206" s="10" t="s">
        <v>485</v>
      </c>
      <c r="J206" s="10">
        <v>202</v>
      </c>
      <c r="K206" s="7"/>
      <c r="M206">
        <v>76.2</v>
      </c>
      <c r="N206" t="s">
        <v>701</v>
      </c>
      <c r="O206" t="s">
        <v>114</v>
      </c>
      <c r="P206" t="s">
        <v>477</v>
      </c>
      <c r="Q206">
        <f>COUNTIFS($H$4:$H$1201,Tabla213[[#Headers],[Neopestalotiopsis]], $G$4:$G$1201,Tabla213[[#This Row],[Organo]], $B$4:$B$1201,M206)</f>
        <v>1</v>
      </c>
      <c r="R206">
        <f>COUNTIFS($H$4:$H$1201,Tabla213[[#Headers],[Fusarium]], $G$4:$G$1201,Tabla213[[#This Row],[Organo]], $B$4:$B$1201,M206)</f>
        <v>0</v>
      </c>
      <c r="S206">
        <f>COUNTIFS($H$4:$H$1201,Tabla213[[#Headers],[Cylindrocarpon]], $G$4:$G$1201,Tabla213[[#This Row],[Organo]], $B$4:$B$1201,M206)</f>
        <v>0</v>
      </c>
      <c r="T206">
        <f>COUNTIFS($H$4:$H$1201,Tabla213[[#Headers],[Macrophomina]], $G$4:$G$1201,Tabla213[[#This Row],[Organo]], $B$4:$B$1201,M206)</f>
        <v>0</v>
      </c>
      <c r="U206">
        <f>COUNTIFS($H$4:$H$1201,Tabla213[[#Headers],[Rhizoctonia]], $G$4:$G$1201,Tabla213[[#This Row],[Organo]], $B$4:$B$1201,M206)</f>
        <v>1</v>
      </c>
      <c r="V206">
        <v>0</v>
      </c>
      <c r="W206">
        <f>COUNTIFS($H$4:$H$1201,Tabla213[[#Headers],[Alternaria]], $G$4:$G$1201,Tabla213[[#This Row],[Organo]], $B$4:$B$1201,M206)</f>
        <v>0</v>
      </c>
      <c r="X206">
        <f>COUNTIFS($H$4:$H$1201,Tabla213[[#Headers],[Botrytis]], $G$4:$G$1201,Tabla213[[#This Row],[Organo]], $B$4:$B$1201,M206)</f>
        <v>0</v>
      </c>
      <c r="Y206">
        <f>COUNTIFS($H$4:$H$1201,Tabla213[[#Headers],[Colletotrichum]], $G$4:$G$1201,Tabla213[[#This Row],[Organo]], $B$4:$B$1201,M206)</f>
        <v>0</v>
      </c>
      <c r="Z206">
        <f>COUNTIFS($H$4:$H$1201,Tabla213[[#Headers],[Aspergillus]], $G$4:$G$1201,Tabla213[[#This Row],[Organo]], $B$4:$B$1201,M206)</f>
        <v>0</v>
      </c>
      <c r="AA206">
        <f>COUNTIFS($H$4:$H$1201,Tabla213[[#Headers],[NO ID]], $G$4:$G$1201,Tabla213[[#This Row],[Organo]], $B$4:$B$1201,M206)</f>
        <v>0</v>
      </c>
      <c r="AB206">
        <f>COUNTIFS($H$4:$H$1201,Tabla213[[#Headers],[Trichoderma]], $G$4:$G$1201,Tabla213[[#This Row],[Organo]], $B$4:$B$1201,M206)</f>
        <v>0</v>
      </c>
      <c r="AC206">
        <f>COUNTIFS($H$4:$H$1201,Tabla213[[#Headers],[Rizophus]], $G$4:$G$1201,Tabla213[[#This Row],[Organo]], $B$4:$B$1201,M206)</f>
        <v>0</v>
      </c>
      <c r="AD206">
        <f>COUNTIFS($H$4:$H$1201,Tabla213[[#Headers],[FALTANTES]], $G$4:$G$1201,Tabla213[[#This Row],[Organo]], $B$4:$B$1201,M206)</f>
        <v>0</v>
      </c>
      <c r="AF206">
        <f t="shared" ref="AF206" si="206">SUM(Q205:AD206)</f>
        <v>4</v>
      </c>
      <c r="AG206">
        <f>COUNTIF($B$5:$B$1201, Tabla213[[#This Row],[Num. Parcela]])</f>
        <v>4</v>
      </c>
      <c r="AH206" t="b">
        <f t="shared" ref="AH206" si="207">IF(AF206=AG206, TRUE)</f>
        <v>1</v>
      </c>
      <c r="AK206">
        <v>76.2</v>
      </c>
      <c r="AL206" t="s">
        <v>64</v>
      </c>
      <c r="AM206" t="s">
        <v>114</v>
      </c>
      <c r="AN206" t="s">
        <v>476</v>
      </c>
    </row>
    <row r="207" spans="1:40" x14ac:dyDescent="0.2">
      <c r="A207" s="7">
        <v>203</v>
      </c>
      <c r="B207" s="7">
        <v>7</v>
      </c>
      <c r="C207" s="1" t="str">
        <f t="shared" si="196"/>
        <v>PANTABAJO</v>
      </c>
      <c r="D207" s="7" t="s">
        <v>108</v>
      </c>
      <c r="E207" s="1" t="str">
        <f t="shared" si="197"/>
        <v>SENSATION</v>
      </c>
      <c r="F207" s="7">
        <v>1</v>
      </c>
      <c r="G207" s="7" t="s">
        <v>477</v>
      </c>
      <c r="H207" s="7" t="s">
        <v>485</v>
      </c>
      <c r="I207" s="10" t="s">
        <v>485</v>
      </c>
      <c r="J207" s="10">
        <v>203</v>
      </c>
      <c r="K207" s="7"/>
      <c r="M207">
        <v>76.3</v>
      </c>
      <c r="N207" t="s">
        <v>702</v>
      </c>
      <c r="O207" t="s">
        <v>114</v>
      </c>
      <c r="P207" t="s">
        <v>476</v>
      </c>
      <c r="Q207">
        <f>COUNTIFS($H$4:$H$1201,Tabla213[[#Headers],[Neopestalotiopsis]], $G$4:$G$1201,Tabla213[[#This Row],[Organo]], $B$4:$B$1201,M207)</f>
        <v>1</v>
      </c>
      <c r="R207">
        <f>COUNTIFS($H$4:$H$1201,Tabla213[[#Headers],[Fusarium]], $G$4:$G$1201,Tabla213[[#This Row],[Organo]], $B$4:$B$1201,M207)</f>
        <v>1</v>
      </c>
      <c r="S207">
        <f>COUNTIFS($H$4:$H$1201,Tabla213[[#Headers],[Cylindrocarpon]], $G$4:$G$1201,Tabla213[[#This Row],[Organo]], $B$4:$B$1201,M207)</f>
        <v>0</v>
      </c>
      <c r="T207">
        <f>COUNTIFS($H$4:$H$1201,Tabla213[[#Headers],[Macrophomina]], $G$4:$G$1201,Tabla213[[#This Row],[Organo]], $B$4:$B$1201,M207)</f>
        <v>0</v>
      </c>
      <c r="U207">
        <f>COUNTIFS($H$4:$H$1201,Tabla213[[#Headers],[Rhizoctonia]], $G$4:$G$1201,Tabla213[[#This Row],[Organo]], $B$4:$B$1201,M207)</f>
        <v>0</v>
      </c>
      <c r="V207">
        <v>0</v>
      </c>
      <c r="W207">
        <f>COUNTIFS($H$4:$H$1201,Tabla213[[#Headers],[Alternaria]], $G$4:$G$1201,Tabla213[[#This Row],[Organo]], $B$4:$B$1201,M207)</f>
        <v>0</v>
      </c>
      <c r="X207">
        <f>COUNTIFS($H$4:$H$1201,Tabla213[[#Headers],[Botrytis]], $G$4:$G$1201,Tabla213[[#This Row],[Organo]], $B$4:$B$1201,M207)</f>
        <v>0</v>
      </c>
      <c r="Y207">
        <f>COUNTIFS($H$4:$H$1201,Tabla213[[#Headers],[Colletotrichum]], $G$4:$G$1201,Tabla213[[#This Row],[Organo]], $B$4:$B$1201,M207)</f>
        <v>0</v>
      </c>
      <c r="Z207">
        <f>COUNTIFS($H$4:$H$1201,Tabla213[[#Headers],[Aspergillus]], $G$4:$G$1201,Tabla213[[#This Row],[Organo]], $B$4:$B$1201,M207)</f>
        <v>0</v>
      </c>
      <c r="AA207">
        <f>COUNTIFS($H$4:$H$1201,Tabla213[[#Headers],[NO ID]], $G$4:$G$1201,Tabla213[[#This Row],[Organo]], $B$4:$B$1201,M207)</f>
        <v>0</v>
      </c>
      <c r="AB207">
        <f>COUNTIFS($H$4:$H$1201,Tabla213[[#Headers],[Trichoderma]], $G$4:$G$1201,Tabla213[[#This Row],[Organo]], $B$4:$B$1201,M207)</f>
        <v>0</v>
      </c>
      <c r="AC207">
        <f>COUNTIFS($H$4:$H$1201,Tabla213[[#Headers],[Rizophus]], $G$4:$G$1201,Tabla213[[#This Row],[Organo]], $B$4:$B$1201,M207)</f>
        <v>0</v>
      </c>
      <c r="AD207">
        <f>COUNTIFS($H$4:$H$1201,Tabla213[[#Headers],[FALTANTES]], $G$4:$G$1201,Tabla213[[#This Row],[Organo]], $B$4:$B$1201,M207)</f>
        <v>0</v>
      </c>
      <c r="AK207">
        <v>76.3</v>
      </c>
      <c r="AL207" t="s">
        <v>64</v>
      </c>
      <c r="AM207" t="s">
        <v>114</v>
      </c>
      <c r="AN207" t="s">
        <v>477</v>
      </c>
    </row>
    <row r="208" spans="1:40" x14ac:dyDescent="0.2">
      <c r="A208" s="7">
        <v>204</v>
      </c>
      <c r="B208" s="7">
        <v>7</v>
      </c>
      <c r="C208" s="1" t="str">
        <f t="shared" si="196"/>
        <v>PANTABAJO</v>
      </c>
      <c r="D208" s="7" t="s">
        <v>108</v>
      </c>
      <c r="E208" s="1" t="str">
        <f t="shared" si="197"/>
        <v>SENSATION</v>
      </c>
      <c r="F208" s="7">
        <v>1</v>
      </c>
      <c r="G208" s="7" t="s">
        <v>477</v>
      </c>
      <c r="H208" s="7" t="s">
        <v>149</v>
      </c>
      <c r="I208" s="8" t="s">
        <v>478</v>
      </c>
      <c r="J208" s="7">
        <v>204</v>
      </c>
      <c r="K208" s="7"/>
      <c r="M208">
        <v>76.3</v>
      </c>
      <c r="N208" t="s">
        <v>702</v>
      </c>
      <c r="O208" t="s">
        <v>114</v>
      </c>
      <c r="P208" t="s">
        <v>477</v>
      </c>
      <c r="Q208">
        <f>COUNTIFS($H$4:$H$1201,Tabla213[[#Headers],[Neopestalotiopsis]], $G$4:$G$1201,Tabla213[[#This Row],[Organo]], $B$4:$B$1201,M208)</f>
        <v>1</v>
      </c>
      <c r="R208">
        <f>COUNTIFS($H$4:$H$1201,Tabla213[[#Headers],[Fusarium]], $G$4:$G$1201,Tabla213[[#This Row],[Organo]], $B$4:$B$1201,M208)</f>
        <v>1</v>
      </c>
      <c r="S208">
        <f>COUNTIFS($H$4:$H$1201,Tabla213[[#Headers],[Cylindrocarpon]], $G$4:$G$1201,Tabla213[[#This Row],[Organo]], $B$4:$B$1201,M208)</f>
        <v>0</v>
      </c>
      <c r="T208">
        <f>COUNTIFS($H$4:$H$1201,Tabla213[[#Headers],[Macrophomina]], $G$4:$G$1201,Tabla213[[#This Row],[Organo]], $B$4:$B$1201,M208)</f>
        <v>0</v>
      </c>
      <c r="U208">
        <f>COUNTIFS($H$4:$H$1201,Tabla213[[#Headers],[Rhizoctonia]], $G$4:$G$1201,Tabla213[[#This Row],[Organo]], $B$4:$B$1201,M208)</f>
        <v>0</v>
      </c>
      <c r="V208">
        <v>0</v>
      </c>
      <c r="W208">
        <f>COUNTIFS($H$4:$H$1201,Tabla213[[#Headers],[Alternaria]], $G$4:$G$1201,Tabla213[[#This Row],[Organo]], $B$4:$B$1201,M208)</f>
        <v>0</v>
      </c>
      <c r="X208">
        <f>COUNTIFS($H$4:$H$1201,Tabla213[[#Headers],[Botrytis]], $G$4:$G$1201,Tabla213[[#This Row],[Organo]], $B$4:$B$1201,M208)</f>
        <v>0</v>
      </c>
      <c r="Y208">
        <f>COUNTIFS($H$4:$H$1201,Tabla213[[#Headers],[Colletotrichum]], $G$4:$G$1201,Tabla213[[#This Row],[Organo]], $B$4:$B$1201,M208)</f>
        <v>0</v>
      </c>
      <c r="Z208">
        <f>COUNTIFS($H$4:$H$1201,Tabla213[[#Headers],[Aspergillus]], $G$4:$G$1201,Tabla213[[#This Row],[Organo]], $B$4:$B$1201,M208)</f>
        <v>0</v>
      </c>
      <c r="AA208">
        <f>COUNTIFS($H$4:$H$1201,Tabla213[[#Headers],[NO ID]], $G$4:$G$1201,Tabla213[[#This Row],[Organo]], $B$4:$B$1201,M208)</f>
        <v>0</v>
      </c>
      <c r="AB208">
        <f>COUNTIFS($H$4:$H$1201,Tabla213[[#Headers],[Trichoderma]], $G$4:$G$1201,Tabla213[[#This Row],[Organo]], $B$4:$B$1201,M208)</f>
        <v>0</v>
      </c>
      <c r="AC208">
        <f>COUNTIFS($H$4:$H$1201,Tabla213[[#Headers],[Rizophus]], $G$4:$G$1201,Tabla213[[#This Row],[Organo]], $B$4:$B$1201,M208)</f>
        <v>0</v>
      </c>
      <c r="AD208">
        <f>COUNTIFS($H$4:$H$1201,Tabla213[[#Headers],[FALTANTES]], $G$4:$G$1201,Tabla213[[#This Row],[Organo]], $B$4:$B$1201,M208)</f>
        <v>0</v>
      </c>
      <c r="AF208">
        <f t="shared" ref="AF208" si="208">SUM(Q207:AD208)</f>
        <v>4</v>
      </c>
      <c r="AG208">
        <f>COUNTIF($B$5:$B$1201, Tabla213[[#This Row],[Num. Parcela]])</f>
        <v>4</v>
      </c>
      <c r="AH208" t="b">
        <f t="shared" ref="AH208" si="209">IF(AF208=AG208, TRUE)</f>
        <v>1</v>
      </c>
      <c r="AK208">
        <v>76.3</v>
      </c>
      <c r="AL208" t="s">
        <v>64</v>
      </c>
      <c r="AM208" t="s">
        <v>114</v>
      </c>
      <c r="AN208" t="s">
        <v>476</v>
      </c>
    </row>
    <row r="209" spans="1:40" x14ac:dyDescent="0.2">
      <c r="A209" s="7">
        <v>205</v>
      </c>
      <c r="B209" s="7">
        <v>7</v>
      </c>
      <c r="C209" s="1" t="str">
        <f t="shared" si="196"/>
        <v>PANTABAJO</v>
      </c>
      <c r="D209" s="7" t="s">
        <v>108</v>
      </c>
      <c r="E209" s="1" t="str">
        <f t="shared" si="197"/>
        <v>SENSATION</v>
      </c>
      <c r="F209" s="7">
        <v>1</v>
      </c>
      <c r="G209" s="7" t="s">
        <v>477</v>
      </c>
      <c r="H209" s="7" t="s">
        <v>474</v>
      </c>
      <c r="I209" s="11" t="s">
        <v>474</v>
      </c>
      <c r="J209" s="9">
        <v>205</v>
      </c>
      <c r="K209" s="7"/>
      <c r="M209">
        <v>77</v>
      </c>
      <c r="N209" t="s">
        <v>65</v>
      </c>
      <c r="O209" t="s">
        <v>114</v>
      </c>
      <c r="P209" t="s">
        <v>476</v>
      </c>
      <c r="Q209">
        <f>COUNTIFS($H$4:$H$1201,Tabla213[[#Headers],[Neopestalotiopsis]], $G$4:$G$1201,Tabla213[[#This Row],[Organo]], $B$4:$B$1201,M209)</f>
        <v>1</v>
      </c>
      <c r="R209">
        <f>COUNTIFS($H$4:$H$1201,Tabla213[[#Headers],[Fusarium]], $G$4:$G$1201,Tabla213[[#This Row],[Organo]], $B$4:$B$1201,M209)</f>
        <v>0</v>
      </c>
      <c r="S209">
        <f>COUNTIFS($H$4:$H$1201,Tabla213[[#Headers],[Cylindrocarpon]], $G$4:$G$1201,Tabla213[[#This Row],[Organo]], $B$4:$B$1201,M209)</f>
        <v>1</v>
      </c>
      <c r="T209">
        <f>COUNTIFS($H$4:$H$1201,Tabla213[[#Headers],[Macrophomina]], $G$4:$G$1201,Tabla213[[#This Row],[Organo]], $B$4:$B$1201,M209)</f>
        <v>0</v>
      </c>
      <c r="U209">
        <f>COUNTIFS($H$4:$H$1201,Tabla213[[#Headers],[Rhizoctonia]], $G$4:$G$1201,Tabla213[[#This Row],[Organo]], $B$4:$B$1201,M209)</f>
        <v>0</v>
      </c>
      <c r="V209">
        <v>0</v>
      </c>
      <c r="W209">
        <f>COUNTIFS($H$4:$H$1201,Tabla213[[#Headers],[Alternaria]], $G$4:$G$1201,Tabla213[[#This Row],[Organo]], $B$4:$B$1201,M209)</f>
        <v>0</v>
      </c>
      <c r="X209">
        <f>COUNTIFS($H$4:$H$1201,Tabla213[[#Headers],[Botrytis]], $G$4:$G$1201,Tabla213[[#This Row],[Organo]], $B$4:$B$1201,M209)</f>
        <v>0</v>
      </c>
      <c r="Y209">
        <f>COUNTIFS($H$4:$H$1201,Tabla213[[#Headers],[Colletotrichum]], $G$4:$G$1201,Tabla213[[#This Row],[Organo]], $B$4:$B$1201,M209)</f>
        <v>0</v>
      </c>
      <c r="Z209">
        <f>COUNTIFS($H$4:$H$1201,Tabla213[[#Headers],[Aspergillus]], $G$4:$G$1201,Tabla213[[#This Row],[Organo]], $B$4:$B$1201,M209)</f>
        <v>0</v>
      </c>
      <c r="AA209">
        <f>COUNTIFS($H$4:$H$1201,Tabla213[[#Headers],[NO ID]], $G$4:$G$1201,Tabla213[[#This Row],[Organo]], $B$4:$B$1201,M209)</f>
        <v>0</v>
      </c>
      <c r="AB209">
        <f>COUNTIFS($H$4:$H$1201,Tabla213[[#Headers],[Trichoderma]], $G$4:$G$1201,Tabla213[[#This Row],[Organo]], $B$4:$B$1201,M209)</f>
        <v>0</v>
      </c>
      <c r="AC209">
        <f>COUNTIFS($H$4:$H$1201,Tabla213[[#Headers],[Rizophus]], $G$4:$G$1201,Tabla213[[#This Row],[Organo]], $B$4:$B$1201,M209)</f>
        <v>0</v>
      </c>
      <c r="AD209">
        <f>COUNTIFS($H$4:$H$1201,Tabla213[[#Headers],[FALTANTES]], $G$4:$G$1201,Tabla213[[#This Row],[Organo]], $B$4:$B$1201,M209)</f>
        <v>0</v>
      </c>
      <c r="AK209">
        <v>77</v>
      </c>
      <c r="AL209" t="s">
        <v>65</v>
      </c>
      <c r="AM209" t="s">
        <v>114</v>
      </c>
      <c r="AN209" t="s">
        <v>477</v>
      </c>
    </row>
    <row r="210" spans="1:40" x14ac:dyDescent="0.2">
      <c r="A210" s="7">
        <v>206</v>
      </c>
      <c r="B210" s="7">
        <v>7</v>
      </c>
      <c r="C210" s="1" t="str">
        <f t="shared" si="196"/>
        <v>PANTABAJO</v>
      </c>
      <c r="D210" s="7" t="s">
        <v>108</v>
      </c>
      <c r="E210" s="1" t="str">
        <f t="shared" si="197"/>
        <v>SENSATION</v>
      </c>
      <c r="F210" s="7">
        <v>1</v>
      </c>
      <c r="G210" s="7" t="s">
        <v>477</v>
      </c>
      <c r="H210" s="7" t="s">
        <v>474</v>
      </c>
      <c r="I210" s="11" t="s">
        <v>474</v>
      </c>
      <c r="J210" s="9">
        <v>206</v>
      </c>
      <c r="K210" s="7"/>
      <c r="M210">
        <v>77</v>
      </c>
      <c r="N210" t="s">
        <v>65</v>
      </c>
      <c r="O210" t="s">
        <v>114</v>
      </c>
      <c r="P210" t="s">
        <v>477</v>
      </c>
      <c r="Q210">
        <f>COUNTIFS($H$4:$H$1201,Tabla213[[#Headers],[Neopestalotiopsis]], $G$4:$G$1201,Tabla213[[#This Row],[Organo]], $B$4:$B$1201,M210)</f>
        <v>1</v>
      </c>
      <c r="R210">
        <f>COUNTIFS($H$4:$H$1201,Tabla213[[#Headers],[Fusarium]], $G$4:$G$1201,Tabla213[[#This Row],[Organo]], $B$4:$B$1201,M210)</f>
        <v>1</v>
      </c>
      <c r="S210">
        <f>COUNTIFS($H$4:$H$1201,Tabla213[[#Headers],[Cylindrocarpon]], $G$4:$G$1201,Tabla213[[#This Row],[Organo]], $B$4:$B$1201,M210)</f>
        <v>1</v>
      </c>
      <c r="T210">
        <f>COUNTIFS($H$4:$H$1201,Tabla213[[#Headers],[Macrophomina]], $G$4:$G$1201,Tabla213[[#This Row],[Organo]], $B$4:$B$1201,M210)</f>
        <v>0</v>
      </c>
      <c r="U210">
        <f>COUNTIFS($H$4:$H$1201,Tabla213[[#Headers],[Rhizoctonia]], $G$4:$G$1201,Tabla213[[#This Row],[Organo]], $B$4:$B$1201,M210)</f>
        <v>1</v>
      </c>
      <c r="V210">
        <v>0</v>
      </c>
      <c r="W210">
        <f>COUNTIFS($H$4:$H$1201,Tabla213[[#Headers],[Alternaria]], $G$4:$G$1201,Tabla213[[#This Row],[Organo]], $B$4:$B$1201,M210)</f>
        <v>0</v>
      </c>
      <c r="X210">
        <f>COUNTIFS($H$4:$H$1201,Tabla213[[#Headers],[Botrytis]], $G$4:$G$1201,Tabla213[[#This Row],[Organo]], $B$4:$B$1201,M210)</f>
        <v>0</v>
      </c>
      <c r="Y210">
        <f>COUNTIFS($H$4:$H$1201,Tabla213[[#Headers],[Colletotrichum]], $G$4:$G$1201,Tabla213[[#This Row],[Organo]], $B$4:$B$1201,M210)</f>
        <v>0</v>
      </c>
      <c r="Z210">
        <f>COUNTIFS($H$4:$H$1201,Tabla213[[#Headers],[Aspergillus]], $G$4:$G$1201,Tabla213[[#This Row],[Organo]], $B$4:$B$1201,M210)</f>
        <v>0</v>
      </c>
      <c r="AA210">
        <f>COUNTIFS($H$4:$H$1201,Tabla213[[#Headers],[NO ID]], $G$4:$G$1201,Tabla213[[#This Row],[Organo]], $B$4:$B$1201,M210)</f>
        <v>0</v>
      </c>
      <c r="AB210">
        <f>COUNTIFS($H$4:$H$1201,Tabla213[[#Headers],[Trichoderma]], $G$4:$G$1201,Tabla213[[#This Row],[Organo]], $B$4:$B$1201,M210)</f>
        <v>0</v>
      </c>
      <c r="AC210">
        <f>COUNTIFS($H$4:$H$1201,Tabla213[[#Headers],[Rizophus]], $G$4:$G$1201,Tabla213[[#This Row],[Organo]], $B$4:$B$1201,M210)</f>
        <v>0</v>
      </c>
      <c r="AD210">
        <f>COUNTIFS($H$4:$H$1201,Tabla213[[#Headers],[FALTANTES]], $G$4:$G$1201,Tabla213[[#This Row],[Organo]], $B$4:$B$1201,M210)</f>
        <v>0</v>
      </c>
      <c r="AF210">
        <f t="shared" ref="AF210" si="210">SUM(Q209:AD210)</f>
        <v>6</v>
      </c>
      <c r="AG210">
        <f>COUNTIF($B$5:$B$1201, Tabla213[[#This Row],[Num. Parcela]])</f>
        <v>6</v>
      </c>
      <c r="AH210" t="b">
        <f t="shared" ref="AH210" si="211">IF(AF210=AG210, TRUE)</f>
        <v>1</v>
      </c>
      <c r="AK210">
        <v>77</v>
      </c>
      <c r="AL210" t="s">
        <v>65</v>
      </c>
      <c r="AM210" t="s">
        <v>114</v>
      </c>
      <c r="AN210" t="s">
        <v>476</v>
      </c>
    </row>
    <row r="211" spans="1:40" x14ac:dyDescent="0.2">
      <c r="A211" s="7">
        <v>207</v>
      </c>
      <c r="B211" s="7">
        <v>7</v>
      </c>
      <c r="C211" s="1" t="str">
        <f t="shared" si="196"/>
        <v>PANTABAJO</v>
      </c>
      <c r="D211" s="7" t="s">
        <v>108</v>
      </c>
      <c r="E211" s="1" t="str">
        <f t="shared" si="197"/>
        <v>SENSATION</v>
      </c>
      <c r="F211" s="7">
        <v>2</v>
      </c>
      <c r="G211" s="7" t="s">
        <v>477</v>
      </c>
      <c r="H211" s="7" t="s">
        <v>485</v>
      </c>
      <c r="I211" s="10" t="s">
        <v>485</v>
      </c>
      <c r="J211" s="10">
        <v>207</v>
      </c>
      <c r="K211" s="7"/>
      <c r="L211">
        <v>1</v>
      </c>
      <c r="M211">
        <v>78</v>
      </c>
      <c r="N211" t="s">
        <v>66</v>
      </c>
      <c r="O211" t="s">
        <v>126</v>
      </c>
      <c r="P211" t="s">
        <v>476</v>
      </c>
      <c r="Q211">
        <f>COUNTIFS($H$4:$H$1201,Tabla213[[#Headers],[Neopestalotiopsis]], $G$4:$G$1201,Tabla213[[#This Row],[Organo]], $B$4:$B$1201,M211)</f>
        <v>0</v>
      </c>
      <c r="R211">
        <f>COUNTIFS($H$4:$H$1201,Tabla213[[#Headers],[Fusarium]], $G$4:$G$1201,Tabla213[[#This Row],[Organo]], $B$4:$B$1201,M211)</f>
        <v>1</v>
      </c>
      <c r="S211">
        <f>COUNTIFS($H$4:$H$1201,Tabla213[[#Headers],[Cylindrocarpon]], $G$4:$G$1201,Tabla213[[#This Row],[Organo]], $B$4:$B$1201,M211)</f>
        <v>0</v>
      </c>
      <c r="T211">
        <f>COUNTIFS($H$4:$H$1201,Tabla213[[#Headers],[Macrophomina]], $G$4:$G$1201,Tabla213[[#This Row],[Organo]], $B$4:$B$1201,M211)</f>
        <v>0</v>
      </c>
      <c r="U211">
        <f>COUNTIFS($H$4:$H$1201,Tabla213[[#Headers],[Rhizoctonia]], $G$4:$G$1201,Tabla213[[#This Row],[Organo]], $B$4:$B$1201,M211)</f>
        <v>0</v>
      </c>
      <c r="V211">
        <v>1</v>
      </c>
      <c r="W211">
        <f>COUNTIFS($H$4:$H$1201,Tabla213[[#Headers],[Alternaria]], $G$4:$G$1201,Tabla213[[#This Row],[Organo]], $B$4:$B$1201,M211)</f>
        <v>0</v>
      </c>
      <c r="X211">
        <f>COUNTIFS($H$4:$H$1201,Tabla213[[#Headers],[Botrytis]], $G$4:$G$1201,Tabla213[[#This Row],[Organo]], $B$4:$B$1201,M211)</f>
        <v>0</v>
      </c>
      <c r="Y211">
        <f>COUNTIFS($H$4:$H$1201,Tabla213[[#Headers],[Colletotrichum]], $G$4:$G$1201,Tabla213[[#This Row],[Organo]], $B$4:$B$1201,M211)</f>
        <v>0</v>
      </c>
      <c r="Z211">
        <f>COUNTIFS($H$4:$H$1201,Tabla213[[#Headers],[Aspergillus]], $G$4:$G$1201,Tabla213[[#This Row],[Organo]], $B$4:$B$1201,M211)</f>
        <v>0</v>
      </c>
      <c r="AA211">
        <f>COUNTIFS($H$4:$H$1201,Tabla213[[#Headers],[NO ID]], $G$4:$G$1201,Tabla213[[#This Row],[Organo]], $B$4:$B$1201,M211)</f>
        <v>0</v>
      </c>
      <c r="AB211">
        <f>COUNTIFS($H$4:$H$1201,Tabla213[[#Headers],[Trichoderma]], $G$4:$G$1201,Tabla213[[#This Row],[Organo]], $B$4:$B$1201,M211)</f>
        <v>0</v>
      </c>
      <c r="AC211">
        <f>COUNTIFS($H$4:$H$1201,Tabla213[[#Headers],[Rizophus]], $G$4:$G$1201,Tabla213[[#This Row],[Organo]], $B$4:$B$1201,M211)</f>
        <v>0</v>
      </c>
      <c r="AD211">
        <f>COUNTIFS($H$4:$H$1201,Tabla213[[#Headers],[FALTANTES]], $G$4:$G$1201,Tabla213[[#This Row],[Organo]], $B$4:$B$1201,M211)</f>
        <v>0</v>
      </c>
      <c r="AK211">
        <v>78</v>
      </c>
      <c r="AL211" t="s">
        <v>66</v>
      </c>
      <c r="AM211" t="s">
        <v>126</v>
      </c>
      <c r="AN211" t="s">
        <v>477</v>
      </c>
    </row>
    <row r="212" spans="1:40" x14ac:dyDescent="0.2">
      <c r="A212" s="7">
        <v>208</v>
      </c>
      <c r="B212" s="7">
        <v>7</v>
      </c>
      <c r="C212" s="1" t="str">
        <f t="shared" si="196"/>
        <v>PANTABAJO</v>
      </c>
      <c r="D212" s="7" t="s">
        <v>108</v>
      </c>
      <c r="E212" s="1" t="str">
        <f t="shared" si="197"/>
        <v>SENSATION</v>
      </c>
      <c r="F212" s="7">
        <v>2</v>
      </c>
      <c r="G212" s="7" t="s">
        <v>477</v>
      </c>
      <c r="H212" s="7" t="s">
        <v>474</v>
      </c>
      <c r="I212" s="11" t="s">
        <v>474</v>
      </c>
      <c r="J212" s="11">
        <v>208</v>
      </c>
      <c r="K212" s="7"/>
      <c r="M212">
        <v>78</v>
      </c>
      <c r="N212" t="s">
        <v>66</v>
      </c>
      <c r="O212" t="s">
        <v>126</v>
      </c>
      <c r="P212" t="s">
        <v>477</v>
      </c>
      <c r="Q212">
        <f>COUNTIFS($H$4:$H$1201,Tabla213[[#Headers],[Neopestalotiopsis]], $G$4:$G$1201,Tabla213[[#This Row],[Organo]], $B$4:$B$1201,M212)</f>
        <v>0</v>
      </c>
      <c r="R212">
        <f>COUNTIFS($H$4:$H$1201,Tabla213[[#Headers],[Fusarium]], $G$4:$G$1201,Tabla213[[#This Row],[Organo]], $B$4:$B$1201,M212)</f>
        <v>8</v>
      </c>
      <c r="S212">
        <f>COUNTIFS($H$4:$H$1201,Tabla213[[#Headers],[Cylindrocarpon]], $G$4:$G$1201,Tabla213[[#This Row],[Organo]], $B$4:$B$1201,M212)</f>
        <v>1</v>
      </c>
      <c r="T212">
        <f>COUNTIFS($H$4:$H$1201,Tabla213[[#Headers],[Macrophomina]], $G$4:$G$1201,Tabla213[[#This Row],[Organo]], $B$4:$B$1201,M212)</f>
        <v>0</v>
      </c>
      <c r="U212">
        <f>COUNTIFS($H$4:$H$1201,Tabla213[[#Headers],[Rhizoctonia]], $G$4:$G$1201,Tabla213[[#This Row],[Organo]], $B$4:$B$1201,M212)</f>
        <v>2</v>
      </c>
      <c r="V212">
        <v>3</v>
      </c>
      <c r="W212">
        <f>COUNTIFS($H$4:$H$1201,Tabla213[[#Headers],[Alternaria]], $G$4:$G$1201,Tabla213[[#This Row],[Organo]], $B$4:$B$1201,M212)</f>
        <v>0</v>
      </c>
      <c r="X212">
        <f>COUNTIFS($H$4:$H$1201,Tabla213[[#Headers],[Botrytis]], $G$4:$G$1201,Tabla213[[#This Row],[Organo]], $B$4:$B$1201,M212)</f>
        <v>0</v>
      </c>
      <c r="Y212">
        <f>COUNTIFS($H$4:$H$1201,Tabla213[[#Headers],[Colletotrichum]], $G$4:$G$1201,Tabla213[[#This Row],[Organo]], $B$4:$B$1201,M212)</f>
        <v>1</v>
      </c>
      <c r="Z212">
        <f>COUNTIFS($H$4:$H$1201,Tabla213[[#Headers],[Aspergillus]], $G$4:$G$1201,Tabla213[[#This Row],[Organo]], $B$4:$B$1201,M212)</f>
        <v>0</v>
      </c>
      <c r="AA212">
        <f>COUNTIFS($H$4:$H$1201,Tabla213[[#Headers],[NO ID]], $G$4:$G$1201,Tabla213[[#This Row],[Organo]], $B$4:$B$1201,M212)</f>
        <v>1</v>
      </c>
      <c r="AB212">
        <f>COUNTIFS($H$4:$H$1201,Tabla213[[#Headers],[Trichoderma]], $G$4:$G$1201,Tabla213[[#This Row],[Organo]], $B$4:$B$1201,M212)</f>
        <v>0</v>
      </c>
      <c r="AC212">
        <f>COUNTIFS($H$4:$H$1201,Tabla213[[#Headers],[Rizophus]], $G$4:$G$1201,Tabla213[[#This Row],[Organo]], $B$4:$B$1201,M212)</f>
        <v>0</v>
      </c>
      <c r="AD212">
        <f>COUNTIFS($H$4:$H$1201,Tabla213[[#Headers],[FALTANTES]], $G$4:$G$1201,Tabla213[[#This Row],[Organo]], $B$4:$B$1201,M212)</f>
        <v>0</v>
      </c>
      <c r="AF212">
        <f t="shared" ref="AF212" si="212">SUM(Q211:AD212)</f>
        <v>18</v>
      </c>
      <c r="AG212">
        <f>COUNTIF($B$5:$B$1201, Tabla213[[#This Row],[Num. Parcela]])</f>
        <v>18</v>
      </c>
      <c r="AH212" t="b">
        <f t="shared" ref="AH212" si="213">IF(AF212=AG212, TRUE)</f>
        <v>1</v>
      </c>
      <c r="AK212">
        <v>78</v>
      </c>
      <c r="AL212" t="s">
        <v>66</v>
      </c>
      <c r="AM212" t="s">
        <v>126</v>
      </c>
      <c r="AN212" t="s">
        <v>476</v>
      </c>
    </row>
    <row r="213" spans="1:40" x14ac:dyDescent="0.2">
      <c r="A213" s="7">
        <v>209</v>
      </c>
      <c r="B213" s="7">
        <v>7</v>
      </c>
      <c r="C213" s="1" t="str">
        <f t="shared" si="196"/>
        <v>PANTABAJO</v>
      </c>
      <c r="D213" s="7" t="s">
        <v>108</v>
      </c>
      <c r="E213" s="1" t="str">
        <f t="shared" si="197"/>
        <v>SENSATION</v>
      </c>
      <c r="F213" s="7">
        <v>2</v>
      </c>
      <c r="G213" s="7" t="s">
        <v>477</v>
      </c>
      <c r="H213" s="7" t="s">
        <v>485</v>
      </c>
      <c r="I213" s="10" t="s">
        <v>485</v>
      </c>
      <c r="J213" s="10">
        <v>209</v>
      </c>
      <c r="K213" s="7"/>
      <c r="L213">
        <v>1</v>
      </c>
      <c r="M213">
        <v>79</v>
      </c>
      <c r="N213" t="s">
        <v>703</v>
      </c>
      <c r="O213" t="s">
        <v>114</v>
      </c>
      <c r="P213" t="s">
        <v>476</v>
      </c>
      <c r="Q213">
        <f>COUNTIFS($H$4:$H$1201,Tabla213[[#Headers],[Neopestalotiopsis]], $G$4:$G$1201,Tabla213[[#This Row],[Organo]], $B$4:$B$1201,M213)</f>
        <v>0</v>
      </c>
      <c r="R213">
        <f>COUNTIFS($H$4:$H$1201,Tabla213[[#Headers],[Fusarium]], $G$4:$G$1201,Tabla213[[#This Row],[Organo]], $B$4:$B$1201,M213)</f>
        <v>0</v>
      </c>
      <c r="S213">
        <f>COUNTIFS($H$4:$H$1201,Tabla213[[#Headers],[Cylindrocarpon]], $G$4:$G$1201,Tabla213[[#This Row],[Organo]], $B$4:$B$1201,M213)</f>
        <v>0</v>
      </c>
      <c r="T213">
        <f>COUNTIFS($H$4:$H$1201,Tabla213[[#Headers],[Macrophomina]], $G$4:$G$1201,Tabla213[[#This Row],[Organo]], $B$4:$B$1201,M213)</f>
        <v>0</v>
      </c>
      <c r="U213">
        <f>COUNTIFS($H$4:$H$1201,Tabla213[[#Headers],[Rhizoctonia]], $G$4:$G$1201,Tabla213[[#This Row],[Organo]], $B$4:$B$1201,M213)</f>
        <v>0</v>
      </c>
      <c r="V213">
        <v>0</v>
      </c>
      <c r="W213">
        <f>COUNTIFS($H$4:$H$1201,Tabla213[[#Headers],[Alternaria]], $G$4:$G$1201,Tabla213[[#This Row],[Organo]], $B$4:$B$1201,M213)</f>
        <v>0</v>
      </c>
      <c r="X213">
        <f>COUNTIFS($H$4:$H$1201,Tabla213[[#Headers],[Botrytis]], $G$4:$G$1201,Tabla213[[#This Row],[Organo]], $B$4:$B$1201,M213)</f>
        <v>0</v>
      </c>
      <c r="Y213">
        <f>COUNTIFS($H$4:$H$1201,Tabla213[[#Headers],[Colletotrichum]], $G$4:$G$1201,Tabla213[[#This Row],[Organo]], $B$4:$B$1201,M213)</f>
        <v>0</v>
      </c>
      <c r="Z213">
        <f>COUNTIFS($H$4:$H$1201,Tabla213[[#Headers],[Aspergillus]], $G$4:$G$1201,Tabla213[[#This Row],[Organo]], $B$4:$B$1201,M213)</f>
        <v>0</v>
      </c>
      <c r="AA213">
        <f>COUNTIFS($H$4:$H$1201,Tabla213[[#Headers],[NO ID]], $G$4:$G$1201,Tabla213[[#This Row],[Organo]], $B$4:$B$1201,M213)</f>
        <v>0</v>
      </c>
      <c r="AB213">
        <f>COUNTIFS($H$4:$H$1201,Tabla213[[#Headers],[Trichoderma]], $G$4:$G$1201,Tabla213[[#This Row],[Organo]], $B$4:$B$1201,M213)</f>
        <v>0</v>
      </c>
      <c r="AC213">
        <f>COUNTIFS($H$4:$H$1201,Tabla213[[#Headers],[Rizophus]], $G$4:$G$1201,Tabla213[[#This Row],[Organo]], $B$4:$B$1201,M213)</f>
        <v>0</v>
      </c>
      <c r="AD213">
        <f>COUNTIFS($H$4:$H$1201,Tabla213[[#Headers],[FALTANTES]], $G$4:$G$1201,Tabla213[[#This Row],[Organo]], $B$4:$B$1201,M213)</f>
        <v>0</v>
      </c>
      <c r="AK213">
        <v>79</v>
      </c>
      <c r="AL213" t="s">
        <v>67</v>
      </c>
      <c r="AM213" t="s">
        <v>114</v>
      </c>
      <c r="AN213" t="s">
        <v>477</v>
      </c>
    </row>
    <row r="214" spans="1:40" x14ac:dyDescent="0.2">
      <c r="A214" s="7">
        <v>210</v>
      </c>
      <c r="B214" s="7">
        <v>7</v>
      </c>
      <c r="C214" s="1" t="str">
        <f t="shared" si="196"/>
        <v>PANTABAJO</v>
      </c>
      <c r="D214" s="7" t="s">
        <v>108</v>
      </c>
      <c r="E214" s="1" t="str">
        <f t="shared" si="197"/>
        <v>SENSATION</v>
      </c>
      <c r="F214" s="7">
        <v>2</v>
      </c>
      <c r="G214" s="7" t="s">
        <v>477</v>
      </c>
      <c r="H214" s="7" t="s">
        <v>471</v>
      </c>
      <c r="I214" s="7" t="s">
        <v>471</v>
      </c>
      <c r="J214" s="7">
        <v>210</v>
      </c>
      <c r="K214" s="19" t="s">
        <v>638</v>
      </c>
      <c r="M214">
        <v>79</v>
      </c>
      <c r="N214" t="s">
        <v>703</v>
      </c>
      <c r="O214" t="s">
        <v>114</v>
      </c>
      <c r="P214" t="s">
        <v>477</v>
      </c>
      <c r="Q214">
        <f>COUNTIFS($H$4:$H$1201,Tabla213[[#Headers],[Neopestalotiopsis]], $G$4:$G$1201,Tabla213[[#This Row],[Organo]], $B$4:$B$1201,M214)</f>
        <v>0</v>
      </c>
      <c r="R214">
        <f>COUNTIFS($H$4:$H$1201,Tabla213[[#Headers],[Fusarium]], $G$4:$G$1201,Tabla213[[#This Row],[Organo]], $B$4:$B$1201,M214)</f>
        <v>2</v>
      </c>
      <c r="S214">
        <f>COUNTIFS($H$4:$H$1201,Tabla213[[#Headers],[Cylindrocarpon]], $G$4:$G$1201,Tabla213[[#This Row],[Organo]], $B$4:$B$1201,M214)</f>
        <v>1</v>
      </c>
      <c r="T214">
        <f>COUNTIFS($H$4:$H$1201,Tabla213[[#Headers],[Macrophomina]], $G$4:$G$1201,Tabla213[[#This Row],[Organo]], $B$4:$B$1201,M214)</f>
        <v>0</v>
      </c>
      <c r="U214">
        <f>COUNTIFS($H$4:$H$1201,Tabla213[[#Headers],[Rhizoctonia]], $G$4:$G$1201,Tabla213[[#This Row],[Organo]], $B$4:$B$1201,M214)</f>
        <v>1</v>
      </c>
      <c r="V214">
        <v>0</v>
      </c>
      <c r="W214">
        <f>COUNTIFS($H$4:$H$1201,Tabla213[[#Headers],[Alternaria]], $G$4:$G$1201,Tabla213[[#This Row],[Organo]], $B$4:$B$1201,M214)</f>
        <v>0</v>
      </c>
      <c r="X214">
        <f>COUNTIFS($H$4:$H$1201,Tabla213[[#Headers],[Botrytis]], $G$4:$G$1201,Tabla213[[#This Row],[Organo]], $B$4:$B$1201,M214)</f>
        <v>0</v>
      </c>
      <c r="Y214">
        <f>COUNTIFS($H$4:$H$1201,Tabla213[[#Headers],[Colletotrichum]], $G$4:$G$1201,Tabla213[[#This Row],[Organo]], $B$4:$B$1201,M214)</f>
        <v>0</v>
      </c>
      <c r="Z214">
        <f>COUNTIFS($H$4:$H$1201,Tabla213[[#Headers],[Aspergillus]], $G$4:$G$1201,Tabla213[[#This Row],[Organo]], $B$4:$B$1201,M214)</f>
        <v>0</v>
      </c>
      <c r="AA214">
        <f>COUNTIFS($H$4:$H$1201,Tabla213[[#Headers],[NO ID]], $G$4:$G$1201,Tabla213[[#This Row],[Organo]], $B$4:$B$1201,M214)</f>
        <v>0</v>
      </c>
      <c r="AB214">
        <f>COUNTIFS($H$4:$H$1201,Tabla213[[#Headers],[Trichoderma]], $G$4:$G$1201,Tabla213[[#This Row],[Organo]], $B$4:$B$1201,M214)</f>
        <v>0</v>
      </c>
      <c r="AC214">
        <f>COUNTIFS($H$4:$H$1201,Tabla213[[#Headers],[Rizophus]], $G$4:$G$1201,Tabla213[[#This Row],[Organo]], $B$4:$B$1201,M214)</f>
        <v>0</v>
      </c>
      <c r="AD214">
        <f>COUNTIFS($H$4:$H$1201,Tabla213[[#Headers],[FALTANTES]], $G$4:$G$1201,Tabla213[[#This Row],[Organo]], $B$4:$B$1201,M214)</f>
        <v>0</v>
      </c>
      <c r="AF214">
        <f t="shared" ref="AF214" si="214">SUM(Q213:AD214)</f>
        <v>4</v>
      </c>
      <c r="AG214">
        <f>COUNTIF($B$5:$B$1201, Tabla213[[#This Row],[Num. Parcela]])</f>
        <v>4</v>
      </c>
      <c r="AH214" t="b">
        <f t="shared" ref="AH214" si="215">IF(AF214=AG214, TRUE)</f>
        <v>1</v>
      </c>
      <c r="AK214">
        <v>79</v>
      </c>
      <c r="AL214" t="s">
        <v>67</v>
      </c>
      <c r="AM214" t="s">
        <v>114</v>
      </c>
      <c r="AN214" t="s">
        <v>476</v>
      </c>
    </row>
    <row r="215" spans="1:40" x14ac:dyDescent="0.2">
      <c r="A215" s="7">
        <v>211</v>
      </c>
      <c r="B215" s="7">
        <v>8.1</v>
      </c>
      <c r="C215" s="1" t="str">
        <f t="shared" si="196"/>
        <v>CHAVA MARTINEZ 1</v>
      </c>
      <c r="D215" s="7" t="s">
        <v>108</v>
      </c>
      <c r="E215" s="1" t="str">
        <f t="shared" si="197"/>
        <v>FORTUNA</v>
      </c>
      <c r="F215" s="7">
        <v>1</v>
      </c>
      <c r="G215" s="7" t="s">
        <v>476</v>
      </c>
      <c r="H215" s="7" t="s">
        <v>474</v>
      </c>
      <c r="I215" s="11" t="s">
        <v>474</v>
      </c>
      <c r="J215" s="9">
        <v>211</v>
      </c>
      <c r="K215" s="7"/>
      <c r="L215">
        <v>1</v>
      </c>
      <c r="M215">
        <v>80</v>
      </c>
      <c r="N215" t="s">
        <v>68</v>
      </c>
      <c r="O215" t="s">
        <v>114</v>
      </c>
      <c r="P215" t="s">
        <v>476</v>
      </c>
      <c r="Q215">
        <f>COUNTIFS($H$4:$H$1201,Tabla213[[#Headers],[Neopestalotiopsis]], $G$4:$G$1201,Tabla213[[#This Row],[Organo]], $B$4:$B$1201,M215)</f>
        <v>0</v>
      </c>
      <c r="R215">
        <f>COUNTIFS($H$4:$H$1201,Tabla213[[#Headers],[Fusarium]], $G$4:$G$1201,Tabla213[[#This Row],[Organo]], $B$4:$B$1201,M215)</f>
        <v>0</v>
      </c>
      <c r="S215">
        <f>COUNTIFS($H$4:$H$1201,Tabla213[[#Headers],[Cylindrocarpon]], $G$4:$G$1201,Tabla213[[#This Row],[Organo]], $B$4:$B$1201,M215)</f>
        <v>0</v>
      </c>
      <c r="T215">
        <f>COUNTIFS($H$4:$H$1201,Tabla213[[#Headers],[Macrophomina]], $G$4:$G$1201,Tabla213[[#This Row],[Organo]], $B$4:$B$1201,M215)</f>
        <v>0</v>
      </c>
      <c r="U215">
        <f>COUNTIFS($H$4:$H$1201,Tabla213[[#Headers],[Rhizoctonia]], $G$4:$G$1201,Tabla213[[#This Row],[Organo]], $B$4:$B$1201,M215)</f>
        <v>0</v>
      </c>
      <c r="V215">
        <v>0</v>
      </c>
      <c r="W215">
        <f>COUNTIFS($H$4:$H$1201,Tabla213[[#Headers],[Alternaria]], $G$4:$G$1201,Tabla213[[#This Row],[Organo]], $B$4:$B$1201,M215)</f>
        <v>0</v>
      </c>
      <c r="X215">
        <f>COUNTIFS($H$4:$H$1201,Tabla213[[#Headers],[Botrytis]], $G$4:$G$1201,Tabla213[[#This Row],[Organo]], $B$4:$B$1201,M215)</f>
        <v>0</v>
      </c>
      <c r="Y215">
        <f>COUNTIFS($H$4:$H$1201,Tabla213[[#Headers],[Colletotrichum]], $G$4:$G$1201,Tabla213[[#This Row],[Organo]], $B$4:$B$1201,M215)</f>
        <v>0</v>
      </c>
      <c r="Z215">
        <f>COUNTIFS($H$4:$H$1201,Tabla213[[#Headers],[Aspergillus]], $G$4:$G$1201,Tabla213[[#This Row],[Organo]], $B$4:$B$1201,M215)</f>
        <v>0</v>
      </c>
      <c r="AA215">
        <f>COUNTIFS($H$4:$H$1201,Tabla213[[#Headers],[NO ID]], $G$4:$G$1201,Tabla213[[#This Row],[Organo]], $B$4:$B$1201,M215)</f>
        <v>0</v>
      </c>
      <c r="AB215">
        <f>COUNTIFS($H$4:$H$1201,Tabla213[[#Headers],[Trichoderma]], $G$4:$G$1201,Tabla213[[#This Row],[Organo]], $B$4:$B$1201,M215)</f>
        <v>0</v>
      </c>
      <c r="AC215">
        <f>COUNTIFS($H$4:$H$1201,Tabla213[[#Headers],[Rizophus]], $G$4:$G$1201,Tabla213[[#This Row],[Organo]], $B$4:$B$1201,M215)</f>
        <v>0</v>
      </c>
      <c r="AD215">
        <f>COUNTIFS($H$4:$H$1201,Tabla213[[#Headers],[FALTANTES]], $G$4:$G$1201,Tabla213[[#This Row],[Organo]], $B$4:$B$1201,M215)</f>
        <v>0</v>
      </c>
      <c r="AK215">
        <v>80</v>
      </c>
      <c r="AL215" t="s">
        <v>68</v>
      </c>
      <c r="AM215" t="s">
        <v>114</v>
      </c>
      <c r="AN215" t="s">
        <v>477</v>
      </c>
    </row>
    <row r="216" spans="1:40" x14ac:dyDescent="0.2">
      <c r="A216" s="7">
        <v>212</v>
      </c>
      <c r="B216" s="7">
        <v>8.1</v>
      </c>
      <c r="C216" s="1" t="str">
        <f t="shared" si="196"/>
        <v>CHAVA MARTINEZ 1</v>
      </c>
      <c r="D216" s="7" t="s">
        <v>108</v>
      </c>
      <c r="E216" s="1" t="str">
        <f t="shared" si="197"/>
        <v>FORTUNA</v>
      </c>
      <c r="F216" s="7">
        <v>1</v>
      </c>
      <c r="G216" s="7" t="s">
        <v>476</v>
      </c>
      <c r="H216" s="7" t="s">
        <v>472</v>
      </c>
      <c r="I216" s="7" t="s">
        <v>472</v>
      </c>
      <c r="J216" s="7">
        <v>212</v>
      </c>
      <c r="K216" s="19" t="s">
        <v>638</v>
      </c>
      <c r="M216">
        <v>80</v>
      </c>
      <c r="N216" t="s">
        <v>68</v>
      </c>
      <c r="O216" t="s">
        <v>114</v>
      </c>
      <c r="P216" t="s">
        <v>477</v>
      </c>
      <c r="Q216">
        <f>COUNTIFS($H$4:$H$1201,Tabla213[[#Headers],[Neopestalotiopsis]], $G$4:$G$1201,Tabla213[[#This Row],[Organo]], $B$4:$B$1201,M216)</f>
        <v>0</v>
      </c>
      <c r="R216">
        <f>COUNTIFS($H$4:$H$1201,Tabla213[[#Headers],[Fusarium]], $G$4:$G$1201,Tabla213[[#This Row],[Organo]], $B$4:$B$1201,M216)</f>
        <v>2</v>
      </c>
      <c r="S216">
        <f>COUNTIFS($H$4:$H$1201,Tabla213[[#Headers],[Cylindrocarpon]], $G$4:$G$1201,Tabla213[[#This Row],[Organo]], $B$4:$B$1201,M216)</f>
        <v>0</v>
      </c>
      <c r="T216">
        <f>COUNTIFS($H$4:$H$1201,Tabla213[[#Headers],[Macrophomina]], $G$4:$G$1201,Tabla213[[#This Row],[Organo]], $B$4:$B$1201,M216)</f>
        <v>0</v>
      </c>
      <c r="U216">
        <f>COUNTIFS($H$4:$H$1201,Tabla213[[#Headers],[Rhizoctonia]], $G$4:$G$1201,Tabla213[[#This Row],[Organo]], $B$4:$B$1201,M216)</f>
        <v>0</v>
      </c>
      <c r="V216">
        <v>0</v>
      </c>
      <c r="W216">
        <f>COUNTIFS($H$4:$H$1201,Tabla213[[#Headers],[Alternaria]], $G$4:$G$1201,Tabla213[[#This Row],[Organo]], $B$4:$B$1201,M216)</f>
        <v>1</v>
      </c>
      <c r="X216">
        <f>COUNTIFS($H$4:$H$1201,Tabla213[[#Headers],[Botrytis]], $G$4:$G$1201,Tabla213[[#This Row],[Organo]], $B$4:$B$1201,M216)</f>
        <v>0</v>
      </c>
      <c r="Y216">
        <f>COUNTIFS($H$4:$H$1201,Tabla213[[#Headers],[Colletotrichum]], $G$4:$G$1201,Tabla213[[#This Row],[Organo]], $B$4:$B$1201,M216)</f>
        <v>0</v>
      </c>
      <c r="Z216">
        <f>COUNTIFS($H$4:$H$1201,Tabla213[[#Headers],[Aspergillus]], $G$4:$G$1201,Tabla213[[#This Row],[Organo]], $B$4:$B$1201,M216)</f>
        <v>0</v>
      </c>
      <c r="AA216">
        <f>COUNTIFS($H$4:$H$1201,Tabla213[[#Headers],[NO ID]], $G$4:$G$1201,Tabla213[[#This Row],[Organo]], $B$4:$B$1201,M216)</f>
        <v>0</v>
      </c>
      <c r="AB216">
        <f>COUNTIFS($H$4:$H$1201,Tabla213[[#Headers],[Trichoderma]], $G$4:$G$1201,Tabla213[[#This Row],[Organo]], $B$4:$B$1201,M216)</f>
        <v>0</v>
      </c>
      <c r="AC216">
        <f>COUNTIFS($H$4:$H$1201,Tabla213[[#Headers],[Rizophus]], $G$4:$G$1201,Tabla213[[#This Row],[Organo]], $B$4:$B$1201,M216)</f>
        <v>0</v>
      </c>
      <c r="AD216">
        <f>COUNTIFS($H$4:$H$1201,Tabla213[[#Headers],[FALTANTES]], $G$4:$G$1201,Tabla213[[#This Row],[Organo]], $B$4:$B$1201,M216)</f>
        <v>0</v>
      </c>
      <c r="AF216">
        <f t="shared" ref="AF216" si="216">SUM(Q215:AD216)</f>
        <v>3</v>
      </c>
      <c r="AG216">
        <f>COUNTIF($B$5:$B$1201, Tabla213[[#This Row],[Num. Parcela]])</f>
        <v>3</v>
      </c>
      <c r="AH216" t="b">
        <f t="shared" ref="AH216" si="217">IF(AF216=AG216, TRUE)</f>
        <v>1</v>
      </c>
      <c r="AK216">
        <v>80</v>
      </c>
      <c r="AL216" t="s">
        <v>68</v>
      </c>
      <c r="AM216" t="s">
        <v>114</v>
      </c>
      <c r="AN216" t="s">
        <v>476</v>
      </c>
    </row>
    <row r="217" spans="1:40" x14ac:dyDescent="0.2">
      <c r="A217" s="7">
        <v>213</v>
      </c>
      <c r="B217" s="7">
        <v>8.1</v>
      </c>
      <c r="C217" s="1" t="str">
        <f t="shared" si="196"/>
        <v>CHAVA MARTINEZ 1</v>
      </c>
      <c r="D217" s="7" t="s">
        <v>108</v>
      </c>
      <c r="E217" s="1" t="str">
        <f t="shared" si="197"/>
        <v>FORTUNA</v>
      </c>
      <c r="F217" s="7">
        <v>2</v>
      </c>
      <c r="G217" s="7" t="s">
        <v>476</v>
      </c>
      <c r="H217" s="7" t="s">
        <v>155</v>
      </c>
      <c r="I217" s="7" t="s">
        <v>155</v>
      </c>
      <c r="J217" s="7">
        <v>213</v>
      </c>
      <c r="K217" s="7"/>
      <c r="L217">
        <v>1</v>
      </c>
      <c r="M217">
        <v>81</v>
      </c>
      <c r="N217" t="s">
        <v>69</v>
      </c>
      <c r="O217" t="s">
        <v>114</v>
      </c>
      <c r="P217" t="s">
        <v>476</v>
      </c>
      <c r="Q217">
        <f>COUNTIFS($H$4:$H$1201,Tabla213[[#Headers],[Neopestalotiopsis]], $G$4:$G$1201,Tabla213[[#This Row],[Organo]], $B$4:$B$1201,M217)</f>
        <v>0</v>
      </c>
      <c r="R217">
        <f>COUNTIFS($H$4:$H$1201,Tabla213[[#Headers],[Fusarium]], $G$4:$G$1201,Tabla213[[#This Row],[Organo]], $B$4:$B$1201,M217)</f>
        <v>0</v>
      </c>
      <c r="S217">
        <f>COUNTIFS($H$4:$H$1201,Tabla213[[#Headers],[Cylindrocarpon]], $G$4:$G$1201,Tabla213[[#This Row],[Organo]], $B$4:$B$1201,M217)</f>
        <v>0</v>
      </c>
      <c r="T217">
        <f>COUNTIFS($H$4:$H$1201,Tabla213[[#Headers],[Macrophomina]], $G$4:$G$1201,Tabla213[[#This Row],[Organo]], $B$4:$B$1201,M217)</f>
        <v>0</v>
      </c>
      <c r="U217">
        <f>COUNTIFS($H$4:$H$1201,Tabla213[[#Headers],[Rhizoctonia]], $G$4:$G$1201,Tabla213[[#This Row],[Organo]], $B$4:$B$1201,M217)</f>
        <v>0</v>
      </c>
      <c r="V217">
        <v>0</v>
      </c>
      <c r="W217">
        <f>COUNTIFS($H$4:$H$1201,Tabla213[[#Headers],[Alternaria]], $G$4:$G$1201,Tabla213[[#This Row],[Organo]], $B$4:$B$1201,M217)</f>
        <v>0</v>
      </c>
      <c r="X217">
        <f>COUNTIFS($H$4:$H$1201,Tabla213[[#Headers],[Botrytis]], $G$4:$G$1201,Tabla213[[#This Row],[Organo]], $B$4:$B$1201,M217)</f>
        <v>0</v>
      </c>
      <c r="Y217">
        <f>COUNTIFS($H$4:$H$1201,Tabla213[[#Headers],[Colletotrichum]], $G$4:$G$1201,Tabla213[[#This Row],[Organo]], $B$4:$B$1201,M217)</f>
        <v>0</v>
      </c>
      <c r="Z217">
        <f>COUNTIFS($H$4:$H$1201,Tabla213[[#Headers],[Aspergillus]], $G$4:$G$1201,Tabla213[[#This Row],[Organo]], $B$4:$B$1201,M217)</f>
        <v>0</v>
      </c>
      <c r="AA217">
        <f>COUNTIFS($H$4:$H$1201,Tabla213[[#Headers],[NO ID]], $G$4:$G$1201,Tabla213[[#This Row],[Organo]], $B$4:$B$1201,M217)</f>
        <v>0</v>
      </c>
      <c r="AB217">
        <f>COUNTIFS($H$4:$H$1201,Tabla213[[#Headers],[Trichoderma]], $G$4:$G$1201,Tabla213[[#This Row],[Organo]], $B$4:$B$1201,M217)</f>
        <v>0</v>
      </c>
      <c r="AC217">
        <f>COUNTIFS($H$4:$H$1201,Tabla213[[#Headers],[Rizophus]], $G$4:$G$1201,Tabla213[[#This Row],[Organo]], $B$4:$B$1201,M217)</f>
        <v>0</v>
      </c>
      <c r="AD217">
        <f>COUNTIFS($H$4:$H$1201,Tabla213[[#Headers],[FALTANTES]], $G$4:$G$1201,Tabla213[[#This Row],[Organo]], $B$4:$B$1201,M217)</f>
        <v>0</v>
      </c>
      <c r="AK217">
        <v>81</v>
      </c>
      <c r="AL217" t="s">
        <v>69</v>
      </c>
      <c r="AM217" t="s">
        <v>114</v>
      </c>
      <c r="AN217" t="s">
        <v>477</v>
      </c>
    </row>
    <row r="218" spans="1:40" x14ac:dyDescent="0.2">
      <c r="A218" s="7">
        <v>214</v>
      </c>
      <c r="B218" s="7">
        <v>8.1</v>
      </c>
      <c r="C218" s="1" t="str">
        <f t="shared" si="196"/>
        <v>CHAVA MARTINEZ 1</v>
      </c>
      <c r="D218" s="7" t="s">
        <v>108</v>
      </c>
      <c r="E218" s="1" t="str">
        <f t="shared" si="197"/>
        <v>FORTUNA</v>
      </c>
      <c r="F218" s="7">
        <v>2</v>
      </c>
      <c r="G218" s="7" t="s">
        <v>476</v>
      </c>
      <c r="H218" s="7" t="s">
        <v>155</v>
      </c>
      <c r="I218" s="7" t="s">
        <v>155</v>
      </c>
      <c r="J218" s="7">
        <v>214</v>
      </c>
      <c r="K218" s="19" t="s">
        <v>638</v>
      </c>
      <c r="M218">
        <v>81</v>
      </c>
      <c r="N218" t="s">
        <v>69</v>
      </c>
      <c r="O218" t="s">
        <v>114</v>
      </c>
      <c r="P218" t="s">
        <v>477</v>
      </c>
      <c r="Q218">
        <f>COUNTIFS($H$4:$H$1201,Tabla213[[#Headers],[Neopestalotiopsis]], $G$4:$G$1201,Tabla213[[#This Row],[Organo]], $B$4:$B$1201,M218)</f>
        <v>0</v>
      </c>
      <c r="R218">
        <f>COUNTIFS($H$4:$H$1201,Tabla213[[#Headers],[Fusarium]], $G$4:$G$1201,Tabla213[[#This Row],[Organo]], $B$4:$B$1201,M218)</f>
        <v>1</v>
      </c>
      <c r="S218">
        <f>COUNTIFS($H$4:$H$1201,Tabla213[[#Headers],[Cylindrocarpon]], $G$4:$G$1201,Tabla213[[#This Row],[Organo]], $B$4:$B$1201,M218)</f>
        <v>0</v>
      </c>
      <c r="T218">
        <f>COUNTIFS($H$4:$H$1201,Tabla213[[#Headers],[Macrophomina]], $G$4:$G$1201,Tabla213[[#This Row],[Organo]], $B$4:$B$1201,M218)</f>
        <v>0</v>
      </c>
      <c r="U218">
        <f>COUNTIFS($H$4:$H$1201,Tabla213[[#Headers],[Rhizoctonia]], $G$4:$G$1201,Tabla213[[#This Row],[Organo]], $B$4:$B$1201,M218)</f>
        <v>0</v>
      </c>
      <c r="V218">
        <v>0</v>
      </c>
      <c r="W218">
        <f>COUNTIFS($H$4:$H$1201,Tabla213[[#Headers],[Alternaria]], $G$4:$G$1201,Tabla213[[#This Row],[Organo]], $B$4:$B$1201,M218)</f>
        <v>0</v>
      </c>
      <c r="X218">
        <f>COUNTIFS($H$4:$H$1201,Tabla213[[#Headers],[Botrytis]], $G$4:$G$1201,Tabla213[[#This Row],[Organo]], $B$4:$B$1201,M218)</f>
        <v>0</v>
      </c>
      <c r="Y218">
        <f>COUNTIFS($H$4:$H$1201,Tabla213[[#Headers],[Colletotrichum]], $G$4:$G$1201,Tabla213[[#This Row],[Organo]], $B$4:$B$1201,M218)</f>
        <v>0</v>
      </c>
      <c r="Z218">
        <f>COUNTIFS($H$4:$H$1201,Tabla213[[#Headers],[Aspergillus]], $G$4:$G$1201,Tabla213[[#This Row],[Organo]], $B$4:$B$1201,M218)</f>
        <v>0</v>
      </c>
      <c r="AA218">
        <f>COUNTIFS($H$4:$H$1201,Tabla213[[#Headers],[NO ID]], $G$4:$G$1201,Tabla213[[#This Row],[Organo]], $B$4:$B$1201,M218)</f>
        <v>0</v>
      </c>
      <c r="AB218">
        <f>COUNTIFS($H$4:$H$1201,Tabla213[[#Headers],[Trichoderma]], $G$4:$G$1201,Tabla213[[#This Row],[Organo]], $B$4:$B$1201,M218)</f>
        <v>0</v>
      </c>
      <c r="AC218">
        <f>COUNTIFS($H$4:$H$1201,Tabla213[[#Headers],[Rizophus]], $G$4:$G$1201,Tabla213[[#This Row],[Organo]], $B$4:$B$1201,M218)</f>
        <v>0</v>
      </c>
      <c r="AD218">
        <f>COUNTIFS($H$4:$H$1201,Tabla213[[#Headers],[FALTANTES]], $G$4:$G$1201,Tabla213[[#This Row],[Organo]], $B$4:$B$1201,M218)</f>
        <v>0</v>
      </c>
      <c r="AF218">
        <f t="shared" ref="AF218" si="218">SUM(Q217:AD218)</f>
        <v>1</v>
      </c>
      <c r="AG218">
        <f>COUNTIF($B$5:$B$1201, Tabla213[[#This Row],[Num. Parcela]])</f>
        <v>1</v>
      </c>
      <c r="AH218" t="b">
        <f t="shared" ref="AH218" si="219">IF(AF218=AG218, TRUE)</f>
        <v>1</v>
      </c>
      <c r="AK218">
        <v>81</v>
      </c>
      <c r="AL218" t="s">
        <v>69</v>
      </c>
      <c r="AM218" t="s">
        <v>114</v>
      </c>
      <c r="AN218" t="s">
        <v>476</v>
      </c>
    </row>
    <row r="219" spans="1:40" x14ac:dyDescent="0.2">
      <c r="A219" s="7">
        <v>215</v>
      </c>
      <c r="B219" s="7">
        <v>8.1</v>
      </c>
      <c r="C219" s="1" t="str">
        <f t="shared" si="196"/>
        <v>CHAVA MARTINEZ 1</v>
      </c>
      <c r="D219" s="7" t="s">
        <v>108</v>
      </c>
      <c r="E219" s="1" t="str">
        <f t="shared" si="197"/>
        <v>FORTUNA</v>
      </c>
      <c r="F219" s="7">
        <v>1</v>
      </c>
      <c r="G219" s="7" t="s">
        <v>477</v>
      </c>
      <c r="H219" s="7" t="s">
        <v>149</v>
      </c>
      <c r="I219" s="7" t="s">
        <v>480</v>
      </c>
      <c r="J219" s="7">
        <v>215</v>
      </c>
      <c r="K219" s="19" t="s">
        <v>638</v>
      </c>
      <c r="L219">
        <v>1</v>
      </c>
      <c r="M219">
        <v>82</v>
      </c>
      <c r="N219" t="s">
        <v>60</v>
      </c>
      <c r="O219" t="s">
        <v>114</v>
      </c>
      <c r="P219" t="s">
        <v>476</v>
      </c>
      <c r="Q219">
        <f>COUNTIFS($H$4:$H$1201,Tabla213[[#Headers],[Neopestalotiopsis]], $G$4:$G$1201,Tabla213[[#This Row],[Organo]], $B$4:$B$1201,M219)</f>
        <v>0</v>
      </c>
      <c r="R219">
        <f>COUNTIFS($H$4:$H$1201,Tabla213[[#Headers],[Fusarium]], $G$4:$G$1201,Tabla213[[#This Row],[Organo]], $B$4:$B$1201,M219)</f>
        <v>0</v>
      </c>
      <c r="S219">
        <f>COUNTIFS($H$4:$H$1201,Tabla213[[#Headers],[Cylindrocarpon]], $G$4:$G$1201,Tabla213[[#This Row],[Organo]], $B$4:$B$1201,M219)</f>
        <v>0</v>
      </c>
      <c r="T219">
        <f>COUNTIFS($H$4:$H$1201,Tabla213[[#Headers],[Macrophomina]], $G$4:$G$1201,Tabla213[[#This Row],[Organo]], $B$4:$B$1201,M219)</f>
        <v>0</v>
      </c>
      <c r="U219">
        <f>COUNTIFS($H$4:$H$1201,Tabla213[[#Headers],[Rhizoctonia]], $G$4:$G$1201,Tabla213[[#This Row],[Organo]], $B$4:$B$1201,M219)</f>
        <v>0</v>
      </c>
      <c r="V219">
        <v>0</v>
      </c>
      <c r="W219">
        <f>COUNTIFS($H$4:$H$1201,Tabla213[[#Headers],[Alternaria]], $G$4:$G$1201,Tabla213[[#This Row],[Organo]], $B$4:$B$1201,M219)</f>
        <v>0</v>
      </c>
      <c r="X219">
        <f>COUNTIFS($H$4:$H$1201,Tabla213[[#Headers],[Botrytis]], $G$4:$G$1201,Tabla213[[#This Row],[Organo]], $B$4:$B$1201,M219)</f>
        <v>0</v>
      </c>
      <c r="Y219">
        <f>COUNTIFS($H$4:$H$1201,Tabla213[[#Headers],[Colletotrichum]], $G$4:$G$1201,Tabla213[[#This Row],[Organo]], $B$4:$B$1201,M219)</f>
        <v>0</v>
      </c>
      <c r="Z219">
        <f>COUNTIFS($H$4:$H$1201,Tabla213[[#Headers],[Aspergillus]], $G$4:$G$1201,Tabla213[[#This Row],[Organo]], $B$4:$B$1201,M219)</f>
        <v>0</v>
      </c>
      <c r="AA219">
        <f>COUNTIFS($H$4:$H$1201,Tabla213[[#Headers],[NO ID]], $G$4:$G$1201,Tabla213[[#This Row],[Organo]], $B$4:$B$1201,M219)</f>
        <v>0</v>
      </c>
      <c r="AB219">
        <f>COUNTIFS($H$4:$H$1201,Tabla213[[#Headers],[Trichoderma]], $G$4:$G$1201,Tabla213[[#This Row],[Organo]], $B$4:$B$1201,M219)</f>
        <v>0</v>
      </c>
      <c r="AC219">
        <f>COUNTIFS($H$4:$H$1201,Tabla213[[#Headers],[Rizophus]], $G$4:$G$1201,Tabla213[[#This Row],[Organo]], $B$4:$B$1201,M219)</f>
        <v>0</v>
      </c>
      <c r="AD219">
        <f>COUNTIFS($H$4:$H$1201,Tabla213[[#Headers],[FALTANTES]], $G$4:$G$1201,Tabla213[[#This Row],[Organo]], $B$4:$B$1201,M219)</f>
        <v>0</v>
      </c>
      <c r="AK219">
        <v>82</v>
      </c>
      <c r="AL219" t="s">
        <v>60</v>
      </c>
      <c r="AM219" t="s">
        <v>114</v>
      </c>
      <c r="AN219" t="s">
        <v>477</v>
      </c>
    </row>
    <row r="220" spans="1:40" x14ac:dyDescent="0.2">
      <c r="A220" s="7">
        <v>216</v>
      </c>
      <c r="B220" s="7">
        <v>8.1</v>
      </c>
      <c r="C220" s="1" t="str">
        <f t="shared" si="196"/>
        <v>CHAVA MARTINEZ 1</v>
      </c>
      <c r="D220" s="7" t="s">
        <v>108</v>
      </c>
      <c r="E220" s="1" t="str">
        <f t="shared" si="197"/>
        <v>FORTUNA</v>
      </c>
      <c r="F220" s="7">
        <v>1</v>
      </c>
      <c r="G220" s="7" t="s">
        <v>477</v>
      </c>
      <c r="H220" s="7" t="s">
        <v>471</v>
      </c>
      <c r="I220" s="7" t="s">
        <v>471</v>
      </c>
      <c r="J220" s="7">
        <v>216</v>
      </c>
      <c r="K220" s="19" t="s">
        <v>638</v>
      </c>
      <c r="M220">
        <v>82</v>
      </c>
      <c r="N220" t="s">
        <v>60</v>
      </c>
      <c r="O220" t="s">
        <v>114</v>
      </c>
      <c r="P220" t="s">
        <v>477</v>
      </c>
      <c r="Q220">
        <f>COUNTIFS($H$4:$H$1201,Tabla213[[#Headers],[Neopestalotiopsis]], $G$4:$G$1201,Tabla213[[#This Row],[Organo]], $B$4:$B$1201,M220)</f>
        <v>0</v>
      </c>
      <c r="R220">
        <f>COUNTIFS($H$4:$H$1201,Tabla213[[#Headers],[Fusarium]], $G$4:$G$1201,Tabla213[[#This Row],[Organo]], $B$4:$B$1201,M220)</f>
        <v>1</v>
      </c>
      <c r="S220">
        <f>COUNTIFS($H$4:$H$1201,Tabla213[[#Headers],[Cylindrocarpon]], $G$4:$G$1201,Tabla213[[#This Row],[Organo]], $B$4:$B$1201,M220)</f>
        <v>0</v>
      </c>
      <c r="T220">
        <f>COUNTIFS($H$4:$H$1201,Tabla213[[#Headers],[Macrophomina]], $G$4:$G$1201,Tabla213[[#This Row],[Organo]], $B$4:$B$1201,M220)</f>
        <v>0</v>
      </c>
      <c r="U220">
        <f>COUNTIFS($H$4:$H$1201,Tabla213[[#Headers],[Rhizoctonia]], $G$4:$G$1201,Tabla213[[#This Row],[Organo]], $B$4:$B$1201,M220)</f>
        <v>0</v>
      </c>
      <c r="V220">
        <v>0</v>
      </c>
      <c r="W220">
        <f>COUNTIFS($H$4:$H$1201,Tabla213[[#Headers],[Alternaria]], $G$4:$G$1201,Tabla213[[#This Row],[Organo]], $B$4:$B$1201,M220)</f>
        <v>0</v>
      </c>
      <c r="X220">
        <f>COUNTIFS($H$4:$H$1201,Tabla213[[#Headers],[Botrytis]], $G$4:$G$1201,Tabla213[[#This Row],[Organo]], $B$4:$B$1201,M220)</f>
        <v>0</v>
      </c>
      <c r="Y220">
        <f>COUNTIFS($H$4:$H$1201,Tabla213[[#Headers],[Colletotrichum]], $G$4:$G$1201,Tabla213[[#This Row],[Organo]], $B$4:$B$1201,M220)</f>
        <v>0</v>
      </c>
      <c r="Z220">
        <f>COUNTIFS($H$4:$H$1201,Tabla213[[#Headers],[Aspergillus]], $G$4:$G$1201,Tabla213[[#This Row],[Organo]], $B$4:$B$1201,M220)</f>
        <v>0</v>
      </c>
      <c r="AA220">
        <f>COUNTIFS($H$4:$H$1201,Tabla213[[#Headers],[NO ID]], $G$4:$G$1201,Tabla213[[#This Row],[Organo]], $B$4:$B$1201,M220)</f>
        <v>0</v>
      </c>
      <c r="AB220">
        <f>COUNTIFS($H$4:$H$1201,Tabla213[[#Headers],[Trichoderma]], $G$4:$G$1201,Tabla213[[#This Row],[Organo]], $B$4:$B$1201,M220)</f>
        <v>0</v>
      </c>
      <c r="AC220">
        <f>COUNTIFS($H$4:$H$1201,Tabla213[[#Headers],[Rizophus]], $G$4:$G$1201,Tabla213[[#This Row],[Organo]], $B$4:$B$1201,M220)</f>
        <v>0</v>
      </c>
      <c r="AD220">
        <f>COUNTIFS($H$4:$H$1201,Tabla213[[#Headers],[FALTANTES]], $G$4:$G$1201,Tabla213[[#This Row],[Organo]], $B$4:$B$1201,M220)</f>
        <v>0</v>
      </c>
      <c r="AF220">
        <f t="shared" ref="AF220" si="220">SUM(Q219:AD220)</f>
        <v>1</v>
      </c>
      <c r="AG220">
        <f>COUNTIF($B$5:$B$1201, Tabla213[[#This Row],[Num. Parcela]])</f>
        <v>1</v>
      </c>
      <c r="AH220" t="b">
        <f t="shared" ref="AH220" si="221">IF(AF220=AG220, TRUE)</f>
        <v>1</v>
      </c>
      <c r="AK220">
        <v>82</v>
      </c>
      <c r="AL220" t="s">
        <v>60</v>
      </c>
      <c r="AM220" t="s">
        <v>114</v>
      </c>
      <c r="AN220" t="s">
        <v>476</v>
      </c>
    </row>
    <row r="221" spans="1:40" x14ac:dyDescent="0.2">
      <c r="A221" s="7">
        <v>217</v>
      </c>
      <c r="B221" s="7">
        <v>8.1</v>
      </c>
      <c r="C221" s="1" t="str">
        <f t="shared" si="196"/>
        <v>CHAVA MARTINEZ 1</v>
      </c>
      <c r="D221" s="7" t="s">
        <v>108</v>
      </c>
      <c r="E221" s="1" t="str">
        <f t="shared" si="197"/>
        <v>FORTUNA</v>
      </c>
      <c r="F221" s="7">
        <v>1</v>
      </c>
      <c r="G221" s="7" t="s">
        <v>477</v>
      </c>
      <c r="H221" s="7" t="s">
        <v>149</v>
      </c>
      <c r="I221" s="8" t="s">
        <v>478</v>
      </c>
      <c r="J221" s="7">
        <v>217</v>
      </c>
      <c r="K221" s="19" t="s">
        <v>638</v>
      </c>
      <c r="L221">
        <v>1</v>
      </c>
      <c r="M221">
        <v>83</v>
      </c>
      <c r="N221" t="s">
        <v>70</v>
      </c>
      <c r="O221" t="s">
        <v>114</v>
      </c>
      <c r="P221" t="s">
        <v>476</v>
      </c>
      <c r="Q221">
        <f>COUNTIFS($H$4:$H$1201,Tabla213[[#Headers],[Neopestalotiopsis]], $G$4:$G$1201,Tabla213[[#This Row],[Organo]], $B$4:$B$1201,M221)</f>
        <v>0</v>
      </c>
      <c r="R221">
        <f>COUNTIFS($H$4:$H$1201,Tabla213[[#Headers],[Fusarium]], $G$4:$G$1201,Tabla213[[#This Row],[Organo]], $B$4:$B$1201,M221)</f>
        <v>0</v>
      </c>
      <c r="S221">
        <f>COUNTIFS($H$4:$H$1201,Tabla213[[#Headers],[Cylindrocarpon]], $G$4:$G$1201,Tabla213[[#This Row],[Organo]], $B$4:$B$1201,M221)</f>
        <v>0</v>
      </c>
      <c r="T221">
        <f>COUNTIFS($H$4:$H$1201,Tabla213[[#Headers],[Macrophomina]], $G$4:$G$1201,Tabla213[[#This Row],[Organo]], $B$4:$B$1201,M221)</f>
        <v>0</v>
      </c>
      <c r="U221">
        <f>COUNTIFS($H$4:$H$1201,Tabla213[[#Headers],[Rhizoctonia]], $G$4:$G$1201,Tabla213[[#This Row],[Organo]], $B$4:$B$1201,M221)</f>
        <v>0</v>
      </c>
      <c r="V221">
        <v>0</v>
      </c>
      <c r="W221">
        <f>COUNTIFS($H$4:$H$1201,Tabla213[[#Headers],[Alternaria]], $G$4:$G$1201,Tabla213[[#This Row],[Organo]], $B$4:$B$1201,M221)</f>
        <v>0</v>
      </c>
      <c r="X221">
        <f>COUNTIFS($H$4:$H$1201,Tabla213[[#Headers],[Botrytis]], $G$4:$G$1201,Tabla213[[#This Row],[Organo]], $B$4:$B$1201,M221)</f>
        <v>0</v>
      </c>
      <c r="Y221">
        <f>COUNTIFS($H$4:$H$1201,Tabla213[[#Headers],[Colletotrichum]], $G$4:$G$1201,Tabla213[[#This Row],[Organo]], $B$4:$B$1201,M221)</f>
        <v>0</v>
      </c>
      <c r="Z221">
        <f>COUNTIFS($H$4:$H$1201,Tabla213[[#Headers],[Aspergillus]], $G$4:$G$1201,Tabla213[[#This Row],[Organo]], $B$4:$B$1201,M221)</f>
        <v>0</v>
      </c>
      <c r="AA221">
        <f>COUNTIFS($H$4:$H$1201,Tabla213[[#Headers],[NO ID]], $G$4:$G$1201,Tabla213[[#This Row],[Organo]], $B$4:$B$1201,M221)</f>
        <v>0</v>
      </c>
      <c r="AB221">
        <f>COUNTIFS($H$4:$H$1201,Tabla213[[#Headers],[Trichoderma]], $G$4:$G$1201,Tabla213[[#This Row],[Organo]], $B$4:$B$1201,M221)</f>
        <v>0</v>
      </c>
      <c r="AC221">
        <f>COUNTIFS($H$4:$H$1201,Tabla213[[#Headers],[Rizophus]], $G$4:$G$1201,Tabla213[[#This Row],[Organo]], $B$4:$B$1201,M221)</f>
        <v>0</v>
      </c>
      <c r="AD221">
        <f>COUNTIFS($H$4:$H$1201,Tabla213[[#Headers],[FALTANTES]], $G$4:$G$1201,Tabla213[[#This Row],[Organo]], $B$4:$B$1201,M221)</f>
        <v>0</v>
      </c>
      <c r="AK221">
        <v>83</v>
      </c>
      <c r="AL221" t="s">
        <v>70</v>
      </c>
      <c r="AM221" t="s">
        <v>114</v>
      </c>
      <c r="AN221" t="s">
        <v>477</v>
      </c>
    </row>
    <row r="222" spans="1:40" x14ac:dyDescent="0.2">
      <c r="A222" s="7">
        <v>218</v>
      </c>
      <c r="B222" s="7">
        <v>8.1</v>
      </c>
      <c r="C222" s="1" t="str">
        <f t="shared" si="196"/>
        <v>CHAVA MARTINEZ 1</v>
      </c>
      <c r="D222" s="7" t="s">
        <v>108</v>
      </c>
      <c r="E222" s="1" t="str">
        <f t="shared" si="197"/>
        <v>FORTUNA</v>
      </c>
      <c r="F222" s="7">
        <v>1</v>
      </c>
      <c r="G222" s="7" t="s">
        <v>477</v>
      </c>
      <c r="H222" s="7" t="s">
        <v>471</v>
      </c>
      <c r="I222" s="7" t="s">
        <v>471</v>
      </c>
      <c r="J222" s="7">
        <v>218</v>
      </c>
      <c r="K222" s="19"/>
      <c r="M222">
        <v>83</v>
      </c>
      <c r="N222" t="s">
        <v>70</v>
      </c>
      <c r="O222" t="s">
        <v>114</v>
      </c>
      <c r="P222" t="s">
        <v>477</v>
      </c>
      <c r="Q222">
        <f>COUNTIFS($H$4:$H$1201,Tabla213[[#Headers],[Neopestalotiopsis]], $G$4:$G$1201,Tabla213[[#This Row],[Organo]], $B$4:$B$1201,M222)</f>
        <v>0</v>
      </c>
      <c r="R222">
        <f>COUNTIFS($H$4:$H$1201,Tabla213[[#Headers],[Fusarium]], $G$4:$G$1201,Tabla213[[#This Row],[Organo]], $B$4:$B$1201,M222)</f>
        <v>0</v>
      </c>
      <c r="S222">
        <f>COUNTIFS($H$4:$H$1201,Tabla213[[#Headers],[Cylindrocarpon]], $G$4:$G$1201,Tabla213[[#This Row],[Organo]], $B$4:$B$1201,M222)</f>
        <v>1</v>
      </c>
      <c r="T222">
        <f>COUNTIFS($H$4:$H$1201,Tabla213[[#Headers],[Macrophomina]], $G$4:$G$1201,Tabla213[[#This Row],[Organo]], $B$4:$B$1201,M222)</f>
        <v>0</v>
      </c>
      <c r="U222">
        <f>COUNTIFS($H$4:$H$1201,Tabla213[[#Headers],[Rhizoctonia]], $G$4:$G$1201,Tabla213[[#This Row],[Organo]], $B$4:$B$1201,M222)</f>
        <v>0</v>
      </c>
      <c r="V222">
        <v>0</v>
      </c>
      <c r="W222">
        <f>COUNTIFS($H$4:$H$1201,Tabla213[[#Headers],[Alternaria]], $G$4:$G$1201,Tabla213[[#This Row],[Organo]], $B$4:$B$1201,M222)</f>
        <v>0</v>
      </c>
      <c r="X222">
        <f>COUNTIFS($H$4:$H$1201,Tabla213[[#Headers],[Botrytis]], $G$4:$G$1201,Tabla213[[#This Row],[Organo]], $B$4:$B$1201,M222)</f>
        <v>0</v>
      </c>
      <c r="Y222">
        <f>COUNTIFS($H$4:$H$1201,Tabla213[[#Headers],[Colletotrichum]], $G$4:$G$1201,Tabla213[[#This Row],[Organo]], $B$4:$B$1201,M222)</f>
        <v>0</v>
      </c>
      <c r="Z222">
        <f>COUNTIFS($H$4:$H$1201,Tabla213[[#Headers],[Aspergillus]], $G$4:$G$1201,Tabla213[[#This Row],[Organo]], $B$4:$B$1201,M222)</f>
        <v>0</v>
      </c>
      <c r="AA222">
        <f>COUNTIFS($H$4:$H$1201,Tabla213[[#Headers],[NO ID]], $G$4:$G$1201,Tabla213[[#This Row],[Organo]], $B$4:$B$1201,M222)</f>
        <v>0</v>
      </c>
      <c r="AB222">
        <f>COUNTIFS($H$4:$H$1201,Tabla213[[#Headers],[Trichoderma]], $G$4:$G$1201,Tabla213[[#This Row],[Organo]], $B$4:$B$1201,M222)</f>
        <v>0</v>
      </c>
      <c r="AC222">
        <f>COUNTIFS($H$4:$H$1201,Tabla213[[#Headers],[Rizophus]], $G$4:$G$1201,Tabla213[[#This Row],[Organo]], $B$4:$B$1201,M222)</f>
        <v>0</v>
      </c>
      <c r="AD222">
        <f>COUNTIFS($H$4:$H$1201,Tabla213[[#Headers],[FALTANTES]], $G$4:$G$1201,Tabla213[[#This Row],[Organo]], $B$4:$B$1201,M222)</f>
        <v>0</v>
      </c>
      <c r="AF222">
        <f t="shared" ref="AF222" si="222">SUM(Q221:AD222)</f>
        <v>1</v>
      </c>
      <c r="AG222">
        <f>COUNTIF($B$5:$B$1201, Tabla213[[#This Row],[Num. Parcela]])</f>
        <v>1</v>
      </c>
      <c r="AH222" t="b">
        <f t="shared" ref="AH222" si="223">IF(AF222=AG222, TRUE)</f>
        <v>1</v>
      </c>
      <c r="AK222">
        <v>83</v>
      </c>
      <c r="AL222" t="s">
        <v>70</v>
      </c>
      <c r="AM222" t="s">
        <v>114</v>
      </c>
      <c r="AN222" t="s">
        <v>476</v>
      </c>
    </row>
    <row r="223" spans="1:40" x14ac:dyDescent="0.2">
      <c r="A223" s="7">
        <v>219</v>
      </c>
      <c r="B223" s="7">
        <v>8.1</v>
      </c>
      <c r="C223" s="1" t="str">
        <f t="shared" si="196"/>
        <v>CHAVA MARTINEZ 1</v>
      </c>
      <c r="D223" s="7" t="s">
        <v>108</v>
      </c>
      <c r="E223" s="1" t="str">
        <f t="shared" si="197"/>
        <v>FORTUNA</v>
      </c>
      <c r="F223" s="7">
        <v>2</v>
      </c>
      <c r="G223" s="7" t="s">
        <v>477</v>
      </c>
      <c r="H223" s="7" t="s">
        <v>489</v>
      </c>
      <c r="I223" s="9" t="s">
        <v>489</v>
      </c>
      <c r="J223" s="9">
        <v>219</v>
      </c>
      <c r="K223" s="7"/>
      <c r="L223">
        <v>1</v>
      </c>
      <c r="M223">
        <v>84</v>
      </c>
      <c r="N223" t="s">
        <v>71</v>
      </c>
      <c r="O223" t="s">
        <v>114</v>
      </c>
      <c r="P223" t="s">
        <v>476</v>
      </c>
      <c r="Q223">
        <f>COUNTIFS($H$4:$H$1201,Tabla213[[#Headers],[Neopestalotiopsis]], $G$4:$G$1201,Tabla213[[#This Row],[Organo]], $B$4:$B$1201,M223)</f>
        <v>0</v>
      </c>
      <c r="R223">
        <f>COUNTIFS($H$4:$H$1201,Tabla213[[#Headers],[Fusarium]], $G$4:$G$1201,Tabla213[[#This Row],[Organo]], $B$4:$B$1201,M223)</f>
        <v>0</v>
      </c>
      <c r="S223">
        <f>COUNTIFS($H$4:$H$1201,Tabla213[[#Headers],[Cylindrocarpon]], $G$4:$G$1201,Tabla213[[#This Row],[Organo]], $B$4:$B$1201,M223)</f>
        <v>0</v>
      </c>
      <c r="T223">
        <f>COUNTIFS($H$4:$H$1201,Tabla213[[#Headers],[Macrophomina]], $G$4:$G$1201,Tabla213[[#This Row],[Organo]], $B$4:$B$1201,M223)</f>
        <v>0</v>
      </c>
      <c r="U223">
        <f>COUNTIFS($H$4:$H$1201,Tabla213[[#Headers],[Rhizoctonia]], $G$4:$G$1201,Tabla213[[#This Row],[Organo]], $B$4:$B$1201,M223)</f>
        <v>0</v>
      </c>
      <c r="V223">
        <v>0</v>
      </c>
      <c r="W223">
        <f>COUNTIFS($H$4:$H$1201,Tabla213[[#Headers],[Alternaria]], $G$4:$G$1201,Tabla213[[#This Row],[Organo]], $B$4:$B$1201,M223)</f>
        <v>0</v>
      </c>
      <c r="X223">
        <f>COUNTIFS($H$4:$H$1201,Tabla213[[#Headers],[Botrytis]], $G$4:$G$1201,Tabla213[[#This Row],[Organo]], $B$4:$B$1201,M223)</f>
        <v>0</v>
      </c>
      <c r="Y223">
        <f>COUNTIFS($H$4:$H$1201,Tabla213[[#Headers],[Colletotrichum]], $G$4:$G$1201,Tabla213[[#This Row],[Organo]], $B$4:$B$1201,M223)</f>
        <v>0</v>
      </c>
      <c r="Z223">
        <f>COUNTIFS($H$4:$H$1201,Tabla213[[#Headers],[Aspergillus]], $G$4:$G$1201,Tabla213[[#This Row],[Organo]], $B$4:$B$1201,M223)</f>
        <v>0</v>
      </c>
      <c r="AA223">
        <f>COUNTIFS($H$4:$H$1201,Tabla213[[#Headers],[NO ID]], $G$4:$G$1201,Tabla213[[#This Row],[Organo]], $B$4:$B$1201,M223)</f>
        <v>0</v>
      </c>
      <c r="AB223">
        <f>COUNTIFS($H$4:$H$1201,Tabla213[[#Headers],[Trichoderma]], $G$4:$G$1201,Tabla213[[#This Row],[Organo]], $B$4:$B$1201,M223)</f>
        <v>0</v>
      </c>
      <c r="AC223">
        <f>COUNTIFS($H$4:$H$1201,Tabla213[[#Headers],[Rizophus]], $G$4:$G$1201,Tabla213[[#This Row],[Organo]], $B$4:$B$1201,M223)</f>
        <v>0</v>
      </c>
      <c r="AD223">
        <f>COUNTIFS($H$4:$H$1201,Tabla213[[#Headers],[FALTANTES]], $G$4:$G$1201,Tabla213[[#This Row],[Organo]], $B$4:$B$1201,M223)</f>
        <v>0</v>
      </c>
      <c r="AK223">
        <v>84</v>
      </c>
      <c r="AL223" t="s">
        <v>71</v>
      </c>
      <c r="AM223" t="s">
        <v>114</v>
      </c>
      <c r="AN223" t="s">
        <v>477</v>
      </c>
    </row>
    <row r="224" spans="1:40" x14ac:dyDescent="0.2">
      <c r="A224" s="7">
        <v>220</v>
      </c>
      <c r="B224" s="7">
        <v>8.1</v>
      </c>
      <c r="C224" s="1" t="str">
        <f t="shared" si="196"/>
        <v>CHAVA MARTINEZ 1</v>
      </c>
      <c r="D224" s="7" t="s">
        <v>108</v>
      </c>
      <c r="E224" s="1" t="str">
        <f t="shared" si="197"/>
        <v>FORTUNA</v>
      </c>
      <c r="F224" s="7">
        <v>2</v>
      </c>
      <c r="G224" s="7" t="s">
        <v>477</v>
      </c>
      <c r="H224" s="7" t="s">
        <v>489</v>
      </c>
      <c r="I224" s="9" t="s">
        <v>489</v>
      </c>
      <c r="J224" s="9">
        <v>220</v>
      </c>
      <c r="K224" s="7"/>
      <c r="M224">
        <v>84</v>
      </c>
      <c r="N224" t="s">
        <v>71</v>
      </c>
      <c r="O224" t="s">
        <v>114</v>
      </c>
      <c r="P224" t="s">
        <v>477</v>
      </c>
      <c r="Q224">
        <f>COUNTIFS($H$4:$H$1201,Tabla213[[#Headers],[Neopestalotiopsis]], $G$4:$G$1201,Tabla213[[#This Row],[Organo]], $B$4:$B$1201,M224)</f>
        <v>0</v>
      </c>
      <c r="R224">
        <f>COUNTIFS($H$4:$H$1201,Tabla213[[#Headers],[Fusarium]], $G$4:$G$1201,Tabla213[[#This Row],[Organo]], $B$4:$B$1201,M224)</f>
        <v>1</v>
      </c>
      <c r="S224">
        <f>COUNTIFS($H$4:$H$1201,Tabla213[[#Headers],[Cylindrocarpon]], $G$4:$G$1201,Tabla213[[#This Row],[Organo]], $B$4:$B$1201,M224)</f>
        <v>0</v>
      </c>
      <c r="T224">
        <f>COUNTIFS($H$4:$H$1201,Tabla213[[#Headers],[Macrophomina]], $G$4:$G$1201,Tabla213[[#This Row],[Organo]], $B$4:$B$1201,M224)</f>
        <v>0</v>
      </c>
      <c r="U224">
        <f>COUNTIFS($H$4:$H$1201,Tabla213[[#Headers],[Rhizoctonia]], $G$4:$G$1201,Tabla213[[#This Row],[Organo]], $B$4:$B$1201,M224)</f>
        <v>0</v>
      </c>
      <c r="V224">
        <v>0</v>
      </c>
      <c r="W224">
        <f>COUNTIFS($H$4:$H$1201,Tabla213[[#Headers],[Alternaria]], $G$4:$G$1201,Tabla213[[#This Row],[Organo]], $B$4:$B$1201,M224)</f>
        <v>0</v>
      </c>
      <c r="X224">
        <f>COUNTIFS($H$4:$H$1201,Tabla213[[#Headers],[Botrytis]], $G$4:$G$1201,Tabla213[[#This Row],[Organo]], $B$4:$B$1201,M224)</f>
        <v>0</v>
      </c>
      <c r="Y224">
        <f>COUNTIFS($H$4:$H$1201,Tabla213[[#Headers],[Colletotrichum]], $G$4:$G$1201,Tabla213[[#This Row],[Organo]], $B$4:$B$1201,M224)</f>
        <v>0</v>
      </c>
      <c r="Z224">
        <f>COUNTIFS($H$4:$H$1201,Tabla213[[#Headers],[Aspergillus]], $G$4:$G$1201,Tabla213[[#This Row],[Organo]], $B$4:$B$1201,M224)</f>
        <v>0</v>
      </c>
      <c r="AA224">
        <f>COUNTIFS($H$4:$H$1201,Tabla213[[#Headers],[NO ID]], $G$4:$G$1201,Tabla213[[#This Row],[Organo]], $B$4:$B$1201,M224)</f>
        <v>0</v>
      </c>
      <c r="AB224">
        <f>COUNTIFS($H$4:$H$1201,Tabla213[[#Headers],[Trichoderma]], $G$4:$G$1201,Tabla213[[#This Row],[Organo]], $B$4:$B$1201,M224)</f>
        <v>0</v>
      </c>
      <c r="AC224">
        <f>COUNTIFS($H$4:$H$1201,Tabla213[[#Headers],[Rizophus]], $G$4:$G$1201,Tabla213[[#This Row],[Organo]], $B$4:$B$1201,M224)</f>
        <v>0</v>
      </c>
      <c r="AD224">
        <f>COUNTIFS($H$4:$H$1201,Tabla213[[#Headers],[FALTANTES]], $G$4:$G$1201,Tabla213[[#This Row],[Organo]], $B$4:$B$1201,M224)</f>
        <v>0</v>
      </c>
      <c r="AF224">
        <f t="shared" ref="AF224" si="224">SUM(Q223:AD224)</f>
        <v>1</v>
      </c>
      <c r="AG224">
        <f>COUNTIF($B$5:$B$1201, Tabla213[[#This Row],[Num. Parcela]])</f>
        <v>1</v>
      </c>
      <c r="AH224" t="b">
        <f t="shared" ref="AH224" si="225">IF(AF224=AG224, TRUE)</f>
        <v>1</v>
      </c>
      <c r="AK224">
        <v>84</v>
      </c>
      <c r="AL224" t="s">
        <v>71</v>
      </c>
      <c r="AM224" t="s">
        <v>114</v>
      </c>
      <c r="AN224" t="s">
        <v>476</v>
      </c>
    </row>
    <row r="225" spans="1:40" x14ac:dyDescent="0.2">
      <c r="A225" s="7">
        <v>221</v>
      </c>
      <c r="B225" s="7">
        <v>8.1</v>
      </c>
      <c r="C225" s="1" t="str">
        <f t="shared" si="196"/>
        <v>CHAVA MARTINEZ 1</v>
      </c>
      <c r="D225" s="7" t="s">
        <v>108</v>
      </c>
      <c r="E225" s="1" t="str">
        <f t="shared" si="197"/>
        <v>FORTUNA</v>
      </c>
      <c r="F225" s="7">
        <v>2</v>
      </c>
      <c r="G225" s="7" t="s">
        <v>477</v>
      </c>
      <c r="H225" s="7" t="s">
        <v>489</v>
      </c>
      <c r="I225" s="9" t="s">
        <v>489</v>
      </c>
      <c r="J225" s="9">
        <v>221</v>
      </c>
      <c r="K225" s="7"/>
      <c r="M225">
        <v>85</v>
      </c>
      <c r="N225" t="s">
        <v>72</v>
      </c>
      <c r="O225" t="s">
        <v>114</v>
      </c>
      <c r="P225" t="s">
        <v>476</v>
      </c>
      <c r="Q225">
        <f>COUNTIFS($H$4:$H$1201,Tabla213[[#Headers],[Neopestalotiopsis]], $G$4:$G$1201,Tabla213[[#This Row],[Organo]], $B$4:$B$1201,M225)</f>
        <v>0</v>
      </c>
      <c r="R225">
        <f>COUNTIFS($H$4:$H$1201,Tabla213[[#Headers],[Fusarium]], $G$4:$G$1201,Tabla213[[#This Row],[Organo]], $B$4:$B$1201,M225)</f>
        <v>0</v>
      </c>
      <c r="S225">
        <f>COUNTIFS($H$4:$H$1201,Tabla213[[#Headers],[Cylindrocarpon]], $G$4:$G$1201,Tabla213[[#This Row],[Organo]], $B$4:$B$1201,M225)</f>
        <v>0</v>
      </c>
      <c r="T225">
        <f>COUNTIFS($H$4:$H$1201,Tabla213[[#Headers],[Macrophomina]], $G$4:$G$1201,Tabla213[[#This Row],[Organo]], $B$4:$B$1201,M225)</f>
        <v>0</v>
      </c>
      <c r="U225">
        <f>COUNTIFS($H$4:$H$1201,Tabla213[[#Headers],[Rhizoctonia]], $G$4:$G$1201,Tabla213[[#This Row],[Organo]], $B$4:$B$1201,M225)</f>
        <v>0</v>
      </c>
      <c r="V225">
        <v>0</v>
      </c>
      <c r="W225">
        <f>COUNTIFS($H$4:$H$1201,Tabla213[[#Headers],[Alternaria]], $G$4:$G$1201,Tabla213[[#This Row],[Organo]], $B$4:$B$1201,M225)</f>
        <v>0</v>
      </c>
      <c r="X225">
        <f>COUNTIFS($H$4:$H$1201,Tabla213[[#Headers],[Botrytis]], $G$4:$G$1201,Tabla213[[#This Row],[Organo]], $B$4:$B$1201,M225)</f>
        <v>0</v>
      </c>
      <c r="Y225">
        <f>COUNTIFS($H$4:$H$1201,Tabla213[[#Headers],[Colletotrichum]], $G$4:$G$1201,Tabla213[[#This Row],[Organo]], $B$4:$B$1201,M225)</f>
        <v>0</v>
      </c>
      <c r="Z225">
        <f>COUNTIFS($H$4:$H$1201,Tabla213[[#Headers],[Aspergillus]], $G$4:$G$1201,Tabla213[[#This Row],[Organo]], $B$4:$B$1201,M225)</f>
        <v>0</v>
      </c>
      <c r="AA225">
        <f>COUNTIFS($H$4:$H$1201,Tabla213[[#Headers],[NO ID]], $G$4:$G$1201,Tabla213[[#This Row],[Organo]], $B$4:$B$1201,M225)</f>
        <v>0</v>
      </c>
      <c r="AB225">
        <f>COUNTIFS($H$4:$H$1201,Tabla213[[#Headers],[Trichoderma]], $G$4:$G$1201,Tabla213[[#This Row],[Organo]], $B$4:$B$1201,M225)</f>
        <v>0</v>
      </c>
      <c r="AC225">
        <f>COUNTIFS($H$4:$H$1201,Tabla213[[#Headers],[Rizophus]], $G$4:$G$1201,Tabla213[[#This Row],[Organo]], $B$4:$B$1201,M225)</f>
        <v>0</v>
      </c>
      <c r="AD225">
        <f>COUNTIFS($H$4:$H$1201,Tabla213[[#Headers],[FALTANTES]], $G$4:$G$1201,Tabla213[[#This Row],[Organo]], $B$4:$B$1201,M225)</f>
        <v>0</v>
      </c>
      <c r="AK225">
        <v>85</v>
      </c>
      <c r="AL225" t="s">
        <v>72</v>
      </c>
      <c r="AM225" t="s">
        <v>114</v>
      </c>
      <c r="AN225" t="s">
        <v>477</v>
      </c>
    </row>
    <row r="226" spans="1:40" x14ac:dyDescent="0.2">
      <c r="A226" s="7">
        <v>295</v>
      </c>
      <c r="B226" s="7">
        <v>8.1</v>
      </c>
      <c r="C226" s="1" t="str">
        <f t="shared" si="196"/>
        <v>CHAVA MARTINEZ 1</v>
      </c>
      <c r="D226" s="7" t="s">
        <v>108</v>
      </c>
      <c r="E226" s="1" t="str">
        <f t="shared" si="197"/>
        <v>FORTUNA</v>
      </c>
      <c r="F226" s="7">
        <v>2</v>
      </c>
      <c r="G226" s="7" t="s">
        <v>476</v>
      </c>
      <c r="H226" s="7" t="s">
        <v>149</v>
      </c>
      <c r="I226" s="8" t="s">
        <v>478</v>
      </c>
      <c r="J226" s="7">
        <v>295</v>
      </c>
      <c r="K226" s="23" t="s">
        <v>638</v>
      </c>
      <c r="L226">
        <v>1</v>
      </c>
      <c r="M226">
        <v>85</v>
      </c>
      <c r="N226" t="s">
        <v>72</v>
      </c>
      <c r="O226" t="s">
        <v>114</v>
      </c>
      <c r="P226" t="s">
        <v>477</v>
      </c>
      <c r="Q226">
        <f>COUNTIFS($H$4:$H$1201,Tabla213[[#Headers],[Neopestalotiopsis]], $G$4:$G$1201,Tabla213[[#This Row],[Organo]], $B$4:$B$1201,M226)</f>
        <v>0</v>
      </c>
      <c r="R226">
        <f>COUNTIFS($H$4:$H$1201,Tabla213[[#Headers],[Fusarium]], $G$4:$G$1201,Tabla213[[#This Row],[Organo]], $B$4:$B$1201,M226)</f>
        <v>0</v>
      </c>
      <c r="S226">
        <f>COUNTIFS($H$4:$H$1201,Tabla213[[#Headers],[Cylindrocarpon]], $G$4:$G$1201,Tabla213[[#This Row],[Organo]], $B$4:$B$1201,M226)</f>
        <v>0</v>
      </c>
      <c r="T226">
        <f>COUNTIFS($H$4:$H$1201,Tabla213[[#Headers],[Macrophomina]], $G$4:$G$1201,Tabla213[[#This Row],[Organo]], $B$4:$B$1201,M226)</f>
        <v>0</v>
      </c>
      <c r="U226">
        <f>COUNTIFS($H$4:$H$1201,Tabla213[[#Headers],[Rhizoctonia]], $G$4:$G$1201,Tabla213[[#This Row],[Organo]], $B$4:$B$1201,M226)</f>
        <v>0</v>
      </c>
      <c r="V226">
        <v>0</v>
      </c>
      <c r="W226">
        <f>COUNTIFS($H$4:$H$1201,Tabla213[[#Headers],[Alternaria]], $G$4:$G$1201,Tabla213[[#This Row],[Organo]], $B$4:$B$1201,M226)</f>
        <v>0</v>
      </c>
      <c r="X226">
        <f>COUNTIFS($H$4:$H$1201,Tabla213[[#Headers],[Botrytis]], $G$4:$G$1201,Tabla213[[#This Row],[Organo]], $B$4:$B$1201,M226)</f>
        <v>0</v>
      </c>
      <c r="Y226">
        <f>COUNTIFS($H$4:$H$1201,Tabla213[[#Headers],[Colletotrichum]], $G$4:$G$1201,Tabla213[[#This Row],[Organo]], $B$4:$B$1201,M226)</f>
        <v>0</v>
      </c>
      <c r="Z226">
        <f>COUNTIFS($H$4:$H$1201,Tabla213[[#Headers],[Aspergillus]], $G$4:$G$1201,Tabla213[[#This Row],[Organo]], $B$4:$B$1201,M226)</f>
        <v>0</v>
      </c>
      <c r="AA226">
        <f>COUNTIFS($H$4:$H$1201,Tabla213[[#Headers],[NO ID]], $G$4:$G$1201,Tabla213[[#This Row],[Organo]], $B$4:$B$1201,M226)</f>
        <v>0</v>
      </c>
      <c r="AB226">
        <f>COUNTIFS($H$4:$H$1201,Tabla213[[#Headers],[Trichoderma]], $G$4:$G$1201,Tabla213[[#This Row],[Organo]], $B$4:$B$1201,M226)</f>
        <v>0</v>
      </c>
      <c r="AC226">
        <f>COUNTIFS($H$4:$H$1201,Tabla213[[#Headers],[Rizophus]], $G$4:$G$1201,Tabla213[[#This Row],[Organo]], $B$4:$B$1201,M226)</f>
        <v>0</v>
      </c>
      <c r="AD226">
        <f>COUNTIFS($H$4:$H$1201,Tabla213[[#Headers],[FALTANTES]], $G$4:$G$1201,Tabla213[[#This Row],[Organo]], $B$4:$B$1201,M226)</f>
        <v>0</v>
      </c>
      <c r="AF226">
        <f t="shared" ref="AF226" si="226">SUM(Q225:AD226)</f>
        <v>0</v>
      </c>
      <c r="AG226">
        <f>COUNTIF($B$5:$B$1201, Tabla213[[#This Row],[Num. Parcela]])</f>
        <v>0</v>
      </c>
      <c r="AH226" t="b">
        <f t="shared" ref="AH226" si="227">IF(AF226=AG226, TRUE)</f>
        <v>1</v>
      </c>
      <c r="AK226">
        <v>85</v>
      </c>
      <c r="AL226" t="s">
        <v>72</v>
      </c>
      <c r="AM226" t="s">
        <v>114</v>
      </c>
      <c r="AN226" t="s">
        <v>476</v>
      </c>
    </row>
    <row r="227" spans="1:40" x14ac:dyDescent="0.2">
      <c r="A227" s="7">
        <v>296</v>
      </c>
      <c r="B227" s="7">
        <v>8.1</v>
      </c>
      <c r="C227" s="1" t="str">
        <f t="shared" si="196"/>
        <v>CHAVA MARTINEZ 1</v>
      </c>
      <c r="D227" s="7" t="s">
        <v>108</v>
      </c>
      <c r="E227" s="1" t="str">
        <f t="shared" si="197"/>
        <v>FORTUNA</v>
      </c>
      <c r="F227" s="7">
        <v>2</v>
      </c>
      <c r="G227" s="7" t="s">
        <v>476</v>
      </c>
      <c r="H227" s="7" t="s">
        <v>149</v>
      </c>
      <c r="I227" s="7" t="s">
        <v>479</v>
      </c>
      <c r="J227" s="7">
        <v>296</v>
      </c>
      <c r="K227" s="7"/>
      <c r="M227">
        <v>86</v>
      </c>
      <c r="N227" t="s">
        <v>73</v>
      </c>
      <c r="O227" t="s">
        <v>136</v>
      </c>
      <c r="P227" t="s">
        <v>476</v>
      </c>
      <c r="Q227">
        <f>COUNTIFS($H$4:$H$1201,Tabla213[[#Headers],[Neopestalotiopsis]], $G$4:$G$1201,Tabla213[[#This Row],[Organo]], $B$4:$B$1201,M227)</f>
        <v>0</v>
      </c>
      <c r="R227">
        <f>COUNTIFS($H$4:$H$1201,Tabla213[[#Headers],[Fusarium]], $G$4:$G$1201,Tabla213[[#This Row],[Organo]], $B$4:$B$1201,M227)</f>
        <v>0</v>
      </c>
      <c r="S227">
        <f>COUNTIFS($H$4:$H$1201,Tabla213[[#Headers],[Cylindrocarpon]], $G$4:$G$1201,Tabla213[[#This Row],[Organo]], $B$4:$B$1201,M227)</f>
        <v>0</v>
      </c>
      <c r="T227">
        <f>COUNTIFS($H$4:$H$1201,Tabla213[[#Headers],[Macrophomina]], $G$4:$G$1201,Tabla213[[#This Row],[Organo]], $B$4:$B$1201,M227)</f>
        <v>0</v>
      </c>
      <c r="U227">
        <f>COUNTIFS($H$4:$H$1201,Tabla213[[#Headers],[Rhizoctonia]], $G$4:$G$1201,Tabla213[[#This Row],[Organo]], $B$4:$B$1201,M227)</f>
        <v>0</v>
      </c>
      <c r="V227">
        <v>0</v>
      </c>
      <c r="W227">
        <f>COUNTIFS($H$4:$H$1201,Tabla213[[#Headers],[Alternaria]], $G$4:$G$1201,Tabla213[[#This Row],[Organo]], $B$4:$B$1201,M227)</f>
        <v>0</v>
      </c>
      <c r="X227">
        <f>COUNTIFS($H$4:$H$1201,Tabla213[[#Headers],[Botrytis]], $G$4:$G$1201,Tabla213[[#This Row],[Organo]], $B$4:$B$1201,M227)</f>
        <v>0</v>
      </c>
      <c r="Y227">
        <f>COUNTIFS($H$4:$H$1201,Tabla213[[#Headers],[Colletotrichum]], $G$4:$G$1201,Tabla213[[#This Row],[Organo]], $B$4:$B$1201,M227)</f>
        <v>0</v>
      </c>
      <c r="Z227">
        <f>COUNTIFS($H$4:$H$1201,Tabla213[[#Headers],[Aspergillus]], $G$4:$G$1201,Tabla213[[#This Row],[Organo]], $B$4:$B$1201,M227)</f>
        <v>0</v>
      </c>
      <c r="AA227">
        <f>COUNTIFS($H$4:$H$1201,Tabla213[[#Headers],[NO ID]], $G$4:$G$1201,Tabla213[[#This Row],[Organo]], $B$4:$B$1201,M227)</f>
        <v>0</v>
      </c>
      <c r="AB227">
        <f>COUNTIFS($H$4:$H$1201,Tabla213[[#Headers],[Trichoderma]], $G$4:$G$1201,Tabla213[[#This Row],[Organo]], $B$4:$B$1201,M227)</f>
        <v>0</v>
      </c>
      <c r="AC227">
        <f>COUNTIFS($H$4:$H$1201,Tabla213[[#Headers],[Rizophus]], $G$4:$G$1201,Tabla213[[#This Row],[Organo]], $B$4:$B$1201,M227)</f>
        <v>0</v>
      </c>
      <c r="AD227">
        <f>COUNTIFS($H$4:$H$1201,Tabla213[[#Headers],[FALTANTES]], $G$4:$G$1201,Tabla213[[#This Row],[Organo]], $B$4:$B$1201,M227)</f>
        <v>0</v>
      </c>
      <c r="AK227">
        <v>86</v>
      </c>
      <c r="AL227" t="s">
        <v>73</v>
      </c>
      <c r="AM227" t="s">
        <v>136</v>
      </c>
      <c r="AN227" t="s">
        <v>477</v>
      </c>
    </row>
    <row r="228" spans="1:40" x14ac:dyDescent="0.2">
      <c r="A228" s="7">
        <v>297</v>
      </c>
      <c r="B228" s="7">
        <v>8.1</v>
      </c>
      <c r="C228" s="1" t="str">
        <f t="shared" si="196"/>
        <v>CHAVA MARTINEZ 1</v>
      </c>
      <c r="D228" s="7" t="s">
        <v>108</v>
      </c>
      <c r="E228" s="1" t="str">
        <f t="shared" si="197"/>
        <v>FORTUNA</v>
      </c>
      <c r="F228" s="7">
        <v>1</v>
      </c>
      <c r="G228" s="7" t="s">
        <v>477</v>
      </c>
      <c r="H228" s="7" t="s">
        <v>490</v>
      </c>
      <c r="I228" s="9" t="s">
        <v>490</v>
      </c>
      <c r="J228" s="9">
        <v>297</v>
      </c>
      <c r="K228" s="7"/>
      <c r="M228">
        <v>86</v>
      </c>
      <c r="N228" t="s">
        <v>73</v>
      </c>
      <c r="O228" t="s">
        <v>136</v>
      </c>
      <c r="P228" t="s">
        <v>477</v>
      </c>
      <c r="Q228">
        <f>COUNTIFS($H$4:$H$1201,Tabla213[[#Headers],[Neopestalotiopsis]], $G$4:$G$1201,Tabla213[[#This Row],[Organo]], $B$4:$B$1201,M228)</f>
        <v>2</v>
      </c>
      <c r="R228">
        <f>COUNTIFS($H$4:$H$1201,Tabla213[[#Headers],[Fusarium]], $G$4:$G$1201,Tabla213[[#This Row],[Organo]], $B$4:$B$1201,M228)</f>
        <v>2</v>
      </c>
      <c r="S228">
        <f>COUNTIFS($H$4:$H$1201,Tabla213[[#Headers],[Cylindrocarpon]], $G$4:$G$1201,Tabla213[[#This Row],[Organo]], $B$4:$B$1201,M228)</f>
        <v>1</v>
      </c>
      <c r="T228">
        <f>COUNTIFS($H$4:$H$1201,Tabla213[[#Headers],[Macrophomina]], $G$4:$G$1201,Tabla213[[#This Row],[Organo]], $B$4:$B$1201,M228)</f>
        <v>0</v>
      </c>
      <c r="U228">
        <f>COUNTIFS($H$4:$H$1201,Tabla213[[#Headers],[Rhizoctonia]], $G$4:$G$1201,Tabla213[[#This Row],[Organo]], $B$4:$B$1201,M228)</f>
        <v>0</v>
      </c>
      <c r="V228">
        <v>0</v>
      </c>
      <c r="W228">
        <f>COUNTIFS($H$4:$H$1201,Tabla213[[#Headers],[Alternaria]], $G$4:$G$1201,Tabla213[[#This Row],[Organo]], $B$4:$B$1201,M228)</f>
        <v>0</v>
      </c>
      <c r="X228">
        <f>COUNTIFS($H$4:$H$1201,Tabla213[[#Headers],[Botrytis]], $G$4:$G$1201,Tabla213[[#This Row],[Organo]], $B$4:$B$1201,M228)</f>
        <v>0</v>
      </c>
      <c r="Y228">
        <f>COUNTIFS($H$4:$H$1201,Tabla213[[#Headers],[Colletotrichum]], $G$4:$G$1201,Tabla213[[#This Row],[Organo]], $B$4:$B$1201,M228)</f>
        <v>0</v>
      </c>
      <c r="Z228">
        <f>COUNTIFS($H$4:$H$1201,Tabla213[[#Headers],[Aspergillus]], $G$4:$G$1201,Tabla213[[#This Row],[Organo]], $B$4:$B$1201,M228)</f>
        <v>0</v>
      </c>
      <c r="AA228">
        <f>COUNTIFS($H$4:$H$1201,Tabla213[[#Headers],[NO ID]], $G$4:$G$1201,Tabla213[[#This Row],[Organo]], $B$4:$B$1201,M228)</f>
        <v>1</v>
      </c>
      <c r="AB228">
        <f>COUNTIFS($H$4:$H$1201,Tabla213[[#Headers],[Trichoderma]], $G$4:$G$1201,Tabla213[[#This Row],[Organo]], $B$4:$B$1201,M228)</f>
        <v>0</v>
      </c>
      <c r="AC228">
        <f>COUNTIFS($H$4:$H$1201,Tabla213[[#Headers],[Rizophus]], $G$4:$G$1201,Tabla213[[#This Row],[Organo]], $B$4:$B$1201,M228)</f>
        <v>0</v>
      </c>
      <c r="AD228">
        <f>COUNTIFS($H$4:$H$1201,Tabla213[[#Headers],[FALTANTES]], $G$4:$G$1201,Tabla213[[#This Row],[Organo]], $B$4:$B$1201,M228)</f>
        <v>0</v>
      </c>
      <c r="AF228">
        <f t="shared" ref="AF228" si="228">SUM(Q227:AD228)</f>
        <v>6</v>
      </c>
      <c r="AG228">
        <f>COUNTIF($B$5:$B$1201, Tabla213[[#This Row],[Num. Parcela]])</f>
        <v>6</v>
      </c>
      <c r="AH228" t="b">
        <f t="shared" ref="AH228" si="229">IF(AF228=AG228, TRUE)</f>
        <v>1</v>
      </c>
      <c r="AK228">
        <v>86</v>
      </c>
      <c r="AL228" t="s">
        <v>73</v>
      </c>
      <c r="AM228" t="s">
        <v>136</v>
      </c>
      <c r="AN228" t="s">
        <v>476</v>
      </c>
    </row>
    <row r="229" spans="1:40" x14ac:dyDescent="0.2">
      <c r="A229" s="7">
        <v>298</v>
      </c>
      <c r="B229" s="7">
        <v>8.1</v>
      </c>
      <c r="C229" s="1" t="str">
        <f t="shared" si="196"/>
        <v>CHAVA MARTINEZ 1</v>
      </c>
      <c r="D229" s="7" t="s">
        <v>108</v>
      </c>
      <c r="E229" s="1" t="str">
        <f t="shared" si="197"/>
        <v>FORTUNA</v>
      </c>
      <c r="F229" s="7">
        <v>1</v>
      </c>
      <c r="G229" s="7" t="s">
        <v>477</v>
      </c>
      <c r="H229" s="7" t="s">
        <v>228</v>
      </c>
      <c r="I229" s="9" t="s">
        <v>487</v>
      </c>
      <c r="J229" s="9">
        <v>298</v>
      </c>
      <c r="K229" s="7"/>
      <c r="M229">
        <v>87</v>
      </c>
      <c r="N229" t="s">
        <v>49</v>
      </c>
      <c r="O229" t="s">
        <v>119</v>
      </c>
      <c r="P229" t="s">
        <v>476</v>
      </c>
      <c r="Q229">
        <f>COUNTIFS($H$4:$H$1201,Tabla213[[#Headers],[Neopestalotiopsis]], $G$4:$G$1201,Tabla213[[#This Row],[Organo]], $B$4:$B$1201,M229)</f>
        <v>0</v>
      </c>
      <c r="R229">
        <f>COUNTIFS($H$4:$H$1201,Tabla213[[#Headers],[Fusarium]], $G$4:$G$1201,Tabla213[[#This Row],[Organo]], $B$4:$B$1201,M229)</f>
        <v>0</v>
      </c>
      <c r="S229">
        <f>COUNTIFS($H$4:$H$1201,Tabla213[[#Headers],[Cylindrocarpon]], $G$4:$G$1201,Tabla213[[#This Row],[Organo]], $B$4:$B$1201,M229)</f>
        <v>0</v>
      </c>
      <c r="T229">
        <f>COUNTIFS($H$4:$H$1201,Tabla213[[#Headers],[Macrophomina]], $G$4:$G$1201,Tabla213[[#This Row],[Organo]], $B$4:$B$1201,M229)</f>
        <v>0</v>
      </c>
      <c r="U229">
        <f>COUNTIFS($H$4:$H$1201,Tabla213[[#Headers],[Rhizoctonia]], $G$4:$G$1201,Tabla213[[#This Row],[Organo]], $B$4:$B$1201,M229)</f>
        <v>0</v>
      </c>
      <c r="V229">
        <v>0</v>
      </c>
      <c r="W229">
        <f>COUNTIFS($H$4:$H$1201,Tabla213[[#Headers],[Alternaria]], $G$4:$G$1201,Tabla213[[#This Row],[Organo]], $B$4:$B$1201,M229)</f>
        <v>0</v>
      </c>
      <c r="X229">
        <f>COUNTIFS($H$4:$H$1201,Tabla213[[#Headers],[Botrytis]], $G$4:$G$1201,Tabla213[[#This Row],[Organo]], $B$4:$B$1201,M229)</f>
        <v>0</v>
      </c>
      <c r="Y229">
        <f>COUNTIFS($H$4:$H$1201,Tabla213[[#Headers],[Colletotrichum]], $G$4:$G$1201,Tabla213[[#This Row],[Organo]], $B$4:$B$1201,M229)</f>
        <v>0</v>
      </c>
      <c r="Z229">
        <f>COUNTIFS($H$4:$H$1201,Tabla213[[#Headers],[Aspergillus]], $G$4:$G$1201,Tabla213[[#This Row],[Organo]], $B$4:$B$1201,M229)</f>
        <v>0</v>
      </c>
      <c r="AA229">
        <f>COUNTIFS($H$4:$H$1201,Tabla213[[#Headers],[NO ID]], $G$4:$G$1201,Tabla213[[#This Row],[Organo]], $B$4:$B$1201,M229)</f>
        <v>0</v>
      </c>
      <c r="AB229">
        <f>COUNTIFS($H$4:$H$1201,Tabla213[[#Headers],[Trichoderma]], $G$4:$G$1201,Tabla213[[#This Row],[Organo]], $B$4:$B$1201,M229)</f>
        <v>0</v>
      </c>
      <c r="AC229">
        <f>COUNTIFS($H$4:$H$1201,Tabla213[[#Headers],[Rizophus]], $G$4:$G$1201,Tabla213[[#This Row],[Organo]], $B$4:$B$1201,M229)</f>
        <v>0</v>
      </c>
      <c r="AD229">
        <f>COUNTIFS($H$4:$H$1201,Tabla213[[#Headers],[FALTANTES]], $G$4:$G$1201,Tabla213[[#This Row],[Organo]], $B$4:$B$1201,M229)</f>
        <v>0</v>
      </c>
      <c r="AK229">
        <v>87</v>
      </c>
      <c r="AL229" t="s">
        <v>49</v>
      </c>
      <c r="AM229" t="s">
        <v>119</v>
      </c>
      <c r="AN229" t="s">
        <v>477</v>
      </c>
    </row>
    <row r="230" spans="1:40" x14ac:dyDescent="0.2">
      <c r="A230" s="7">
        <v>299</v>
      </c>
      <c r="B230" s="7">
        <v>8.1</v>
      </c>
      <c r="C230" s="1" t="str">
        <f t="shared" si="196"/>
        <v>CHAVA MARTINEZ 1</v>
      </c>
      <c r="D230" s="7" t="s">
        <v>108</v>
      </c>
      <c r="E230" s="1" t="str">
        <f t="shared" si="197"/>
        <v>FORTUNA</v>
      </c>
      <c r="F230" s="7">
        <v>2</v>
      </c>
      <c r="G230" s="7" t="s">
        <v>477</v>
      </c>
      <c r="H230" s="7" t="s">
        <v>228</v>
      </c>
      <c r="I230" s="9" t="s">
        <v>487</v>
      </c>
      <c r="J230" s="9">
        <v>299</v>
      </c>
      <c r="K230" s="7"/>
      <c r="L230">
        <v>1</v>
      </c>
      <c r="M230">
        <v>87</v>
      </c>
      <c r="N230" t="s">
        <v>49</v>
      </c>
      <c r="O230" t="s">
        <v>119</v>
      </c>
      <c r="P230" t="s">
        <v>477</v>
      </c>
      <c r="Q230">
        <f>COUNTIFS($H$4:$H$1201,Tabla213[[#Headers],[Neopestalotiopsis]], $G$4:$G$1201,Tabla213[[#This Row],[Organo]], $B$4:$B$1201,M230)</f>
        <v>0</v>
      </c>
      <c r="R230">
        <f>COUNTIFS($H$4:$H$1201,Tabla213[[#Headers],[Fusarium]], $G$4:$G$1201,Tabla213[[#This Row],[Organo]], $B$4:$B$1201,M230)</f>
        <v>1</v>
      </c>
      <c r="S230">
        <f>COUNTIFS($H$4:$H$1201,Tabla213[[#Headers],[Cylindrocarpon]], $G$4:$G$1201,Tabla213[[#This Row],[Organo]], $B$4:$B$1201,M230)</f>
        <v>0</v>
      </c>
      <c r="T230">
        <f>COUNTIFS($H$4:$H$1201,Tabla213[[#Headers],[Macrophomina]], $G$4:$G$1201,Tabla213[[#This Row],[Organo]], $B$4:$B$1201,M230)</f>
        <v>0</v>
      </c>
      <c r="U230">
        <f>COUNTIFS($H$4:$H$1201,Tabla213[[#Headers],[Rhizoctonia]], $G$4:$G$1201,Tabla213[[#This Row],[Organo]], $B$4:$B$1201,M230)</f>
        <v>0</v>
      </c>
      <c r="V230">
        <v>0</v>
      </c>
      <c r="W230">
        <f>COUNTIFS($H$4:$H$1201,Tabla213[[#Headers],[Alternaria]], $G$4:$G$1201,Tabla213[[#This Row],[Organo]], $B$4:$B$1201,M230)</f>
        <v>0</v>
      </c>
      <c r="X230">
        <f>COUNTIFS($H$4:$H$1201,Tabla213[[#Headers],[Botrytis]], $G$4:$G$1201,Tabla213[[#This Row],[Organo]], $B$4:$B$1201,M230)</f>
        <v>0</v>
      </c>
      <c r="Y230">
        <f>COUNTIFS($H$4:$H$1201,Tabla213[[#Headers],[Colletotrichum]], $G$4:$G$1201,Tabla213[[#This Row],[Organo]], $B$4:$B$1201,M230)</f>
        <v>0</v>
      </c>
      <c r="Z230">
        <f>COUNTIFS($H$4:$H$1201,Tabla213[[#Headers],[Aspergillus]], $G$4:$G$1201,Tabla213[[#This Row],[Organo]], $B$4:$B$1201,M230)</f>
        <v>0</v>
      </c>
      <c r="AA230">
        <f>COUNTIFS($H$4:$H$1201,Tabla213[[#Headers],[NO ID]], $G$4:$G$1201,Tabla213[[#This Row],[Organo]], $B$4:$B$1201,M230)</f>
        <v>0</v>
      </c>
      <c r="AB230">
        <f>COUNTIFS($H$4:$H$1201,Tabla213[[#Headers],[Trichoderma]], $G$4:$G$1201,Tabla213[[#This Row],[Organo]], $B$4:$B$1201,M230)</f>
        <v>0</v>
      </c>
      <c r="AC230">
        <f>COUNTIFS($H$4:$H$1201,Tabla213[[#Headers],[Rizophus]], $G$4:$G$1201,Tabla213[[#This Row],[Organo]], $B$4:$B$1201,M230)</f>
        <v>0</v>
      </c>
      <c r="AD230">
        <f>COUNTIFS($H$4:$H$1201,Tabla213[[#Headers],[FALTANTES]], $G$4:$G$1201,Tabla213[[#This Row],[Organo]], $B$4:$B$1201,M230)</f>
        <v>0</v>
      </c>
      <c r="AF230">
        <f t="shared" ref="AF230" si="230">SUM(Q229:AD230)</f>
        <v>1</v>
      </c>
      <c r="AG230">
        <f>COUNTIF($B$5:$B$1201, Tabla213[[#This Row],[Num. Parcela]])</f>
        <v>1</v>
      </c>
      <c r="AH230" t="b">
        <f t="shared" ref="AH230" si="231">IF(AF230=AG230, TRUE)</f>
        <v>1</v>
      </c>
      <c r="AK230">
        <v>87</v>
      </c>
      <c r="AL230" t="s">
        <v>49</v>
      </c>
      <c r="AM230" t="s">
        <v>119</v>
      </c>
      <c r="AN230" t="s">
        <v>476</v>
      </c>
    </row>
    <row r="231" spans="1:40" x14ac:dyDescent="0.2">
      <c r="A231" s="7">
        <v>300</v>
      </c>
      <c r="B231" s="7">
        <v>8.1</v>
      </c>
      <c r="C231" s="1" t="str">
        <f t="shared" si="196"/>
        <v>CHAVA MARTINEZ 1</v>
      </c>
      <c r="D231" s="7" t="s">
        <v>108</v>
      </c>
      <c r="E231" s="1" t="str">
        <f t="shared" si="197"/>
        <v>FORTUNA</v>
      </c>
      <c r="F231" s="7">
        <v>2</v>
      </c>
      <c r="G231" s="7" t="s">
        <v>477</v>
      </c>
      <c r="H231" s="7" t="s">
        <v>485</v>
      </c>
      <c r="I231" s="10" t="s">
        <v>485</v>
      </c>
      <c r="J231" s="10">
        <v>300</v>
      </c>
      <c r="K231" s="7"/>
      <c r="L231">
        <v>1</v>
      </c>
      <c r="M231">
        <v>88</v>
      </c>
      <c r="N231" t="s">
        <v>74</v>
      </c>
      <c r="O231" t="s">
        <v>135</v>
      </c>
      <c r="P231" t="s">
        <v>476</v>
      </c>
      <c r="Q231">
        <f>COUNTIFS($H$4:$H$1201,Tabla213[[#Headers],[Neopestalotiopsis]], $G$4:$G$1201,Tabla213[[#This Row],[Organo]], $B$4:$B$1201,M231)</f>
        <v>0</v>
      </c>
      <c r="R231">
        <f>COUNTIFS($H$4:$H$1201,Tabla213[[#Headers],[Fusarium]], $G$4:$G$1201,Tabla213[[#This Row],[Organo]], $B$4:$B$1201,M231)</f>
        <v>0</v>
      </c>
      <c r="S231">
        <f>COUNTIFS($H$4:$H$1201,Tabla213[[#Headers],[Cylindrocarpon]], $G$4:$G$1201,Tabla213[[#This Row],[Organo]], $B$4:$B$1201,M231)</f>
        <v>0</v>
      </c>
      <c r="T231">
        <f>COUNTIFS($H$4:$H$1201,Tabla213[[#Headers],[Macrophomina]], $G$4:$G$1201,Tabla213[[#This Row],[Organo]], $B$4:$B$1201,M231)</f>
        <v>0</v>
      </c>
      <c r="U231">
        <f>COUNTIFS($H$4:$H$1201,Tabla213[[#Headers],[Rhizoctonia]], $G$4:$G$1201,Tabla213[[#This Row],[Organo]], $B$4:$B$1201,M231)</f>
        <v>0</v>
      </c>
      <c r="V231">
        <v>0</v>
      </c>
      <c r="W231">
        <f>COUNTIFS($H$4:$H$1201,Tabla213[[#Headers],[Alternaria]], $G$4:$G$1201,Tabla213[[#This Row],[Organo]], $B$4:$B$1201,M231)</f>
        <v>0</v>
      </c>
      <c r="X231">
        <f>COUNTIFS($H$4:$H$1201,Tabla213[[#Headers],[Botrytis]], $G$4:$G$1201,Tabla213[[#This Row],[Organo]], $B$4:$B$1201,M231)</f>
        <v>0</v>
      </c>
      <c r="Y231">
        <f>COUNTIFS($H$4:$H$1201,Tabla213[[#Headers],[Colletotrichum]], $G$4:$G$1201,Tabla213[[#This Row],[Organo]], $B$4:$B$1201,M231)</f>
        <v>0</v>
      </c>
      <c r="Z231">
        <f>COUNTIFS($H$4:$H$1201,Tabla213[[#Headers],[Aspergillus]], $G$4:$G$1201,Tabla213[[#This Row],[Organo]], $B$4:$B$1201,M231)</f>
        <v>0</v>
      </c>
      <c r="AA231">
        <f>COUNTIFS($H$4:$H$1201,Tabla213[[#Headers],[NO ID]], $G$4:$G$1201,Tabla213[[#This Row],[Organo]], $B$4:$B$1201,M231)</f>
        <v>0</v>
      </c>
      <c r="AB231">
        <f>COUNTIFS($H$4:$H$1201,Tabla213[[#Headers],[Trichoderma]], $G$4:$G$1201,Tabla213[[#This Row],[Organo]], $B$4:$B$1201,M231)</f>
        <v>0</v>
      </c>
      <c r="AC231">
        <f>COUNTIFS($H$4:$H$1201,Tabla213[[#Headers],[Rizophus]], $G$4:$G$1201,Tabla213[[#This Row],[Organo]], $B$4:$B$1201,M231)</f>
        <v>0</v>
      </c>
      <c r="AD231">
        <f>COUNTIFS($H$4:$H$1201,Tabla213[[#Headers],[FALTANTES]], $G$4:$G$1201,Tabla213[[#This Row],[Organo]], $B$4:$B$1201,M231)</f>
        <v>0</v>
      </c>
      <c r="AK231">
        <v>88</v>
      </c>
      <c r="AL231" t="s">
        <v>74</v>
      </c>
      <c r="AM231" t="s">
        <v>135</v>
      </c>
      <c r="AN231" t="s">
        <v>477</v>
      </c>
    </row>
    <row r="232" spans="1:40" x14ac:dyDescent="0.2">
      <c r="A232" s="7">
        <v>301</v>
      </c>
      <c r="B232" s="7">
        <v>8.1</v>
      </c>
      <c r="C232" s="1" t="str">
        <f t="shared" si="196"/>
        <v>CHAVA MARTINEZ 1</v>
      </c>
      <c r="D232" s="7" t="s">
        <v>108</v>
      </c>
      <c r="E232" s="1" t="str">
        <f t="shared" si="197"/>
        <v>FORTUNA</v>
      </c>
      <c r="F232" s="7">
        <v>1</v>
      </c>
      <c r="G232" s="7" t="s">
        <v>477</v>
      </c>
      <c r="H232" s="7" t="s">
        <v>228</v>
      </c>
      <c r="I232" s="9" t="s">
        <v>487</v>
      </c>
      <c r="J232" s="9">
        <v>301</v>
      </c>
      <c r="K232" s="7"/>
      <c r="M232">
        <v>88</v>
      </c>
      <c r="N232" t="s">
        <v>74</v>
      </c>
      <c r="O232" t="s">
        <v>135</v>
      </c>
      <c r="P232" t="s">
        <v>477</v>
      </c>
      <c r="Q232">
        <f>COUNTIFS($H$4:$H$1201,Tabla213[[#Headers],[Neopestalotiopsis]], $G$4:$G$1201,Tabla213[[#This Row],[Organo]], $B$4:$B$1201,M232)</f>
        <v>0</v>
      </c>
      <c r="R232">
        <f>COUNTIFS($H$4:$H$1201,Tabla213[[#Headers],[Fusarium]], $G$4:$G$1201,Tabla213[[#This Row],[Organo]], $B$4:$B$1201,M232)</f>
        <v>5</v>
      </c>
      <c r="S232">
        <f>COUNTIFS($H$4:$H$1201,Tabla213[[#Headers],[Cylindrocarpon]], $G$4:$G$1201,Tabla213[[#This Row],[Organo]], $B$4:$B$1201,M232)</f>
        <v>0</v>
      </c>
      <c r="T232">
        <f>COUNTIFS($H$4:$H$1201,Tabla213[[#Headers],[Macrophomina]], $G$4:$G$1201,Tabla213[[#This Row],[Organo]], $B$4:$B$1201,M232)</f>
        <v>0</v>
      </c>
      <c r="U232">
        <f>COUNTIFS($H$4:$H$1201,Tabla213[[#Headers],[Rhizoctonia]], $G$4:$G$1201,Tabla213[[#This Row],[Organo]], $B$4:$B$1201,M232)</f>
        <v>1</v>
      </c>
      <c r="V232">
        <v>0</v>
      </c>
      <c r="W232">
        <f>COUNTIFS($H$4:$H$1201,Tabla213[[#Headers],[Alternaria]], $G$4:$G$1201,Tabla213[[#This Row],[Organo]], $B$4:$B$1201,M232)</f>
        <v>0</v>
      </c>
      <c r="X232">
        <f>COUNTIFS($H$4:$H$1201,Tabla213[[#Headers],[Botrytis]], $G$4:$G$1201,Tabla213[[#This Row],[Organo]], $B$4:$B$1201,M232)</f>
        <v>0</v>
      </c>
      <c r="Y232">
        <f>COUNTIFS($H$4:$H$1201,Tabla213[[#Headers],[Colletotrichum]], $G$4:$G$1201,Tabla213[[#This Row],[Organo]], $B$4:$B$1201,M232)</f>
        <v>0</v>
      </c>
      <c r="Z232">
        <f>COUNTIFS($H$4:$H$1201,Tabla213[[#Headers],[Aspergillus]], $G$4:$G$1201,Tabla213[[#This Row],[Organo]], $B$4:$B$1201,M232)</f>
        <v>0</v>
      </c>
      <c r="AA232">
        <f>COUNTIFS($H$4:$H$1201,Tabla213[[#Headers],[NO ID]], $G$4:$G$1201,Tabla213[[#This Row],[Organo]], $B$4:$B$1201,M232)</f>
        <v>0</v>
      </c>
      <c r="AB232">
        <f>COUNTIFS($H$4:$H$1201,Tabla213[[#Headers],[Trichoderma]], $G$4:$G$1201,Tabla213[[#This Row],[Organo]], $B$4:$B$1201,M232)</f>
        <v>0</v>
      </c>
      <c r="AC232">
        <f>COUNTIFS($H$4:$H$1201,Tabla213[[#Headers],[Rizophus]], $G$4:$G$1201,Tabla213[[#This Row],[Organo]], $B$4:$B$1201,M232)</f>
        <v>0</v>
      </c>
      <c r="AD232">
        <f>COUNTIFS($H$4:$H$1201,Tabla213[[#Headers],[FALTANTES]], $G$4:$G$1201,Tabla213[[#This Row],[Organo]], $B$4:$B$1201,M232)</f>
        <v>0</v>
      </c>
      <c r="AF232">
        <f t="shared" ref="AF232" si="232">SUM(Q231:AD232)</f>
        <v>6</v>
      </c>
      <c r="AG232">
        <f>COUNTIF($B$5:$B$1201, Tabla213[[#This Row],[Num. Parcela]])</f>
        <v>6</v>
      </c>
      <c r="AH232" t="b">
        <f t="shared" ref="AH232" si="233">IF(AF232=AG232, TRUE)</f>
        <v>1</v>
      </c>
      <c r="AK232">
        <v>88</v>
      </c>
      <c r="AL232" t="s">
        <v>74</v>
      </c>
      <c r="AM232" t="s">
        <v>135</v>
      </c>
      <c r="AN232" t="s">
        <v>476</v>
      </c>
    </row>
    <row r="233" spans="1:40" x14ac:dyDescent="0.2">
      <c r="A233" s="7">
        <v>302</v>
      </c>
      <c r="B233" s="7">
        <v>8.1</v>
      </c>
      <c r="C233" s="1" t="str">
        <f t="shared" si="196"/>
        <v>CHAVA MARTINEZ 1</v>
      </c>
      <c r="D233" s="7" t="s">
        <v>108</v>
      </c>
      <c r="E233" s="1" t="str">
        <f t="shared" si="197"/>
        <v>FORTUNA</v>
      </c>
      <c r="F233" s="7">
        <v>1</v>
      </c>
      <c r="G233" s="7" t="s">
        <v>477</v>
      </c>
      <c r="H233" s="7" t="s">
        <v>228</v>
      </c>
      <c r="I233" s="9" t="s">
        <v>487</v>
      </c>
      <c r="J233" s="9">
        <v>302</v>
      </c>
      <c r="K233" s="7"/>
      <c r="M233">
        <v>89</v>
      </c>
      <c r="N233" t="s">
        <v>75</v>
      </c>
      <c r="O233" t="s">
        <v>130</v>
      </c>
      <c r="P233" t="s">
        <v>476</v>
      </c>
      <c r="Q233">
        <f>COUNTIFS($H$4:$H$1201,Tabla213[[#Headers],[Neopestalotiopsis]], $G$4:$G$1201,Tabla213[[#This Row],[Organo]], $B$4:$B$1201,M233)</f>
        <v>0</v>
      </c>
      <c r="R233">
        <f>COUNTIFS($H$4:$H$1201,Tabla213[[#Headers],[Fusarium]], $G$4:$G$1201,Tabla213[[#This Row],[Organo]], $B$4:$B$1201,M233)</f>
        <v>0</v>
      </c>
      <c r="S233">
        <f>COUNTIFS($H$4:$H$1201,Tabla213[[#Headers],[Cylindrocarpon]], $G$4:$G$1201,Tabla213[[#This Row],[Organo]], $B$4:$B$1201,M233)</f>
        <v>0</v>
      </c>
      <c r="T233">
        <f>COUNTIFS($H$4:$H$1201,Tabla213[[#Headers],[Macrophomina]], $G$4:$G$1201,Tabla213[[#This Row],[Organo]], $B$4:$B$1201,M233)</f>
        <v>0</v>
      </c>
      <c r="U233">
        <f>COUNTIFS($H$4:$H$1201,Tabla213[[#Headers],[Rhizoctonia]], $G$4:$G$1201,Tabla213[[#This Row],[Organo]], $B$4:$B$1201,M233)</f>
        <v>0</v>
      </c>
      <c r="V233">
        <v>0</v>
      </c>
      <c r="W233">
        <f>COUNTIFS($H$4:$H$1201,Tabla213[[#Headers],[Alternaria]], $G$4:$G$1201,Tabla213[[#This Row],[Organo]], $B$4:$B$1201,M233)</f>
        <v>0</v>
      </c>
      <c r="X233">
        <f>COUNTIFS($H$4:$H$1201,Tabla213[[#Headers],[Botrytis]], $G$4:$G$1201,Tabla213[[#This Row],[Organo]], $B$4:$B$1201,M233)</f>
        <v>0</v>
      </c>
      <c r="Y233">
        <f>COUNTIFS($H$4:$H$1201,Tabla213[[#Headers],[Colletotrichum]], $G$4:$G$1201,Tabla213[[#This Row],[Organo]], $B$4:$B$1201,M233)</f>
        <v>0</v>
      </c>
      <c r="Z233">
        <f>COUNTIFS($H$4:$H$1201,Tabla213[[#Headers],[Aspergillus]], $G$4:$G$1201,Tabla213[[#This Row],[Organo]], $B$4:$B$1201,M233)</f>
        <v>0</v>
      </c>
      <c r="AA233">
        <f>COUNTIFS($H$4:$H$1201,Tabla213[[#Headers],[NO ID]], $G$4:$G$1201,Tabla213[[#This Row],[Organo]], $B$4:$B$1201,M233)</f>
        <v>0</v>
      </c>
      <c r="AB233">
        <f>COUNTIFS($H$4:$H$1201,Tabla213[[#Headers],[Trichoderma]], $G$4:$G$1201,Tabla213[[#This Row],[Organo]], $B$4:$B$1201,M233)</f>
        <v>0</v>
      </c>
      <c r="AC233">
        <f>COUNTIFS($H$4:$H$1201,Tabla213[[#Headers],[Rizophus]], $G$4:$G$1201,Tabla213[[#This Row],[Organo]], $B$4:$B$1201,M233)</f>
        <v>0</v>
      </c>
      <c r="AD233">
        <f>COUNTIFS($H$4:$H$1201,Tabla213[[#Headers],[FALTANTES]], $G$4:$G$1201,Tabla213[[#This Row],[Organo]], $B$4:$B$1201,M233)</f>
        <v>0</v>
      </c>
      <c r="AK233">
        <v>89</v>
      </c>
      <c r="AL233" t="s">
        <v>75</v>
      </c>
      <c r="AM233" t="s">
        <v>130</v>
      </c>
      <c r="AN233" t="s">
        <v>477</v>
      </c>
    </row>
    <row r="234" spans="1:40" x14ac:dyDescent="0.2">
      <c r="A234" s="7">
        <v>303</v>
      </c>
      <c r="B234" s="7">
        <v>8.1</v>
      </c>
      <c r="C234" s="1" t="str">
        <f t="shared" si="196"/>
        <v>CHAVA MARTINEZ 1</v>
      </c>
      <c r="D234" s="7" t="s">
        <v>108</v>
      </c>
      <c r="E234" s="1" t="str">
        <f t="shared" si="197"/>
        <v>FORTUNA</v>
      </c>
      <c r="F234" s="7">
        <v>2</v>
      </c>
      <c r="G234" s="7" t="s">
        <v>477</v>
      </c>
      <c r="H234" s="7" t="s">
        <v>228</v>
      </c>
      <c r="I234" s="9" t="s">
        <v>487</v>
      </c>
      <c r="J234" s="9">
        <v>303</v>
      </c>
      <c r="K234" s="7"/>
      <c r="L234">
        <v>1</v>
      </c>
      <c r="M234">
        <v>89</v>
      </c>
      <c r="N234" t="s">
        <v>75</v>
      </c>
      <c r="O234" t="s">
        <v>130</v>
      </c>
      <c r="P234" t="s">
        <v>477</v>
      </c>
      <c r="Q234">
        <f>COUNTIFS($H$4:$H$1201,Tabla213[[#Headers],[Neopestalotiopsis]], $G$4:$G$1201,Tabla213[[#This Row],[Organo]], $B$4:$B$1201,M234)</f>
        <v>0</v>
      </c>
      <c r="R234">
        <f>COUNTIFS($H$4:$H$1201,Tabla213[[#Headers],[Fusarium]], $G$4:$G$1201,Tabla213[[#This Row],[Organo]], $B$4:$B$1201,M234)</f>
        <v>0</v>
      </c>
      <c r="S234">
        <f>COUNTIFS($H$4:$H$1201,Tabla213[[#Headers],[Cylindrocarpon]], $G$4:$G$1201,Tabla213[[#This Row],[Organo]], $B$4:$B$1201,M234)</f>
        <v>0</v>
      </c>
      <c r="T234">
        <f>COUNTIFS($H$4:$H$1201,Tabla213[[#Headers],[Macrophomina]], $G$4:$G$1201,Tabla213[[#This Row],[Organo]], $B$4:$B$1201,M234)</f>
        <v>0</v>
      </c>
      <c r="U234">
        <f>COUNTIFS($H$4:$H$1201,Tabla213[[#Headers],[Rhizoctonia]], $G$4:$G$1201,Tabla213[[#This Row],[Organo]], $B$4:$B$1201,M234)</f>
        <v>0</v>
      </c>
      <c r="V234">
        <v>0</v>
      </c>
      <c r="W234">
        <f>COUNTIFS($H$4:$H$1201,Tabla213[[#Headers],[Alternaria]], $G$4:$G$1201,Tabla213[[#This Row],[Organo]], $B$4:$B$1201,M234)</f>
        <v>0</v>
      </c>
      <c r="X234">
        <f>COUNTIFS($H$4:$H$1201,Tabla213[[#Headers],[Botrytis]], $G$4:$G$1201,Tabla213[[#This Row],[Organo]], $B$4:$B$1201,M234)</f>
        <v>0</v>
      </c>
      <c r="Y234">
        <f>COUNTIFS($H$4:$H$1201,Tabla213[[#Headers],[Colletotrichum]], $G$4:$G$1201,Tabla213[[#This Row],[Organo]], $B$4:$B$1201,M234)</f>
        <v>0</v>
      </c>
      <c r="Z234">
        <f>COUNTIFS($H$4:$H$1201,Tabla213[[#Headers],[Aspergillus]], $G$4:$G$1201,Tabla213[[#This Row],[Organo]], $B$4:$B$1201,M234)</f>
        <v>0</v>
      </c>
      <c r="AA234">
        <f>COUNTIFS($H$4:$H$1201,Tabla213[[#Headers],[NO ID]], $G$4:$G$1201,Tabla213[[#This Row],[Organo]], $B$4:$B$1201,M234)</f>
        <v>0</v>
      </c>
      <c r="AB234">
        <f>COUNTIFS($H$4:$H$1201,Tabla213[[#Headers],[Trichoderma]], $G$4:$G$1201,Tabla213[[#This Row],[Organo]], $B$4:$B$1201,M234)</f>
        <v>0</v>
      </c>
      <c r="AC234">
        <f>COUNTIFS($H$4:$H$1201,Tabla213[[#Headers],[Rizophus]], $G$4:$G$1201,Tabla213[[#This Row],[Organo]], $B$4:$B$1201,M234)</f>
        <v>0</v>
      </c>
      <c r="AD234">
        <f>COUNTIFS($H$4:$H$1201,Tabla213[[#Headers],[FALTANTES]], $G$4:$G$1201,Tabla213[[#This Row],[Organo]], $B$4:$B$1201,M234)</f>
        <v>0</v>
      </c>
      <c r="AF234">
        <f t="shared" ref="AF234" si="234">SUM(Q233:AD234)</f>
        <v>0</v>
      </c>
      <c r="AG234">
        <f>COUNTIF($B$5:$B$1201, Tabla213[[#This Row],[Num. Parcela]])</f>
        <v>0</v>
      </c>
      <c r="AH234" t="b">
        <f t="shared" ref="AH234" si="235">IF(AF234=AG234, TRUE)</f>
        <v>1</v>
      </c>
      <c r="AK234">
        <v>89</v>
      </c>
      <c r="AL234" t="s">
        <v>75</v>
      </c>
      <c r="AM234" t="s">
        <v>130</v>
      </c>
      <c r="AN234" t="s">
        <v>476</v>
      </c>
    </row>
    <row r="235" spans="1:40" x14ac:dyDescent="0.2">
      <c r="A235" s="7">
        <v>304</v>
      </c>
      <c r="B235" s="7">
        <v>8.1</v>
      </c>
      <c r="C235" s="1" t="str">
        <f t="shared" si="196"/>
        <v>CHAVA MARTINEZ 1</v>
      </c>
      <c r="D235" s="7" t="s">
        <v>108</v>
      </c>
      <c r="E235" s="1" t="str">
        <f t="shared" si="197"/>
        <v>FORTUNA</v>
      </c>
      <c r="F235" s="7">
        <v>2</v>
      </c>
      <c r="G235" s="7" t="s">
        <v>477</v>
      </c>
      <c r="H235" s="7" t="s">
        <v>485</v>
      </c>
      <c r="I235" s="10" t="s">
        <v>485</v>
      </c>
      <c r="J235" s="10">
        <v>304</v>
      </c>
      <c r="K235" s="7"/>
      <c r="L235">
        <v>1</v>
      </c>
      <c r="M235">
        <v>90</v>
      </c>
      <c r="N235" t="s">
        <v>76</v>
      </c>
      <c r="O235" t="s">
        <v>118</v>
      </c>
      <c r="P235" t="s">
        <v>476</v>
      </c>
      <c r="Q235">
        <f>COUNTIFS($H$4:$H$1201,Tabla213[[#Headers],[Neopestalotiopsis]], $G$4:$G$1201,Tabla213[[#This Row],[Organo]], $B$4:$B$1201,M235)</f>
        <v>0</v>
      </c>
      <c r="R235">
        <f>COUNTIFS($H$4:$H$1201,Tabla213[[#Headers],[Fusarium]], $G$4:$G$1201,Tabla213[[#This Row],[Organo]], $B$4:$B$1201,M235)</f>
        <v>1</v>
      </c>
      <c r="S235">
        <f>COUNTIFS($H$4:$H$1201,Tabla213[[#Headers],[Cylindrocarpon]], $G$4:$G$1201,Tabla213[[#This Row],[Organo]], $B$4:$B$1201,M235)</f>
        <v>0</v>
      </c>
      <c r="T235">
        <f>COUNTIFS($H$4:$H$1201,Tabla213[[#Headers],[Macrophomina]], $G$4:$G$1201,Tabla213[[#This Row],[Organo]], $B$4:$B$1201,M235)</f>
        <v>0</v>
      </c>
      <c r="U235">
        <f>COUNTIFS($H$4:$H$1201,Tabla213[[#Headers],[Rhizoctonia]], $G$4:$G$1201,Tabla213[[#This Row],[Organo]], $B$4:$B$1201,M235)</f>
        <v>0</v>
      </c>
      <c r="V235">
        <v>0</v>
      </c>
      <c r="W235">
        <f>COUNTIFS($H$4:$H$1201,Tabla213[[#Headers],[Alternaria]], $G$4:$G$1201,Tabla213[[#This Row],[Organo]], $B$4:$B$1201,M235)</f>
        <v>0</v>
      </c>
      <c r="X235">
        <f>COUNTIFS($H$4:$H$1201,Tabla213[[#Headers],[Botrytis]], $G$4:$G$1201,Tabla213[[#This Row],[Organo]], $B$4:$B$1201,M235)</f>
        <v>0</v>
      </c>
      <c r="Y235">
        <f>COUNTIFS($H$4:$H$1201,Tabla213[[#Headers],[Colletotrichum]], $G$4:$G$1201,Tabla213[[#This Row],[Organo]], $B$4:$B$1201,M235)</f>
        <v>0</v>
      </c>
      <c r="Z235">
        <f>COUNTIFS($H$4:$H$1201,Tabla213[[#Headers],[Aspergillus]], $G$4:$G$1201,Tabla213[[#This Row],[Organo]], $B$4:$B$1201,M235)</f>
        <v>0</v>
      </c>
      <c r="AA235">
        <f>COUNTIFS($H$4:$H$1201,Tabla213[[#Headers],[NO ID]], $G$4:$G$1201,Tabla213[[#This Row],[Organo]], $B$4:$B$1201,M235)</f>
        <v>0</v>
      </c>
      <c r="AB235">
        <f>COUNTIFS($H$4:$H$1201,Tabla213[[#Headers],[Trichoderma]], $G$4:$G$1201,Tabla213[[#This Row],[Organo]], $B$4:$B$1201,M235)</f>
        <v>0</v>
      </c>
      <c r="AC235">
        <f>COUNTIFS($H$4:$H$1201,Tabla213[[#Headers],[Rizophus]], $G$4:$G$1201,Tabla213[[#This Row],[Organo]], $B$4:$B$1201,M235)</f>
        <v>0</v>
      </c>
      <c r="AD235">
        <f>COUNTIFS($H$4:$H$1201,Tabla213[[#Headers],[FALTANTES]], $G$4:$G$1201,Tabla213[[#This Row],[Organo]], $B$4:$B$1201,M235)</f>
        <v>0</v>
      </c>
      <c r="AK235">
        <v>90</v>
      </c>
      <c r="AL235" t="s">
        <v>76</v>
      </c>
      <c r="AM235" t="s">
        <v>118</v>
      </c>
      <c r="AN235" t="s">
        <v>477</v>
      </c>
    </row>
    <row r="236" spans="1:40" x14ac:dyDescent="0.2">
      <c r="A236" s="7">
        <v>305</v>
      </c>
      <c r="B236" s="7">
        <v>8.1</v>
      </c>
      <c r="C236" s="1" t="str">
        <f t="shared" si="196"/>
        <v>CHAVA MARTINEZ 1</v>
      </c>
      <c r="D236" s="7" t="s">
        <v>108</v>
      </c>
      <c r="E236" s="1" t="str">
        <f t="shared" si="197"/>
        <v>FORTUNA</v>
      </c>
      <c r="F236" s="7">
        <v>1</v>
      </c>
      <c r="G236" s="7" t="s">
        <v>476</v>
      </c>
      <c r="H236" s="7" t="s">
        <v>472</v>
      </c>
      <c r="I236" s="7" t="s">
        <v>472</v>
      </c>
      <c r="J236" s="7">
        <v>305</v>
      </c>
      <c r="K236" s="23" t="s">
        <v>638</v>
      </c>
      <c r="M236">
        <v>90</v>
      </c>
      <c r="N236" t="s">
        <v>76</v>
      </c>
      <c r="O236" t="s">
        <v>118</v>
      </c>
      <c r="P236" t="s">
        <v>477</v>
      </c>
      <c r="Q236">
        <f>COUNTIFS($H$4:$H$1201,Tabla213[[#Headers],[Neopestalotiopsis]], $G$4:$G$1201,Tabla213[[#This Row],[Organo]], $B$4:$B$1201,M236)</f>
        <v>0</v>
      </c>
      <c r="R236">
        <f>COUNTIFS($H$4:$H$1201,Tabla213[[#Headers],[Fusarium]], $G$4:$G$1201,Tabla213[[#This Row],[Organo]], $B$4:$B$1201,M236)</f>
        <v>4</v>
      </c>
      <c r="S236">
        <f>COUNTIFS($H$4:$H$1201,Tabla213[[#Headers],[Cylindrocarpon]], $G$4:$G$1201,Tabla213[[#This Row],[Organo]], $B$4:$B$1201,M236)</f>
        <v>0</v>
      </c>
      <c r="T236">
        <f>COUNTIFS($H$4:$H$1201,Tabla213[[#Headers],[Macrophomina]], $G$4:$G$1201,Tabla213[[#This Row],[Organo]], $B$4:$B$1201,M236)</f>
        <v>0</v>
      </c>
      <c r="U236">
        <f>COUNTIFS($H$4:$H$1201,Tabla213[[#Headers],[Rhizoctonia]], $G$4:$G$1201,Tabla213[[#This Row],[Organo]], $B$4:$B$1201,M236)</f>
        <v>0</v>
      </c>
      <c r="V236">
        <v>1</v>
      </c>
      <c r="W236">
        <f>COUNTIFS($H$4:$H$1201,Tabla213[[#Headers],[Alternaria]], $G$4:$G$1201,Tabla213[[#This Row],[Organo]], $B$4:$B$1201,M236)</f>
        <v>0</v>
      </c>
      <c r="X236">
        <f>COUNTIFS($H$4:$H$1201,Tabla213[[#Headers],[Botrytis]], $G$4:$G$1201,Tabla213[[#This Row],[Organo]], $B$4:$B$1201,M236)</f>
        <v>0</v>
      </c>
      <c r="Y236">
        <f>COUNTIFS($H$4:$H$1201,Tabla213[[#Headers],[Colletotrichum]], $G$4:$G$1201,Tabla213[[#This Row],[Organo]], $B$4:$B$1201,M236)</f>
        <v>0</v>
      </c>
      <c r="Z236">
        <f>COUNTIFS($H$4:$H$1201,Tabla213[[#Headers],[Aspergillus]], $G$4:$G$1201,Tabla213[[#This Row],[Organo]], $B$4:$B$1201,M236)</f>
        <v>0</v>
      </c>
      <c r="AA236">
        <f>COUNTIFS($H$4:$H$1201,Tabla213[[#Headers],[NO ID]], $G$4:$G$1201,Tabla213[[#This Row],[Organo]], $B$4:$B$1201,M236)</f>
        <v>1</v>
      </c>
      <c r="AB236">
        <f>COUNTIFS($H$4:$H$1201,Tabla213[[#Headers],[Trichoderma]], $G$4:$G$1201,Tabla213[[#This Row],[Organo]], $B$4:$B$1201,M236)</f>
        <v>0</v>
      </c>
      <c r="AC236">
        <f>COUNTIFS($H$4:$H$1201,Tabla213[[#Headers],[Rizophus]], $G$4:$G$1201,Tabla213[[#This Row],[Organo]], $B$4:$B$1201,M236)</f>
        <v>0</v>
      </c>
      <c r="AD236">
        <f>COUNTIFS($H$4:$H$1201,Tabla213[[#Headers],[FALTANTES]], $G$4:$G$1201,Tabla213[[#This Row],[Organo]], $B$4:$B$1201,M236)</f>
        <v>0</v>
      </c>
      <c r="AF236">
        <f t="shared" ref="AF236" si="236">SUM(Q235:AD236)</f>
        <v>7</v>
      </c>
      <c r="AG236">
        <f>COUNTIF($B$5:$B$1201, Tabla213[[#This Row],[Num. Parcela]])</f>
        <v>7</v>
      </c>
      <c r="AH236" t="b">
        <f t="shared" ref="AH236" si="237">IF(AF236=AG236, TRUE)</f>
        <v>1</v>
      </c>
      <c r="AK236">
        <v>90</v>
      </c>
      <c r="AL236" t="s">
        <v>76</v>
      </c>
      <c r="AM236" t="s">
        <v>118</v>
      </c>
      <c r="AN236" t="s">
        <v>476</v>
      </c>
    </row>
    <row r="237" spans="1:40" x14ac:dyDescent="0.2">
      <c r="A237" s="7">
        <v>306</v>
      </c>
      <c r="B237" s="7">
        <v>8.1</v>
      </c>
      <c r="C237" s="1" t="str">
        <f t="shared" si="196"/>
        <v>CHAVA MARTINEZ 1</v>
      </c>
      <c r="D237" s="7" t="s">
        <v>108</v>
      </c>
      <c r="E237" s="1" t="str">
        <f t="shared" si="197"/>
        <v>FORTUNA</v>
      </c>
      <c r="F237" s="7">
        <v>1</v>
      </c>
      <c r="G237" s="7" t="s">
        <v>477</v>
      </c>
      <c r="H237" s="7" t="s">
        <v>149</v>
      </c>
      <c r="I237" s="8" t="s">
        <v>478</v>
      </c>
      <c r="J237" s="7">
        <v>306</v>
      </c>
      <c r="K237" s="7" t="s">
        <v>638</v>
      </c>
      <c r="M237">
        <v>91</v>
      </c>
      <c r="N237" t="s">
        <v>77</v>
      </c>
      <c r="O237" t="s">
        <v>114</v>
      </c>
      <c r="P237" t="s">
        <v>476</v>
      </c>
      <c r="Q237">
        <f>COUNTIFS($H$4:$H$1201,Tabla213[[#Headers],[Neopestalotiopsis]], $G$4:$G$1201,Tabla213[[#This Row],[Organo]], $B$4:$B$1201,M237)</f>
        <v>0</v>
      </c>
      <c r="R237">
        <f>COUNTIFS($H$4:$H$1201,Tabla213[[#Headers],[Fusarium]], $G$4:$G$1201,Tabla213[[#This Row],[Organo]], $B$4:$B$1201,M237)</f>
        <v>0</v>
      </c>
      <c r="S237">
        <f>COUNTIFS($H$4:$H$1201,Tabla213[[#Headers],[Cylindrocarpon]], $G$4:$G$1201,Tabla213[[#This Row],[Organo]], $B$4:$B$1201,M237)</f>
        <v>0</v>
      </c>
      <c r="T237">
        <f>COUNTIFS($H$4:$H$1201,Tabla213[[#Headers],[Macrophomina]], $G$4:$G$1201,Tabla213[[#This Row],[Organo]], $B$4:$B$1201,M237)</f>
        <v>0</v>
      </c>
      <c r="U237">
        <f>COUNTIFS($H$4:$H$1201,Tabla213[[#Headers],[Rhizoctonia]], $G$4:$G$1201,Tabla213[[#This Row],[Organo]], $B$4:$B$1201,M237)</f>
        <v>1</v>
      </c>
      <c r="V237">
        <v>0</v>
      </c>
      <c r="W237">
        <f>COUNTIFS($H$4:$H$1201,Tabla213[[#Headers],[Alternaria]], $G$4:$G$1201,Tabla213[[#This Row],[Organo]], $B$4:$B$1201,M237)</f>
        <v>0</v>
      </c>
      <c r="X237">
        <f>COUNTIFS($H$4:$H$1201,Tabla213[[#Headers],[Botrytis]], $G$4:$G$1201,Tabla213[[#This Row],[Organo]], $B$4:$B$1201,M237)</f>
        <v>0</v>
      </c>
      <c r="Y237">
        <f>COUNTIFS($H$4:$H$1201,Tabla213[[#Headers],[Colletotrichum]], $G$4:$G$1201,Tabla213[[#This Row],[Organo]], $B$4:$B$1201,M237)</f>
        <v>0</v>
      </c>
      <c r="Z237">
        <f>COUNTIFS($H$4:$H$1201,Tabla213[[#Headers],[Aspergillus]], $G$4:$G$1201,Tabla213[[#This Row],[Organo]], $B$4:$B$1201,M237)</f>
        <v>0</v>
      </c>
      <c r="AA237">
        <f>COUNTIFS($H$4:$H$1201,Tabla213[[#Headers],[NO ID]], $G$4:$G$1201,Tabla213[[#This Row],[Organo]], $B$4:$B$1201,M237)</f>
        <v>0</v>
      </c>
      <c r="AB237">
        <f>COUNTIFS($H$4:$H$1201,Tabla213[[#Headers],[Trichoderma]], $G$4:$G$1201,Tabla213[[#This Row],[Organo]], $B$4:$B$1201,M237)</f>
        <v>0</v>
      </c>
      <c r="AC237">
        <f>COUNTIFS($H$4:$H$1201,Tabla213[[#Headers],[Rizophus]], $G$4:$G$1201,Tabla213[[#This Row],[Organo]], $B$4:$B$1201,M237)</f>
        <v>0</v>
      </c>
      <c r="AD237">
        <f>COUNTIFS($H$4:$H$1201,Tabla213[[#Headers],[FALTANTES]], $G$4:$G$1201,Tabla213[[#This Row],[Organo]], $B$4:$B$1201,M237)</f>
        <v>0</v>
      </c>
      <c r="AK237">
        <v>91</v>
      </c>
      <c r="AL237" t="s">
        <v>77</v>
      </c>
      <c r="AM237" t="s">
        <v>114</v>
      </c>
      <c r="AN237" t="s">
        <v>477</v>
      </c>
    </row>
    <row r="238" spans="1:40" x14ac:dyDescent="0.2">
      <c r="A238" s="7">
        <v>307</v>
      </c>
      <c r="B238" s="7">
        <v>8.1</v>
      </c>
      <c r="C238" s="1" t="str">
        <f t="shared" si="196"/>
        <v>CHAVA MARTINEZ 1</v>
      </c>
      <c r="D238" s="7" t="s">
        <v>108</v>
      </c>
      <c r="E238" s="1" t="str">
        <f t="shared" si="197"/>
        <v>FORTUNA</v>
      </c>
      <c r="F238" s="7">
        <v>1</v>
      </c>
      <c r="G238" s="7" t="s">
        <v>477</v>
      </c>
      <c r="H238" s="7" t="s">
        <v>474</v>
      </c>
      <c r="I238" s="11" t="s">
        <v>474</v>
      </c>
      <c r="J238" s="9">
        <v>307</v>
      </c>
      <c r="K238" s="7"/>
      <c r="L238">
        <v>1</v>
      </c>
      <c r="M238">
        <v>91</v>
      </c>
      <c r="N238" t="s">
        <v>77</v>
      </c>
      <c r="O238" t="s">
        <v>114</v>
      </c>
      <c r="P238" t="s">
        <v>477</v>
      </c>
      <c r="Q238">
        <f>COUNTIFS($H$4:$H$1201,Tabla213[[#Headers],[Neopestalotiopsis]], $G$4:$G$1201,Tabla213[[#This Row],[Organo]], $B$4:$B$1201,M238)</f>
        <v>0</v>
      </c>
      <c r="R238">
        <f>COUNTIFS($H$4:$H$1201,Tabla213[[#Headers],[Fusarium]], $G$4:$G$1201,Tabla213[[#This Row],[Organo]], $B$4:$B$1201,M238)</f>
        <v>4</v>
      </c>
      <c r="S238">
        <f>COUNTIFS($H$4:$H$1201,Tabla213[[#Headers],[Cylindrocarpon]], $G$4:$G$1201,Tabla213[[#This Row],[Organo]], $B$4:$B$1201,M238)</f>
        <v>0</v>
      </c>
      <c r="T238">
        <f>COUNTIFS($H$4:$H$1201,Tabla213[[#Headers],[Macrophomina]], $G$4:$G$1201,Tabla213[[#This Row],[Organo]], $B$4:$B$1201,M238)</f>
        <v>0</v>
      </c>
      <c r="U238">
        <f>COUNTIFS($H$4:$H$1201,Tabla213[[#Headers],[Rhizoctonia]], $G$4:$G$1201,Tabla213[[#This Row],[Organo]], $B$4:$B$1201,M238)</f>
        <v>1</v>
      </c>
      <c r="V238">
        <v>1</v>
      </c>
      <c r="W238">
        <f>COUNTIFS($H$4:$H$1201,Tabla213[[#Headers],[Alternaria]], $G$4:$G$1201,Tabla213[[#This Row],[Organo]], $B$4:$B$1201,M238)</f>
        <v>0</v>
      </c>
      <c r="X238">
        <f>COUNTIFS($H$4:$H$1201,Tabla213[[#Headers],[Botrytis]], $G$4:$G$1201,Tabla213[[#This Row],[Organo]], $B$4:$B$1201,M238)</f>
        <v>0</v>
      </c>
      <c r="Y238">
        <f>COUNTIFS($H$4:$H$1201,Tabla213[[#Headers],[Colletotrichum]], $G$4:$G$1201,Tabla213[[#This Row],[Organo]], $B$4:$B$1201,M238)</f>
        <v>0</v>
      </c>
      <c r="Z238">
        <f>COUNTIFS($H$4:$H$1201,Tabla213[[#Headers],[Aspergillus]], $G$4:$G$1201,Tabla213[[#This Row],[Organo]], $B$4:$B$1201,M238)</f>
        <v>0</v>
      </c>
      <c r="AA238">
        <f>COUNTIFS($H$4:$H$1201,Tabla213[[#Headers],[NO ID]], $G$4:$G$1201,Tabla213[[#This Row],[Organo]], $B$4:$B$1201,M238)</f>
        <v>1</v>
      </c>
      <c r="AB238">
        <f>COUNTIFS($H$4:$H$1201,Tabla213[[#Headers],[Trichoderma]], $G$4:$G$1201,Tabla213[[#This Row],[Organo]], $B$4:$B$1201,M238)</f>
        <v>0</v>
      </c>
      <c r="AC238">
        <f>COUNTIFS($H$4:$H$1201,Tabla213[[#Headers],[Rizophus]], $G$4:$G$1201,Tabla213[[#This Row],[Organo]], $B$4:$B$1201,M238)</f>
        <v>0</v>
      </c>
      <c r="AD238">
        <f>COUNTIFS($H$4:$H$1201,Tabla213[[#Headers],[FALTANTES]], $G$4:$G$1201,Tabla213[[#This Row],[Organo]], $B$4:$B$1201,M238)</f>
        <v>0</v>
      </c>
      <c r="AF238">
        <f t="shared" ref="AF238" si="238">SUM(Q237:AD238)</f>
        <v>8</v>
      </c>
      <c r="AG238">
        <f>COUNTIF($B$5:$B$1201, Tabla213[[#This Row],[Num. Parcela]])</f>
        <v>8</v>
      </c>
      <c r="AH238" t="b">
        <f t="shared" ref="AH238" si="239">IF(AF238=AG238, TRUE)</f>
        <v>1</v>
      </c>
      <c r="AK238">
        <v>91</v>
      </c>
      <c r="AL238" t="s">
        <v>77</v>
      </c>
      <c r="AM238" t="s">
        <v>114</v>
      </c>
      <c r="AN238" t="s">
        <v>476</v>
      </c>
    </row>
    <row r="239" spans="1:40" x14ac:dyDescent="0.2">
      <c r="A239" s="7">
        <v>308</v>
      </c>
      <c r="B239" s="7">
        <v>8.1</v>
      </c>
      <c r="C239" s="1" t="str">
        <f t="shared" si="196"/>
        <v>CHAVA MARTINEZ 1</v>
      </c>
      <c r="D239" s="7" t="s">
        <v>108</v>
      </c>
      <c r="E239" s="1" t="str">
        <f t="shared" si="197"/>
        <v>FORTUNA</v>
      </c>
      <c r="F239" s="7">
        <v>2</v>
      </c>
      <c r="G239" s="7" t="s">
        <v>477</v>
      </c>
      <c r="H239" s="7" t="s">
        <v>149</v>
      </c>
      <c r="I239" s="7" t="s">
        <v>480</v>
      </c>
      <c r="J239" s="7">
        <v>308</v>
      </c>
      <c r="K239" s="23" t="s">
        <v>638</v>
      </c>
      <c r="L239">
        <v>1</v>
      </c>
      <c r="M239">
        <v>92</v>
      </c>
      <c r="N239" t="s">
        <v>78</v>
      </c>
      <c r="O239" t="s">
        <v>114</v>
      </c>
      <c r="P239" t="s">
        <v>476</v>
      </c>
      <c r="Q239">
        <f>COUNTIFS($H$4:$H$1201,Tabla213[[#Headers],[Neopestalotiopsis]], $G$4:$G$1201,Tabla213[[#This Row],[Organo]], $B$4:$B$1201,M239)</f>
        <v>0</v>
      </c>
      <c r="R239">
        <f>COUNTIFS($H$4:$H$1201,Tabla213[[#Headers],[Fusarium]], $G$4:$G$1201,Tabla213[[#This Row],[Organo]], $B$4:$B$1201,M239)</f>
        <v>0</v>
      </c>
      <c r="S239">
        <f>COUNTIFS($H$4:$H$1201,Tabla213[[#Headers],[Cylindrocarpon]], $G$4:$G$1201,Tabla213[[#This Row],[Organo]], $B$4:$B$1201,M239)</f>
        <v>0</v>
      </c>
      <c r="T239">
        <f>COUNTIFS($H$4:$H$1201,Tabla213[[#Headers],[Macrophomina]], $G$4:$G$1201,Tabla213[[#This Row],[Organo]], $B$4:$B$1201,M239)</f>
        <v>0</v>
      </c>
      <c r="U239">
        <f>COUNTIFS($H$4:$H$1201,Tabla213[[#Headers],[Rhizoctonia]], $G$4:$G$1201,Tabla213[[#This Row],[Organo]], $B$4:$B$1201,M239)</f>
        <v>0</v>
      </c>
      <c r="V239">
        <v>0</v>
      </c>
      <c r="W239">
        <f>COUNTIFS($H$4:$H$1201,Tabla213[[#Headers],[Alternaria]], $G$4:$G$1201,Tabla213[[#This Row],[Organo]], $B$4:$B$1201,M239)</f>
        <v>0</v>
      </c>
      <c r="X239">
        <f>COUNTIFS($H$4:$H$1201,Tabla213[[#Headers],[Botrytis]], $G$4:$G$1201,Tabla213[[#This Row],[Organo]], $B$4:$B$1201,M239)</f>
        <v>0</v>
      </c>
      <c r="Y239">
        <f>COUNTIFS($H$4:$H$1201,Tabla213[[#Headers],[Colletotrichum]], $G$4:$G$1201,Tabla213[[#This Row],[Organo]], $B$4:$B$1201,M239)</f>
        <v>0</v>
      </c>
      <c r="Z239">
        <f>COUNTIFS($H$4:$H$1201,Tabla213[[#Headers],[Aspergillus]], $G$4:$G$1201,Tabla213[[#This Row],[Organo]], $B$4:$B$1201,M239)</f>
        <v>0</v>
      </c>
      <c r="AA239">
        <f>COUNTIFS($H$4:$H$1201,Tabla213[[#Headers],[NO ID]], $G$4:$G$1201,Tabla213[[#This Row],[Organo]], $B$4:$B$1201,M239)</f>
        <v>0</v>
      </c>
      <c r="AB239">
        <f>COUNTIFS($H$4:$H$1201,Tabla213[[#Headers],[Trichoderma]], $G$4:$G$1201,Tabla213[[#This Row],[Organo]], $B$4:$B$1201,M239)</f>
        <v>0</v>
      </c>
      <c r="AC239">
        <f>COUNTIFS($H$4:$H$1201,Tabla213[[#Headers],[Rizophus]], $G$4:$G$1201,Tabla213[[#This Row],[Organo]], $B$4:$B$1201,M239)</f>
        <v>0</v>
      </c>
      <c r="AD239">
        <f>COUNTIFS($H$4:$H$1201,Tabla213[[#Headers],[FALTANTES]], $G$4:$G$1201,Tabla213[[#This Row],[Organo]], $B$4:$B$1201,M239)</f>
        <v>0</v>
      </c>
      <c r="AK239">
        <v>92</v>
      </c>
      <c r="AL239" t="s">
        <v>78</v>
      </c>
      <c r="AM239" t="s">
        <v>114</v>
      </c>
      <c r="AN239" t="s">
        <v>477</v>
      </c>
    </row>
    <row r="240" spans="1:40" x14ac:dyDescent="0.2">
      <c r="A240" s="7">
        <v>309</v>
      </c>
      <c r="B240" s="7">
        <v>8.1</v>
      </c>
      <c r="C240" s="1" t="str">
        <f t="shared" si="196"/>
        <v>CHAVA MARTINEZ 1</v>
      </c>
      <c r="D240" s="7" t="s">
        <v>108</v>
      </c>
      <c r="E240" s="1" t="str">
        <f t="shared" si="197"/>
        <v>FORTUNA</v>
      </c>
      <c r="F240" s="7">
        <v>2</v>
      </c>
      <c r="G240" s="7" t="s">
        <v>477</v>
      </c>
      <c r="H240" s="7" t="s">
        <v>149</v>
      </c>
      <c r="I240" s="7" t="s">
        <v>480</v>
      </c>
      <c r="J240" s="7">
        <v>309</v>
      </c>
      <c r="K240" s="7"/>
      <c r="M240">
        <v>92</v>
      </c>
      <c r="N240" t="s">
        <v>78</v>
      </c>
      <c r="O240" t="s">
        <v>114</v>
      </c>
      <c r="P240" t="s">
        <v>477</v>
      </c>
      <c r="Q240">
        <f>COUNTIFS($H$4:$H$1201,Tabla213[[#Headers],[Neopestalotiopsis]], $G$4:$G$1201,Tabla213[[#This Row],[Organo]], $B$4:$B$1201,M240)</f>
        <v>0</v>
      </c>
      <c r="R240">
        <f>COUNTIFS($H$4:$H$1201,Tabla213[[#Headers],[Fusarium]], $G$4:$G$1201,Tabla213[[#This Row],[Organo]], $B$4:$B$1201,M240)</f>
        <v>2</v>
      </c>
      <c r="S240">
        <f>COUNTIFS($H$4:$H$1201,Tabla213[[#Headers],[Cylindrocarpon]], $G$4:$G$1201,Tabla213[[#This Row],[Organo]], $B$4:$B$1201,M240)</f>
        <v>0</v>
      </c>
      <c r="T240">
        <f>COUNTIFS($H$4:$H$1201,Tabla213[[#Headers],[Macrophomina]], $G$4:$G$1201,Tabla213[[#This Row],[Organo]], $B$4:$B$1201,M240)</f>
        <v>0</v>
      </c>
      <c r="U240">
        <f>COUNTIFS($H$4:$H$1201,Tabla213[[#Headers],[Rhizoctonia]], $G$4:$G$1201,Tabla213[[#This Row],[Organo]], $B$4:$B$1201,M240)</f>
        <v>1</v>
      </c>
      <c r="V240">
        <v>0</v>
      </c>
      <c r="W240">
        <f>COUNTIFS($H$4:$H$1201,Tabla213[[#Headers],[Alternaria]], $G$4:$G$1201,Tabla213[[#This Row],[Organo]], $B$4:$B$1201,M240)</f>
        <v>0</v>
      </c>
      <c r="X240">
        <f>COUNTIFS($H$4:$H$1201,Tabla213[[#Headers],[Botrytis]], $G$4:$G$1201,Tabla213[[#This Row],[Organo]], $B$4:$B$1201,M240)</f>
        <v>0</v>
      </c>
      <c r="Y240">
        <f>COUNTIFS($H$4:$H$1201,Tabla213[[#Headers],[Colletotrichum]], $G$4:$G$1201,Tabla213[[#This Row],[Organo]], $B$4:$B$1201,M240)</f>
        <v>0</v>
      </c>
      <c r="Z240">
        <f>COUNTIFS($H$4:$H$1201,Tabla213[[#Headers],[Aspergillus]], $G$4:$G$1201,Tabla213[[#This Row],[Organo]], $B$4:$B$1201,M240)</f>
        <v>0</v>
      </c>
      <c r="AA240">
        <f>COUNTIFS($H$4:$H$1201,Tabla213[[#Headers],[NO ID]], $G$4:$G$1201,Tabla213[[#This Row],[Organo]], $B$4:$B$1201,M240)</f>
        <v>0</v>
      </c>
      <c r="AB240">
        <f>COUNTIFS($H$4:$H$1201,Tabla213[[#Headers],[Trichoderma]], $G$4:$G$1201,Tabla213[[#This Row],[Organo]], $B$4:$B$1201,M240)</f>
        <v>0</v>
      </c>
      <c r="AC240">
        <f>COUNTIFS($H$4:$H$1201,Tabla213[[#Headers],[Rizophus]], $G$4:$G$1201,Tabla213[[#This Row],[Organo]], $B$4:$B$1201,M240)</f>
        <v>0</v>
      </c>
      <c r="AD240">
        <f>COUNTIFS($H$4:$H$1201,Tabla213[[#Headers],[FALTANTES]], $G$4:$G$1201,Tabla213[[#This Row],[Organo]], $B$4:$B$1201,M240)</f>
        <v>0</v>
      </c>
      <c r="AF240">
        <f t="shared" ref="AF240" si="240">SUM(Q239:AD240)</f>
        <v>3</v>
      </c>
      <c r="AG240">
        <f>COUNTIF($B$5:$B$1201, Tabla213[[#This Row],[Num. Parcela]])</f>
        <v>3</v>
      </c>
      <c r="AH240" t="b">
        <f t="shared" ref="AH240" si="241">IF(AF240=AG240, TRUE)</f>
        <v>1</v>
      </c>
      <c r="AK240">
        <v>92</v>
      </c>
      <c r="AL240" t="s">
        <v>78</v>
      </c>
      <c r="AM240" t="s">
        <v>114</v>
      </c>
      <c r="AN240" t="s">
        <v>476</v>
      </c>
    </row>
    <row r="241" spans="1:40" x14ac:dyDescent="0.2">
      <c r="A241" s="7">
        <v>310</v>
      </c>
      <c r="B241" s="7">
        <v>8.1</v>
      </c>
      <c r="C241" s="1" t="str">
        <f t="shared" si="196"/>
        <v>CHAVA MARTINEZ 1</v>
      </c>
      <c r="D241" s="7" t="s">
        <v>108</v>
      </c>
      <c r="E241" s="1" t="str">
        <f t="shared" si="197"/>
        <v>FORTUNA</v>
      </c>
      <c r="F241" s="7">
        <v>2</v>
      </c>
      <c r="G241" s="7" t="s">
        <v>477</v>
      </c>
      <c r="H241" s="7" t="s">
        <v>471</v>
      </c>
      <c r="I241" s="7" t="s">
        <v>471</v>
      </c>
      <c r="J241" s="7">
        <v>310</v>
      </c>
      <c r="K241" s="23" t="s">
        <v>638</v>
      </c>
      <c r="M241">
        <v>93.1</v>
      </c>
      <c r="N241" t="s">
        <v>704</v>
      </c>
      <c r="O241" t="s">
        <v>119</v>
      </c>
      <c r="P241" t="s">
        <v>476</v>
      </c>
      <c r="Q241">
        <f>COUNTIFS($H$4:$H$1201,Tabla213[[#Headers],[Neopestalotiopsis]], $G$4:$G$1201,Tabla213[[#This Row],[Organo]], $B$4:$B$1201,M241)</f>
        <v>0</v>
      </c>
      <c r="R241">
        <f>COUNTIFS($H$4:$H$1201,Tabla213[[#Headers],[Fusarium]], $G$4:$G$1201,Tabla213[[#This Row],[Organo]], $B$4:$B$1201,M241)</f>
        <v>0</v>
      </c>
      <c r="S241">
        <f>COUNTIFS($H$4:$H$1201,Tabla213[[#Headers],[Cylindrocarpon]], $G$4:$G$1201,Tabla213[[#This Row],[Organo]], $B$4:$B$1201,M241)</f>
        <v>0</v>
      </c>
      <c r="T241">
        <f>COUNTIFS($H$4:$H$1201,Tabla213[[#Headers],[Macrophomina]], $G$4:$G$1201,Tabla213[[#This Row],[Organo]], $B$4:$B$1201,M241)</f>
        <v>0</v>
      </c>
      <c r="U241">
        <f>COUNTIFS($H$4:$H$1201,Tabla213[[#Headers],[Rhizoctonia]], $G$4:$G$1201,Tabla213[[#This Row],[Organo]], $B$4:$B$1201,M241)</f>
        <v>1</v>
      </c>
      <c r="V241">
        <v>0</v>
      </c>
      <c r="W241">
        <f>COUNTIFS($H$4:$H$1201,Tabla213[[#Headers],[Alternaria]], $G$4:$G$1201,Tabla213[[#This Row],[Organo]], $B$4:$B$1201,M241)</f>
        <v>4</v>
      </c>
      <c r="X241">
        <f>COUNTIFS($H$4:$H$1201,Tabla213[[#Headers],[Botrytis]], $G$4:$G$1201,Tabla213[[#This Row],[Organo]], $B$4:$B$1201,M241)</f>
        <v>0</v>
      </c>
      <c r="Y241">
        <f>COUNTIFS($H$4:$H$1201,Tabla213[[#Headers],[Colletotrichum]], $G$4:$G$1201,Tabla213[[#This Row],[Organo]], $B$4:$B$1201,M241)</f>
        <v>0</v>
      </c>
      <c r="Z241">
        <f>COUNTIFS($H$4:$H$1201,Tabla213[[#Headers],[Aspergillus]], $G$4:$G$1201,Tabla213[[#This Row],[Organo]], $B$4:$B$1201,M241)</f>
        <v>0</v>
      </c>
      <c r="AA241">
        <f>COUNTIFS($H$4:$H$1201,Tabla213[[#Headers],[NO ID]], $G$4:$G$1201,Tabla213[[#This Row],[Organo]], $B$4:$B$1201,M241)</f>
        <v>0</v>
      </c>
      <c r="AB241">
        <f>COUNTIFS($H$4:$H$1201,Tabla213[[#Headers],[Trichoderma]], $G$4:$G$1201,Tabla213[[#This Row],[Organo]], $B$4:$B$1201,M241)</f>
        <v>0</v>
      </c>
      <c r="AC241">
        <f>COUNTIFS($H$4:$H$1201,Tabla213[[#Headers],[Rizophus]], $G$4:$G$1201,Tabla213[[#This Row],[Organo]], $B$4:$B$1201,M241)</f>
        <v>0</v>
      </c>
      <c r="AD241">
        <f>COUNTIFS($H$4:$H$1201,Tabla213[[#Headers],[FALTANTES]], $G$4:$G$1201,Tabla213[[#This Row],[Organo]], $B$4:$B$1201,M241)</f>
        <v>0</v>
      </c>
      <c r="AK241">
        <v>93.1</v>
      </c>
      <c r="AL241" t="s">
        <v>79</v>
      </c>
      <c r="AM241" t="s">
        <v>119</v>
      </c>
      <c r="AN241" t="s">
        <v>477</v>
      </c>
    </row>
    <row r="242" spans="1:40" x14ac:dyDescent="0.2">
      <c r="A242" s="7">
        <v>311</v>
      </c>
      <c r="B242" s="7">
        <v>8.1</v>
      </c>
      <c r="C242" s="1" t="str">
        <f t="shared" si="196"/>
        <v>CHAVA MARTINEZ 1</v>
      </c>
      <c r="D242" s="7" t="s">
        <v>108</v>
      </c>
      <c r="E242" s="1" t="str">
        <f t="shared" si="197"/>
        <v>FORTUNA</v>
      </c>
      <c r="F242" s="7">
        <v>2</v>
      </c>
      <c r="G242" s="7" t="s">
        <v>477</v>
      </c>
      <c r="H242" s="7" t="s">
        <v>149</v>
      </c>
      <c r="I242" s="7" t="s">
        <v>480</v>
      </c>
      <c r="J242" s="7">
        <v>311</v>
      </c>
      <c r="K242" s="7"/>
      <c r="L242">
        <v>1</v>
      </c>
      <c r="M242">
        <v>93.1</v>
      </c>
      <c r="N242" t="s">
        <v>704</v>
      </c>
      <c r="O242" t="s">
        <v>119</v>
      </c>
      <c r="P242" t="s">
        <v>477</v>
      </c>
      <c r="Q242">
        <f>COUNTIFS($H$4:$H$1201,Tabla213[[#Headers],[Neopestalotiopsis]], $G$4:$G$1201,Tabla213[[#This Row],[Organo]], $B$4:$B$1201,M242)</f>
        <v>0</v>
      </c>
      <c r="R242">
        <f>COUNTIFS($H$4:$H$1201,Tabla213[[#Headers],[Fusarium]], $G$4:$G$1201,Tabla213[[#This Row],[Organo]], $B$4:$B$1201,M242)</f>
        <v>1</v>
      </c>
      <c r="S242">
        <f>COUNTIFS($H$4:$H$1201,Tabla213[[#Headers],[Cylindrocarpon]], $G$4:$G$1201,Tabla213[[#This Row],[Organo]], $B$4:$B$1201,M242)</f>
        <v>0</v>
      </c>
      <c r="T242">
        <f>COUNTIFS($H$4:$H$1201,Tabla213[[#Headers],[Macrophomina]], $G$4:$G$1201,Tabla213[[#This Row],[Organo]], $B$4:$B$1201,M242)</f>
        <v>0</v>
      </c>
      <c r="U242">
        <f>COUNTIFS($H$4:$H$1201,Tabla213[[#Headers],[Rhizoctonia]], $G$4:$G$1201,Tabla213[[#This Row],[Organo]], $B$4:$B$1201,M242)</f>
        <v>1</v>
      </c>
      <c r="V242">
        <v>2</v>
      </c>
      <c r="W242">
        <f>COUNTIFS($H$4:$H$1201,Tabla213[[#Headers],[Alternaria]], $G$4:$G$1201,Tabla213[[#This Row],[Organo]], $B$4:$B$1201,M242)</f>
        <v>0</v>
      </c>
      <c r="X242">
        <f>COUNTIFS($H$4:$H$1201,Tabla213[[#Headers],[Botrytis]], $G$4:$G$1201,Tabla213[[#This Row],[Organo]], $B$4:$B$1201,M242)</f>
        <v>0</v>
      </c>
      <c r="Y242">
        <f>COUNTIFS($H$4:$H$1201,Tabla213[[#Headers],[Colletotrichum]], $G$4:$G$1201,Tabla213[[#This Row],[Organo]], $B$4:$B$1201,M242)</f>
        <v>0</v>
      </c>
      <c r="Z242">
        <f>COUNTIFS($H$4:$H$1201,Tabla213[[#Headers],[Aspergillus]], $G$4:$G$1201,Tabla213[[#This Row],[Organo]], $B$4:$B$1201,M242)</f>
        <v>0</v>
      </c>
      <c r="AA242">
        <f>COUNTIFS($H$4:$H$1201,Tabla213[[#Headers],[NO ID]], $G$4:$G$1201,Tabla213[[#This Row],[Organo]], $B$4:$B$1201,M242)</f>
        <v>0</v>
      </c>
      <c r="AB242">
        <f>COUNTIFS($H$4:$H$1201,Tabla213[[#Headers],[Trichoderma]], $G$4:$G$1201,Tabla213[[#This Row],[Organo]], $B$4:$B$1201,M242)</f>
        <v>0</v>
      </c>
      <c r="AC242">
        <f>COUNTIFS($H$4:$H$1201,Tabla213[[#Headers],[Rizophus]], $G$4:$G$1201,Tabla213[[#This Row],[Organo]], $B$4:$B$1201,M242)</f>
        <v>0</v>
      </c>
      <c r="AD242">
        <f>COUNTIFS($H$4:$H$1201,Tabla213[[#Headers],[FALTANTES]], $G$4:$G$1201,Tabla213[[#This Row],[Organo]], $B$4:$B$1201,M242)</f>
        <v>0</v>
      </c>
      <c r="AF242">
        <f t="shared" ref="AF242" si="242">SUM(Q241:AD242)</f>
        <v>9</v>
      </c>
      <c r="AG242">
        <f>COUNTIF($B$5:$B$1201, Tabla213[[#This Row],[Num. Parcela]])</f>
        <v>9</v>
      </c>
      <c r="AH242" t="b">
        <f t="shared" ref="AH242" si="243">IF(AF242=AG242, TRUE)</f>
        <v>1</v>
      </c>
      <c r="AK242">
        <v>93.1</v>
      </c>
      <c r="AL242" t="s">
        <v>79</v>
      </c>
      <c r="AM242" t="s">
        <v>119</v>
      </c>
      <c r="AN242" t="s">
        <v>476</v>
      </c>
    </row>
    <row r="243" spans="1:40" x14ac:dyDescent="0.2">
      <c r="A243" s="7">
        <v>312</v>
      </c>
      <c r="B243" s="7">
        <v>8.1</v>
      </c>
      <c r="C243" s="1" t="str">
        <f t="shared" si="196"/>
        <v>CHAVA MARTINEZ 1</v>
      </c>
      <c r="D243" s="7" t="s">
        <v>108</v>
      </c>
      <c r="E243" s="1" t="str">
        <f t="shared" si="197"/>
        <v>FORTUNA</v>
      </c>
      <c r="F243" s="7">
        <v>2</v>
      </c>
      <c r="G243" s="7" t="s">
        <v>477</v>
      </c>
      <c r="H243" s="7" t="s">
        <v>149</v>
      </c>
      <c r="I243" s="7" t="s">
        <v>480</v>
      </c>
      <c r="J243" s="7">
        <v>312</v>
      </c>
      <c r="K243" s="23" t="s">
        <v>638</v>
      </c>
      <c r="L243">
        <v>1</v>
      </c>
      <c r="M243">
        <v>93.2</v>
      </c>
      <c r="N243" t="s">
        <v>705</v>
      </c>
      <c r="O243" t="s">
        <v>126</v>
      </c>
      <c r="P243" t="s">
        <v>476</v>
      </c>
      <c r="Q243">
        <f>COUNTIFS($H$4:$H$1201,Tabla213[[#Headers],[Neopestalotiopsis]], $G$4:$G$1201,Tabla213[[#This Row],[Organo]], $B$4:$B$1201,M243)</f>
        <v>0</v>
      </c>
      <c r="R243">
        <f>COUNTIFS($H$4:$H$1201,Tabla213[[#Headers],[Fusarium]], $G$4:$G$1201,Tabla213[[#This Row],[Organo]], $B$4:$B$1201,M243)</f>
        <v>0</v>
      </c>
      <c r="S243">
        <f>COUNTIFS($H$4:$H$1201,Tabla213[[#Headers],[Cylindrocarpon]], $G$4:$G$1201,Tabla213[[#This Row],[Organo]], $B$4:$B$1201,M243)</f>
        <v>1</v>
      </c>
      <c r="T243">
        <f>COUNTIFS($H$4:$H$1201,Tabla213[[#Headers],[Macrophomina]], $G$4:$G$1201,Tabla213[[#This Row],[Organo]], $B$4:$B$1201,M243)</f>
        <v>0</v>
      </c>
      <c r="U243">
        <f>COUNTIFS($H$4:$H$1201,Tabla213[[#Headers],[Rhizoctonia]], $G$4:$G$1201,Tabla213[[#This Row],[Organo]], $B$4:$B$1201,M243)</f>
        <v>0</v>
      </c>
      <c r="V243">
        <v>0</v>
      </c>
      <c r="W243">
        <f>COUNTIFS($H$4:$H$1201,Tabla213[[#Headers],[Alternaria]], $G$4:$G$1201,Tabla213[[#This Row],[Organo]], $B$4:$B$1201,M243)</f>
        <v>1</v>
      </c>
      <c r="X243">
        <f>COUNTIFS($H$4:$H$1201,Tabla213[[#Headers],[Botrytis]], $G$4:$G$1201,Tabla213[[#This Row],[Organo]], $B$4:$B$1201,M243)</f>
        <v>0</v>
      </c>
      <c r="Y243">
        <f>COUNTIFS($H$4:$H$1201,Tabla213[[#Headers],[Colletotrichum]], $G$4:$G$1201,Tabla213[[#This Row],[Organo]], $B$4:$B$1201,M243)</f>
        <v>0</v>
      </c>
      <c r="Z243">
        <f>COUNTIFS($H$4:$H$1201,Tabla213[[#Headers],[Aspergillus]], $G$4:$G$1201,Tabla213[[#This Row],[Organo]], $B$4:$B$1201,M243)</f>
        <v>0</v>
      </c>
      <c r="AA243">
        <f>COUNTIFS($H$4:$H$1201,Tabla213[[#Headers],[NO ID]], $G$4:$G$1201,Tabla213[[#This Row],[Organo]], $B$4:$B$1201,M243)</f>
        <v>0</v>
      </c>
      <c r="AB243">
        <f>COUNTIFS($H$4:$H$1201,Tabla213[[#Headers],[Trichoderma]], $G$4:$G$1201,Tabla213[[#This Row],[Organo]], $B$4:$B$1201,M243)</f>
        <v>0</v>
      </c>
      <c r="AC243">
        <f>COUNTIFS($H$4:$H$1201,Tabla213[[#Headers],[Rizophus]], $G$4:$G$1201,Tabla213[[#This Row],[Organo]], $B$4:$B$1201,M243)</f>
        <v>0</v>
      </c>
      <c r="AD243">
        <f>COUNTIFS($H$4:$H$1201,Tabla213[[#Headers],[FALTANTES]], $G$4:$G$1201,Tabla213[[#This Row],[Organo]], $B$4:$B$1201,M243)</f>
        <v>0</v>
      </c>
      <c r="AK243">
        <v>93.2</v>
      </c>
      <c r="AL243" t="s">
        <v>79</v>
      </c>
      <c r="AM243" t="s">
        <v>126</v>
      </c>
      <c r="AN243" t="s">
        <v>477</v>
      </c>
    </row>
    <row r="244" spans="1:40" x14ac:dyDescent="0.2">
      <c r="A244" s="7">
        <v>369</v>
      </c>
      <c r="B244" s="7">
        <v>8.1</v>
      </c>
      <c r="C244" s="1" t="str">
        <f t="shared" si="196"/>
        <v>CHAVA MARTINEZ 1</v>
      </c>
      <c r="D244" s="7" t="s">
        <v>108</v>
      </c>
      <c r="E244" s="1" t="str">
        <f t="shared" si="197"/>
        <v>FORTUNA</v>
      </c>
      <c r="F244" s="7">
        <v>2</v>
      </c>
      <c r="G244" s="7" t="s">
        <v>476</v>
      </c>
      <c r="H244" s="7" t="s">
        <v>149</v>
      </c>
      <c r="I244" s="7" t="s">
        <v>480</v>
      </c>
      <c r="J244" s="7">
        <v>369</v>
      </c>
      <c r="K244" s="7"/>
      <c r="M244">
        <v>93.2</v>
      </c>
      <c r="N244" t="s">
        <v>705</v>
      </c>
      <c r="O244" t="s">
        <v>126</v>
      </c>
      <c r="P244" t="s">
        <v>477</v>
      </c>
      <c r="Q244">
        <f>COUNTIFS($H$4:$H$1201,Tabla213[[#Headers],[Neopestalotiopsis]], $G$4:$G$1201,Tabla213[[#This Row],[Organo]], $B$4:$B$1201,M244)</f>
        <v>0</v>
      </c>
      <c r="R244">
        <f>COUNTIFS($H$4:$H$1201,Tabla213[[#Headers],[Fusarium]], $G$4:$G$1201,Tabla213[[#This Row],[Organo]], $B$4:$B$1201,M244)</f>
        <v>1</v>
      </c>
      <c r="S244">
        <f>COUNTIFS($H$4:$H$1201,Tabla213[[#Headers],[Cylindrocarpon]], $G$4:$G$1201,Tabla213[[#This Row],[Organo]], $B$4:$B$1201,M244)</f>
        <v>0</v>
      </c>
      <c r="T244">
        <f>COUNTIFS($H$4:$H$1201,Tabla213[[#Headers],[Macrophomina]], $G$4:$G$1201,Tabla213[[#This Row],[Organo]], $B$4:$B$1201,M244)</f>
        <v>0</v>
      </c>
      <c r="U244">
        <f>COUNTIFS($H$4:$H$1201,Tabla213[[#Headers],[Rhizoctonia]], $G$4:$G$1201,Tabla213[[#This Row],[Organo]], $B$4:$B$1201,M244)</f>
        <v>1</v>
      </c>
      <c r="V244">
        <v>2</v>
      </c>
      <c r="W244">
        <f>COUNTIFS($H$4:$H$1201,Tabla213[[#Headers],[Alternaria]], $G$4:$G$1201,Tabla213[[#This Row],[Organo]], $B$4:$B$1201,M244)</f>
        <v>0</v>
      </c>
      <c r="X244">
        <f>COUNTIFS($H$4:$H$1201,Tabla213[[#Headers],[Botrytis]], $G$4:$G$1201,Tabla213[[#This Row],[Organo]], $B$4:$B$1201,M244)</f>
        <v>0</v>
      </c>
      <c r="Y244">
        <f>COUNTIFS($H$4:$H$1201,Tabla213[[#Headers],[Colletotrichum]], $G$4:$G$1201,Tabla213[[#This Row],[Organo]], $B$4:$B$1201,M244)</f>
        <v>0</v>
      </c>
      <c r="Z244">
        <f>COUNTIFS($H$4:$H$1201,Tabla213[[#Headers],[Aspergillus]], $G$4:$G$1201,Tabla213[[#This Row],[Organo]], $B$4:$B$1201,M244)</f>
        <v>0</v>
      </c>
      <c r="AA244">
        <f>COUNTIFS($H$4:$H$1201,Tabla213[[#Headers],[NO ID]], $G$4:$G$1201,Tabla213[[#This Row],[Organo]], $B$4:$B$1201,M244)</f>
        <v>0</v>
      </c>
      <c r="AB244">
        <f>COUNTIFS($H$4:$H$1201,Tabla213[[#Headers],[Trichoderma]], $G$4:$G$1201,Tabla213[[#This Row],[Organo]], $B$4:$B$1201,M244)</f>
        <v>0</v>
      </c>
      <c r="AC244">
        <f>COUNTIFS($H$4:$H$1201,Tabla213[[#Headers],[Rizophus]], $G$4:$G$1201,Tabla213[[#This Row],[Organo]], $B$4:$B$1201,M244)</f>
        <v>0</v>
      </c>
      <c r="AD244">
        <f>COUNTIFS($H$4:$H$1201,Tabla213[[#Headers],[FALTANTES]], $G$4:$G$1201,Tabla213[[#This Row],[Organo]], $B$4:$B$1201,M244)</f>
        <v>0</v>
      </c>
      <c r="AF244">
        <f t="shared" ref="AF244" si="244">SUM(Q243:AD244)</f>
        <v>6</v>
      </c>
      <c r="AG244">
        <f>COUNTIF($B$5:$B$1201, Tabla213[[#This Row],[Num. Parcela]])</f>
        <v>6</v>
      </c>
      <c r="AH244" t="b">
        <f t="shared" ref="AH244" si="245">IF(AF244=AG244, TRUE)</f>
        <v>1</v>
      </c>
      <c r="AK244">
        <v>93.2</v>
      </c>
      <c r="AL244" t="s">
        <v>79</v>
      </c>
      <c r="AM244" t="s">
        <v>126</v>
      </c>
      <c r="AN244" t="s">
        <v>476</v>
      </c>
    </row>
    <row r="245" spans="1:40" x14ac:dyDescent="0.2">
      <c r="A245" s="7">
        <v>370</v>
      </c>
      <c r="B245" s="7">
        <v>8.1</v>
      </c>
      <c r="C245" s="1" t="str">
        <f t="shared" si="196"/>
        <v>CHAVA MARTINEZ 1</v>
      </c>
      <c r="D245" s="7" t="s">
        <v>108</v>
      </c>
      <c r="E245" s="1" t="str">
        <f t="shared" si="197"/>
        <v>FORTUNA</v>
      </c>
      <c r="F245" s="7">
        <v>2</v>
      </c>
      <c r="G245" s="7" t="s">
        <v>476</v>
      </c>
      <c r="H245" s="7" t="s">
        <v>149</v>
      </c>
      <c r="I245" s="7" t="s">
        <v>480</v>
      </c>
      <c r="J245" s="7">
        <v>370</v>
      </c>
      <c r="K245" s="7"/>
      <c r="M245">
        <v>94.1</v>
      </c>
      <c r="N245" t="s">
        <v>706</v>
      </c>
      <c r="O245" t="s">
        <v>114</v>
      </c>
      <c r="P245" t="s">
        <v>476</v>
      </c>
      <c r="Q245">
        <f>COUNTIFS($H$4:$H$1201,Tabla213[[#Headers],[Neopestalotiopsis]], $G$4:$G$1201,Tabla213[[#This Row],[Organo]], $B$4:$B$1201,M245)</f>
        <v>0</v>
      </c>
      <c r="R245">
        <f>COUNTIFS($H$4:$H$1201,Tabla213[[#Headers],[Fusarium]], $G$4:$G$1201,Tabla213[[#This Row],[Organo]], $B$4:$B$1201,M245)</f>
        <v>1</v>
      </c>
      <c r="S245">
        <f>COUNTIFS($H$4:$H$1201,Tabla213[[#Headers],[Cylindrocarpon]], $G$4:$G$1201,Tabla213[[#This Row],[Organo]], $B$4:$B$1201,M245)</f>
        <v>0</v>
      </c>
      <c r="T245">
        <f>COUNTIFS($H$4:$H$1201,Tabla213[[#Headers],[Macrophomina]], $G$4:$G$1201,Tabla213[[#This Row],[Organo]], $B$4:$B$1201,M245)</f>
        <v>0</v>
      </c>
      <c r="U245">
        <f>COUNTIFS($H$4:$H$1201,Tabla213[[#Headers],[Rhizoctonia]], $G$4:$G$1201,Tabla213[[#This Row],[Organo]], $B$4:$B$1201,M245)</f>
        <v>0</v>
      </c>
      <c r="V245">
        <v>1</v>
      </c>
      <c r="W245">
        <f>COUNTIFS($H$4:$H$1201,Tabla213[[#Headers],[Alternaria]], $G$4:$G$1201,Tabla213[[#This Row],[Organo]], $B$4:$B$1201,M245)</f>
        <v>0</v>
      </c>
      <c r="X245">
        <f>COUNTIFS($H$4:$H$1201,Tabla213[[#Headers],[Botrytis]], $G$4:$G$1201,Tabla213[[#This Row],[Organo]], $B$4:$B$1201,M245)</f>
        <v>0</v>
      </c>
      <c r="Y245">
        <f>COUNTIFS($H$4:$H$1201,Tabla213[[#Headers],[Colletotrichum]], $G$4:$G$1201,Tabla213[[#This Row],[Organo]], $B$4:$B$1201,M245)</f>
        <v>0</v>
      </c>
      <c r="Z245">
        <f>COUNTIFS($H$4:$H$1201,Tabla213[[#Headers],[Aspergillus]], $G$4:$G$1201,Tabla213[[#This Row],[Organo]], $B$4:$B$1201,M245)</f>
        <v>0</v>
      </c>
      <c r="AA245">
        <f>COUNTIFS($H$4:$H$1201,Tabla213[[#Headers],[NO ID]], $G$4:$G$1201,Tabla213[[#This Row],[Organo]], $B$4:$B$1201,M245)</f>
        <v>0</v>
      </c>
      <c r="AB245">
        <f>COUNTIFS($H$4:$H$1201,Tabla213[[#Headers],[Trichoderma]], $G$4:$G$1201,Tabla213[[#This Row],[Organo]], $B$4:$B$1201,M245)</f>
        <v>0</v>
      </c>
      <c r="AC245">
        <f>COUNTIFS($H$4:$H$1201,Tabla213[[#Headers],[Rizophus]], $G$4:$G$1201,Tabla213[[#This Row],[Organo]], $B$4:$B$1201,M245)</f>
        <v>0</v>
      </c>
      <c r="AD245">
        <f>COUNTIFS($H$4:$H$1201,Tabla213[[#Headers],[FALTANTES]], $G$4:$G$1201,Tabla213[[#This Row],[Organo]], $B$4:$B$1201,M245)</f>
        <v>0</v>
      </c>
      <c r="AK245">
        <v>94</v>
      </c>
      <c r="AL245" t="s">
        <v>80</v>
      </c>
      <c r="AM245" t="s">
        <v>114</v>
      </c>
      <c r="AN245" t="s">
        <v>477</v>
      </c>
    </row>
    <row r="246" spans="1:40" x14ac:dyDescent="0.2">
      <c r="A246" s="7">
        <v>222</v>
      </c>
      <c r="B246" s="7">
        <v>8.1999999999999993</v>
      </c>
      <c r="C246" s="1" t="str">
        <f t="shared" si="196"/>
        <v>CHAVA MARTINEZ 2</v>
      </c>
      <c r="D246" s="7" t="s">
        <v>108</v>
      </c>
      <c r="E246" s="1" t="str">
        <f t="shared" si="197"/>
        <v>ADELANTO</v>
      </c>
      <c r="F246" s="7">
        <v>1</v>
      </c>
      <c r="G246" s="7" t="s">
        <v>476</v>
      </c>
      <c r="H246" s="7" t="s">
        <v>149</v>
      </c>
      <c r="I246" s="7" t="s">
        <v>480</v>
      </c>
      <c r="J246" s="7">
        <v>222</v>
      </c>
      <c r="K246" s="7"/>
      <c r="M246">
        <v>94.1</v>
      </c>
      <c r="N246" t="s">
        <v>706</v>
      </c>
      <c r="O246" t="s">
        <v>114</v>
      </c>
      <c r="P246" t="s">
        <v>477</v>
      </c>
      <c r="Q246">
        <f>COUNTIFS($H$4:$H$1201,Tabla213[[#Headers],[Neopestalotiopsis]], $G$4:$G$1201,Tabla213[[#This Row],[Organo]], $B$4:$B$1201,M246)</f>
        <v>1</v>
      </c>
      <c r="R246">
        <f>COUNTIFS($H$4:$H$1201,Tabla213[[#Headers],[Fusarium]], $G$4:$G$1201,Tabla213[[#This Row],[Organo]], $B$4:$B$1201,M246)</f>
        <v>2</v>
      </c>
      <c r="S246">
        <f>COUNTIFS($H$4:$H$1201,Tabla213[[#Headers],[Cylindrocarpon]], $G$4:$G$1201,Tabla213[[#This Row],[Organo]], $B$4:$B$1201,M246)</f>
        <v>1</v>
      </c>
      <c r="T246">
        <f>COUNTIFS($H$4:$H$1201,Tabla213[[#Headers],[Macrophomina]], $G$4:$G$1201,Tabla213[[#This Row],[Organo]], $B$4:$B$1201,M246)</f>
        <v>0</v>
      </c>
      <c r="U246">
        <f>COUNTIFS($H$4:$H$1201,Tabla213[[#Headers],[Rhizoctonia]], $G$4:$G$1201,Tabla213[[#This Row],[Organo]], $B$4:$B$1201,M246)</f>
        <v>3</v>
      </c>
      <c r="V246">
        <v>2</v>
      </c>
      <c r="W246">
        <f>COUNTIFS($H$4:$H$1201,Tabla213[[#Headers],[Alternaria]], $G$4:$G$1201,Tabla213[[#This Row],[Organo]], $B$4:$B$1201,M246)</f>
        <v>0</v>
      </c>
      <c r="X246">
        <f>COUNTIFS($H$4:$H$1201,Tabla213[[#Headers],[Botrytis]], $G$4:$G$1201,Tabla213[[#This Row],[Organo]], $B$4:$B$1201,M246)</f>
        <v>0</v>
      </c>
      <c r="Y246">
        <f>COUNTIFS($H$4:$H$1201,Tabla213[[#Headers],[Colletotrichum]], $G$4:$G$1201,Tabla213[[#This Row],[Organo]], $B$4:$B$1201,M246)</f>
        <v>0</v>
      </c>
      <c r="Z246">
        <f>COUNTIFS($H$4:$H$1201,Tabla213[[#Headers],[Aspergillus]], $G$4:$G$1201,Tabla213[[#This Row],[Organo]], $B$4:$B$1201,M246)</f>
        <v>0</v>
      </c>
      <c r="AA246">
        <f>COUNTIFS($H$4:$H$1201,Tabla213[[#Headers],[NO ID]], $G$4:$G$1201,Tabla213[[#This Row],[Organo]], $B$4:$B$1201,M246)</f>
        <v>0</v>
      </c>
      <c r="AB246">
        <f>COUNTIFS($H$4:$H$1201,Tabla213[[#Headers],[Trichoderma]], $G$4:$G$1201,Tabla213[[#This Row],[Organo]], $B$4:$B$1201,M246)</f>
        <v>0</v>
      </c>
      <c r="AC246">
        <f>COUNTIFS($H$4:$H$1201,Tabla213[[#Headers],[Rizophus]], $G$4:$G$1201,Tabla213[[#This Row],[Organo]], $B$4:$B$1201,M246)</f>
        <v>0</v>
      </c>
      <c r="AD246">
        <f>COUNTIFS($H$4:$H$1201,Tabla213[[#Headers],[FALTANTES]], $G$4:$G$1201,Tabla213[[#This Row],[Organo]], $B$4:$B$1201,M246)</f>
        <v>0</v>
      </c>
      <c r="AF246">
        <f t="shared" ref="AF246" si="246">SUM(Q245:AD246)</f>
        <v>11</v>
      </c>
      <c r="AG246">
        <f>COUNTIF($B$5:$B$1201, Tabla213[[#This Row],[Num. Parcela]])</f>
        <v>11</v>
      </c>
      <c r="AH246" t="b">
        <f t="shared" ref="AH246" si="247">IF(AF246=AG246, TRUE)</f>
        <v>1</v>
      </c>
      <c r="AK246">
        <v>94</v>
      </c>
      <c r="AL246" t="s">
        <v>80</v>
      </c>
      <c r="AM246" t="s">
        <v>114</v>
      </c>
      <c r="AN246" t="s">
        <v>476</v>
      </c>
    </row>
    <row r="247" spans="1:40" x14ac:dyDescent="0.2">
      <c r="A247" s="7">
        <v>223</v>
      </c>
      <c r="B247" s="7">
        <v>8.1999999999999993</v>
      </c>
      <c r="C247" s="1" t="str">
        <f t="shared" si="196"/>
        <v>CHAVA MARTINEZ 2</v>
      </c>
      <c r="D247" s="7" t="s">
        <v>108</v>
      </c>
      <c r="E247" s="1" t="str">
        <f t="shared" si="197"/>
        <v>ADELANTO</v>
      </c>
      <c r="F247" s="7">
        <v>1</v>
      </c>
      <c r="G247" s="7" t="s">
        <v>476</v>
      </c>
      <c r="H247" s="7" t="s">
        <v>228</v>
      </c>
      <c r="I247" s="9" t="s">
        <v>482</v>
      </c>
      <c r="J247" s="9">
        <v>223</v>
      </c>
      <c r="K247" s="7"/>
      <c r="M247">
        <v>94.2</v>
      </c>
      <c r="N247" t="s">
        <v>707</v>
      </c>
      <c r="O247" t="s">
        <v>126</v>
      </c>
      <c r="P247" t="s">
        <v>476</v>
      </c>
      <c r="Q247">
        <f>COUNTIFS($H$4:$H$1201,Tabla213[[#Headers],[Neopestalotiopsis]], $G$4:$G$1201,Tabla213[[#This Row],[Organo]], $B$4:$B$1201,M247)</f>
        <v>3</v>
      </c>
      <c r="R247">
        <f>COUNTIFS($H$4:$H$1201,Tabla213[[#Headers],[Fusarium]], $G$4:$G$1201,Tabla213[[#This Row],[Organo]], $B$4:$B$1201,M247)</f>
        <v>1</v>
      </c>
      <c r="S247">
        <f>COUNTIFS($H$4:$H$1201,Tabla213[[#Headers],[Cylindrocarpon]], $G$4:$G$1201,Tabla213[[#This Row],[Organo]], $B$4:$B$1201,M247)</f>
        <v>0</v>
      </c>
      <c r="T247">
        <f>COUNTIFS($H$4:$H$1201,Tabla213[[#Headers],[Macrophomina]], $G$4:$G$1201,Tabla213[[#This Row],[Organo]], $B$4:$B$1201,M247)</f>
        <v>0</v>
      </c>
      <c r="U247">
        <f>COUNTIFS($H$4:$H$1201,Tabla213[[#Headers],[Rhizoctonia]], $G$4:$G$1201,Tabla213[[#This Row],[Organo]], $B$4:$B$1201,M247)</f>
        <v>0</v>
      </c>
      <c r="V247">
        <v>0</v>
      </c>
      <c r="W247">
        <f>COUNTIFS($H$4:$H$1201,Tabla213[[#Headers],[Alternaria]], $G$4:$G$1201,Tabla213[[#This Row],[Organo]], $B$4:$B$1201,M247)</f>
        <v>0</v>
      </c>
      <c r="X247">
        <f>COUNTIFS($H$4:$H$1201,Tabla213[[#Headers],[Botrytis]], $G$4:$G$1201,Tabla213[[#This Row],[Organo]], $B$4:$B$1201,M247)</f>
        <v>0</v>
      </c>
      <c r="Y247">
        <f>COUNTIFS($H$4:$H$1201,Tabla213[[#Headers],[Colletotrichum]], $G$4:$G$1201,Tabla213[[#This Row],[Organo]], $B$4:$B$1201,M247)</f>
        <v>0</v>
      </c>
      <c r="Z247">
        <f>COUNTIFS($H$4:$H$1201,Tabla213[[#Headers],[Aspergillus]], $G$4:$G$1201,Tabla213[[#This Row],[Organo]], $B$4:$B$1201,M247)</f>
        <v>0</v>
      </c>
      <c r="AA247">
        <f>COUNTIFS($H$4:$H$1201,Tabla213[[#Headers],[NO ID]], $G$4:$G$1201,Tabla213[[#This Row],[Organo]], $B$4:$B$1201,M247)</f>
        <v>0</v>
      </c>
      <c r="AB247">
        <f>COUNTIFS($H$4:$H$1201,Tabla213[[#Headers],[Trichoderma]], $G$4:$G$1201,Tabla213[[#This Row],[Organo]], $B$4:$B$1201,M247)</f>
        <v>0</v>
      </c>
      <c r="AC247">
        <f>COUNTIFS($H$4:$H$1201,Tabla213[[#Headers],[Rizophus]], $G$4:$G$1201,Tabla213[[#This Row],[Organo]], $B$4:$B$1201,M247)</f>
        <v>0</v>
      </c>
      <c r="AD247">
        <f>COUNTIFS($H$4:$H$1201,Tabla213[[#Headers],[FALTANTES]], $G$4:$G$1201,Tabla213[[#This Row],[Organo]], $B$4:$B$1201,M247)</f>
        <v>0</v>
      </c>
      <c r="AK247">
        <v>94.1</v>
      </c>
      <c r="AL247" t="b">
        <v>0</v>
      </c>
      <c r="AM247" t="s">
        <v>126</v>
      </c>
      <c r="AN247" t="s">
        <v>477</v>
      </c>
    </row>
    <row r="248" spans="1:40" x14ac:dyDescent="0.2">
      <c r="A248" s="7">
        <v>224</v>
      </c>
      <c r="B248" s="7">
        <v>8.1999999999999993</v>
      </c>
      <c r="C248" s="1" t="str">
        <f t="shared" si="196"/>
        <v>CHAVA MARTINEZ 2</v>
      </c>
      <c r="D248" s="7" t="s">
        <v>108</v>
      </c>
      <c r="E248" s="1" t="str">
        <f t="shared" si="197"/>
        <v>ADELANTO</v>
      </c>
      <c r="F248" s="7">
        <v>2</v>
      </c>
      <c r="G248" s="7" t="s">
        <v>476</v>
      </c>
      <c r="H248" s="7" t="s">
        <v>472</v>
      </c>
      <c r="I248" s="7" t="s">
        <v>472</v>
      </c>
      <c r="J248" s="7">
        <v>224</v>
      </c>
      <c r="K248" s="19" t="s">
        <v>638</v>
      </c>
      <c r="M248">
        <v>94.2</v>
      </c>
      <c r="N248" t="s">
        <v>707</v>
      </c>
      <c r="O248" t="s">
        <v>126</v>
      </c>
      <c r="P248" t="s">
        <v>477</v>
      </c>
      <c r="Q248">
        <f>COUNTIFS($H$4:$H$1201,Tabla213[[#Headers],[Neopestalotiopsis]], $G$4:$G$1201,Tabla213[[#This Row],[Organo]], $B$4:$B$1201,M248)</f>
        <v>1</v>
      </c>
      <c r="R248">
        <f>COUNTIFS($H$4:$H$1201,Tabla213[[#Headers],[Fusarium]], $G$4:$G$1201,Tabla213[[#This Row],[Organo]], $B$4:$B$1201,M248)</f>
        <v>2</v>
      </c>
      <c r="S248">
        <f>COUNTIFS($H$4:$H$1201,Tabla213[[#Headers],[Cylindrocarpon]], $G$4:$G$1201,Tabla213[[#This Row],[Organo]], $B$4:$B$1201,M248)</f>
        <v>2</v>
      </c>
      <c r="T248">
        <f>COUNTIFS($H$4:$H$1201,Tabla213[[#Headers],[Macrophomina]], $G$4:$G$1201,Tabla213[[#This Row],[Organo]], $B$4:$B$1201,M248)</f>
        <v>0</v>
      </c>
      <c r="U248">
        <f>COUNTIFS($H$4:$H$1201,Tabla213[[#Headers],[Rhizoctonia]], $G$4:$G$1201,Tabla213[[#This Row],[Organo]], $B$4:$B$1201,M248)</f>
        <v>1</v>
      </c>
      <c r="V248">
        <v>0</v>
      </c>
      <c r="W248">
        <f>COUNTIFS($H$4:$H$1201,Tabla213[[#Headers],[Alternaria]], $G$4:$G$1201,Tabla213[[#This Row],[Organo]], $B$4:$B$1201,M248)</f>
        <v>1</v>
      </c>
      <c r="X248">
        <f>COUNTIFS($H$4:$H$1201,Tabla213[[#Headers],[Botrytis]], $G$4:$G$1201,Tabla213[[#This Row],[Organo]], $B$4:$B$1201,M248)</f>
        <v>0</v>
      </c>
      <c r="Y248">
        <f>COUNTIFS($H$4:$H$1201,Tabla213[[#Headers],[Colletotrichum]], $G$4:$G$1201,Tabla213[[#This Row],[Organo]], $B$4:$B$1201,M248)</f>
        <v>0</v>
      </c>
      <c r="Z248">
        <f>COUNTIFS($H$4:$H$1201,Tabla213[[#Headers],[Aspergillus]], $G$4:$G$1201,Tabla213[[#This Row],[Organo]], $B$4:$B$1201,M248)</f>
        <v>0</v>
      </c>
      <c r="AA248">
        <f>COUNTIFS($H$4:$H$1201,Tabla213[[#Headers],[NO ID]], $G$4:$G$1201,Tabla213[[#This Row],[Organo]], $B$4:$B$1201,M248)</f>
        <v>0</v>
      </c>
      <c r="AB248">
        <f>COUNTIFS($H$4:$H$1201,Tabla213[[#Headers],[Trichoderma]], $G$4:$G$1201,Tabla213[[#This Row],[Organo]], $B$4:$B$1201,M248)</f>
        <v>0</v>
      </c>
      <c r="AC248">
        <f>COUNTIFS($H$4:$H$1201,Tabla213[[#Headers],[Rizophus]], $G$4:$G$1201,Tabla213[[#This Row],[Organo]], $B$4:$B$1201,M248)</f>
        <v>0</v>
      </c>
      <c r="AD248">
        <f>COUNTIFS($H$4:$H$1201,Tabla213[[#Headers],[FALTANTES]], $G$4:$G$1201,Tabla213[[#This Row],[Organo]], $B$4:$B$1201,M248)</f>
        <v>0</v>
      </c>
      <c r="AF248">
        <f t="shared" ref="AF248" si="248">SUM(Q247:AD248)</f>
        <v>11</v>
      </c>
      <c r="AG248">
        <f>COUNTIF($B$5:$B$1201, Tabla213[[#This Row],[Num. Parcela]])</f>
        <v>11</v>
      </c>
      <c r="AH248" t="b">
        <f t="shared" ref="AH248" si="249">IF(AF248=AG248, TRUE)</f>
        <v>1</v>
      </c>
      <c r="AK248">
        <v>94.1</v>
      </c>
      <c r="AL248" t="b">
        <v>0</v>
      </c>
      <c r="AM248" t="s">
        <v>126</v>
      </c>
      <c r="AN248" t="s">
        <v>476</v>
      </c>
    </row>
    <row r="249" spans="1:40" x14ac:dyDescent="0.2">
      <c r="A249" s="7">
        <v>225</v>
      </c>
      <c r="B249" s="7">
        <v>8.1999999999999993</v>
      </c>
      <c r="C249" s="1" t="str">
        <f t="shared" si="196"/>
        <v>CHAVA MARTINEZ 2</v>
      </c>
      <c r="D249" s="7" t="s">
        <v>108</v>
      </c>
      <c r="E249" s="1" t="str">
        <f t="shared" si="197"/>
        <v>ADELANTO</v>
      </c>
      <c r="F249" s="7">
        <v>2</v>
      </c>
      <c r="G249" s="7" t="s">
        <v>476</v>
      </c>
      <c r="H249" s="7" t="s">
        <v>472</v>
      </c>
      <c r="I249" s="7" t="s">
        <v>472</v>
      </c>
      <c r="J249" s="7">
        <v>225</v>
      </c>
      <c r="K249" s="19" t="s">
        <v>638</v>
      </c>
      <c r="L249">
        <v>1</v>
      </c>
      <c r="M249">
        <v>94.3</v>
      </c>
      <c r="N249" t="s">
        <v>708</v>
      </c>
      <c r="O249" t="s">
        <v>114</v>
      </c>
      <c r="P249" t="s">
        <v>476</v>
      </c>
      <c r="Q249">
        <f>COUNTIFS($H$4:$H$1201,Tabla213[[#Headers],[Neopestalotiopsis]], $G$4:$G$1201,Tabla213[[#This Row],[Organo]], $B$4:$B$1201,M249)</f>
        <v>0</v>
      </c>
      <c r="R249">
        <f>COUNTIFS($H$4:$H$1201,Tabla213[[#Headers],[Fusarium]], $G$4:$G$1201,Tabla213[[#This Row],[Organo]], $B$4:$B$1201,M249)</f>
        <v>0</v>
      </c>
      <c r="S249">
        <f>COUNTIFS($H$4:$H$1201,Tabla213[[#Headers],[Cylindrocarpon]], $G$4:$G$1201,Tabla213[[#This Row],[Organo]], $B$4:$B$1201,M249)</f>
        <v>0</v>
      </c>
      <c r="T249">
        <f>COUNTIFS($H$4:$H$1201,Tabla213[[#Headers],[Macrophomina]], $G$4:$G$1201,Tabla213[[#This Row],[Organo]], $B$4:$B$1201,M249)</f>
        <v>0</v>
      </c>
      <c r="U249">
        <f>COUNTIFS($H$4:$H$1201,Tabla213[[#Headers],[Rhizoctonia]], $G$4:$G$1201,Tabla213[[#This Row],[Organo]], $B$4:$B$1201,M249)</f>
        <v>0</v>
      </c>
      <c r="V249">
        <v>0</v>
      </c>
      <c r="W249">
        <f>COUNTIFS($H$4:$H$1201,Tabla213[[#Headers],[Alternaria]], $G$4:$G$1201,Tabla213[[#This Row],[Organo]], $B$4:$B$1201,M249)</f>
        <v>0</v>
      </c>
      <c r="X249">
        <f>COUNTIFS($H$4:$H$1201,Tabla213[[#Headers],[Botrytis]], $G$4:$G$1201,Tabla213[[#This Row],[Organo]], $B$4:$B$1201,M249)</f>
        <v>0</v>
      </c>
      <c r="Y249">
        <f>COUNTIFS($H$4:$H$1201,Tabla213[[#Headers],[Colletotrichum]], $G$4:$G$1201,Tabla213[[#This Row],[Organo]], $B$4:$B$1201,M249)</f>
        <v>0</v>
      </c>
      <c r="Z249">
        <f>COUNTIFS($H$4:$H$1201,Tabla213[[#Headers],[Aspergillus]], $G$4:$G$1201,Tabla213[[#This Row],[Organo]], $B$4:$B$1201,M249)</f>
        <v>0</v>
      </c>
      <c r="AA249">
        <f>COUNTIFS($H$4:$H$1201,Tabla213[[#Headers],[NO ID]], $G$4:$G$1201,Tabla213[[#This Row],[Organo]], $B$4:$B$1201,M249)</f>
        <v>0</v>
      </c>
      <c r="AB249">
        <f>COUNTIFS($H$4:$H$1201,Tabla213[[#Headers],[Trichoderma]], $G$4:$G$1201,Tabla213[[#This Row],[Organo]], $B$4:$B$1201,M249)</f>
        <v>0</v>
      </c>
      <c r="AC249">
        <f>COUNTIFS($H$4:$H$1201,Tabla213[[#Headers],[Rizophus]], $G$4:$G$1201,Tabla213[[#This Row],[Organo]], $B$4:$B$1201,M249)</f>
        <v>0</v>
      </c>
      <c r="AD249">
        <f>COUNTIFS($H$4:$H$1201,Tabla213[[#Headers],[FALTANTES]], $G$4:$G$1201,Tabla213[[#This Row],[Organo]], $B$4:$B$1201,M249)</f>
        <v>0</v>
      </c>
      <c r="AK249">
        <v>94.2</v>
      </c>
      <c r="AL249" t="b">
        <v>0</v>
      </c>
      <c r="AM249" t="s">
        <v>114</v>
      </c>
      <c r="AN249" t="s">
        <v>477</v>
      </c>
    </row>
    <row r="250" spans="1:40" x14ac:dyDescent="0.2">
      <c r="A250" s="7">
        <v>226</v>
      </c>
      <c r="B250" s="7">
        <v>8.1999999999999993</v>
      </c>
      <c r="C250" s="1" t="str">
        <f t="shared" si="196"/>
        <v>CHAVA MARTINEZ 2</v>
      </c>
      <c r="D250" s="7" t="s">
        <v>108</v>
      </c>
      <c r="E250" s="1" t="str">
        <f t="shared" si="197"/>
        <v>ADELANTO</v>
      </c>
      <c r="F250" s="7">
        <v>1</v>
      </c>
      <c r="G250" s="7" t="s">
        <v>477</v>
      </c>
      <c r="H250" s="7" t="s">
        <v>228</v>
      </c>
      <c r="I250" s="9" t="s">
        <v>487</v>
      </c>
      <c r="J250" s="9">
        <v>226</v>
      </c>
      <c r="K250" s="7"/>
      <c r="M250">
        <v>94.3</v>
      </c>
      <c r="N250" t="s">
        <v>708</v>
      </c>
      <c r="O250" t="s">
        <v>114</v>
      </c>
      <c r="P250" t="s">
        <v>477</v>
      </c>
      <c r="Q250">
        <f>COUNTIFS($H$4:$H$1201,Tabla213[[#Headers],[Neopestalotiopsis]], $G$4:$G$1201,Tabla213[[#This Row],[Organo]], $B$4:$B$1201,M250)</f>
        <v>0</v>
      </c>
      <c r="R250">
        <f>COUNTIFS($H$4:$H$1201,Tabla213[[#Headers],[Fusarium]], $G$4:$G$1201,Tabla213[[#This Row],[Organo]], $B$4:$B$1201,M250)</f>
        <v>0</v>
      </c>
      <c r="S250">
        <f>COUNTIFS($H$4:$H$1201,Tabla213[[#Headers],[Cylindrocarpon]], $G$4:$G$1201,Tabla213[[#This Row],[Organo]], $B$4:$B$1201,M250)</f>
        <v>0</v>
      </c>
      <c r="T250">
        <f>COUNTIFS($H$4:$H$1201,Tabla213[[#Headers],[Macrophomina]], $G$4:$G$1201,Tabla213[[#This Row],[Organo]], $B$4:$B$1201,M250)</f>
        <v>0</v>
      </c>
      <c r="U250">
        <f>COUNTIFS($H$4:$H$1201,Tabla213[[#Headers],[Rhizoctonia]], $G$4:$G$1201,Tabla213[[#This Row],[Organo]], $B$4:$B$1201,M250)</f>
        <v>0</v>
      </c>
      <c r="V250">
        <v>0</v>
      </c>
      <c r="W250">
        <f>COUNTIFS($H$4:$H$1201,Tabla213[[#Headers],[Alternaria]], $G$4:$G$1201,Tabla213[[#This Row],[Organo]], $B$4:$B$1201,M250)</f>
        <v>0</v>
      </c>
      <c r="X250">
        <f>COUNTIFS($H$4:$H$1201,Tabla213[[#Headers],[Botrytis]], $G$4:$G$1201,Tabla213[[#This Row],[Organo]], $B$4:$B$1201,M250)</f>
        <v>0</v>
      </c>
      <c r="Y250">
        <f>COUNTIFS($H$4:$H$1201,Tabla213[[#Headers],[Colletotrichum]], $G$4:$G$1201,Tabla213[[#This Row],[Organo]], $B$4:$B$1201,M250)</f>
        <v>0</v>
      </c>
      <c r="Z250">
        <f>COUNTIFS($H$4:$H$1201,Tabla213[[#Headers],[Aspergillus]], $G$4:$G$1201,Tabla213[[#This Row],[Organo]], $B$4:$B$1201,M250)</f>
        <v>0</v>
      </c>
      <c r="AA250">
        <f>COUNTIFS($H$4:$H$1201,Tabla213[[#Headers],[NO ID]], $G$4:$G$1201,Tabla213[[#This Row],[Organo]], $B$4:$B$1201,M250)</f>
        <v>0</v>
      </c>
      <c r="AB250">
        <f>COUNTIFS($H$4:$H$1201,Tabla213[[#Headers],[Trichoderma]], $G$4:$G$1201,Tabla213[[#This Row],[Organo]], $B$4:$B$1201,M250)</f>
        <v>0</v>
      </c>
      <c r="AC250">
        <f>COUNTIFS($H$4:$H$1201,Tabla213[[#Headers],[Rizophus]], $G$4:$G$1201,Tabla213[[#This Row],[Organo]], $B$4:$B$1201,M250)</f>
        <v>0</v>
      </c>
      <c r="AD250">
        <f>COUNTIFS($H$4:$H$1201,Tabla213[[#Headers],[FALTANTES]], $G$4:$G$1201,Tabla213[[#This Row],[Organo]], $B$4:$B$1201,M250)</f>
        <v>0</v>
      </c>
      <c r="AF250">
        <f t="shared" ref="AF250" si="250">SUM(Q249:AD250)</f>
        <v>0</v>
      </c>
      <c r="AG250">
        <f>COUNTIF($B$5:$B$1201, Tabla213[[#This Row],[Num. Parcela]])</f>
        <v>0</v>
      </c>
      <c r="AH250" t="b">
        <f t="shared" ref="AH250" si="251">IF(AF250=AG250, TRUE)</f>
        <v>1</v>
      </c>
      <c r="AK250">
        <v>94.2</v>
      </c>
      <c r="AL250" t="b">
        <v>0</v>
      </c>
      <c r="AM250" t="s">
        <v>114</v>
      </c>
      <c r="AN250" t="s">
        <v>476</v>
      </c>
    </row>
    <row r="251" spans="1:40" x14ac:dyDescent="0.2">
      <c r="A251" s="7">
        <v>227</v>
      </c>
      <c r="B251" s="7">
        <v>8.1999999999999993</v>
      </c>
      <c r="C251" s="1" t="str">
        <f t="shared" si="196"/>
        <v>CHAVA MARTINEZ 2</v>
      </c>
      <c r="D251" s="7" t="s">
        <v>108</v>
      </c>
      <c r="E251" s="1" t="str">
        <f t="shared" si="197"/>
        <v>ADELANTO</v>
      </c>
      <c r="F251" s="7">
        <v>1</v>
      </c>
      <c r="G251" s="7" t="s">
        <v>477</v>
      </c>
      <c r="H251" s="7" t="s">
        <v>149</v>
      </c>
      <c r="I251" s="7" t="s">
        <v>480</v>
      </c>
      <c r="J251" s="7">
        <v>227</v>
      </c>
      <c r="K251" s="7"/>
      <c r="M251">
        <v>95.1</v>
      </c>
      <c r="N251" t="s">
        <v>709</v>
      </c>
      <c r="O251" t="s">
        <v>126</v>
      </c>
      <c r="P251" t="s">
        <v>476</v>
      </c>
      <c r="Q251">
        <f>COUNTIFS($H$4:$H$1201,Tabla213[[#Headers],[Neopestalotiopsis]], $G$4:$G$1201,Tabla213[[#This Row],[Organo]], $B$4:$B$1201,M251)</f>
        <v>1</v>
      </c>
      <c r="R251">
        <f>COUNTIFS($H$4:$H$1201,Tabla213[[#Headers],[Fusarium]], $G$4:$G$1201,Tabla213[[#This Row],[Organo]], $B$4:$B$1201,M251)</f>
        <v>0</v>
      </c>
      <c r="S251">
        <f>COUNTIFS($H$4:$H$1201,Tabla213[[#Headers],[Cylindrocarpon]], $G$4:$G$1201,Tabla213[[#This Row],[Organo]], $B$4:$B$1201,M251)</f>
        <v>0</v>
      </c>
      <c r="T251">
        <f>COUNTIFS($H$4:$H$1201,Tabla213[[#Headers],[Macrophomina]], $G$4:$G$1201,Tabla213[[#This Row],[Organo]], $B$4:$B$1201,M251)</f>
        <v>0</v>
      </c>
      <c r="U251">
        <f>COUNTIFS($H$4:$H$1201,Tabla213[[#Headers],[Rhizoctonia]], $G$4:$G$1201,Tabla213[[#This Row],[Organo]], $B$4:$B$1201,M251)</f>
        <v>0</v>
      </c>
      <c r="V251">
        <v>0</v>
      </c>
      <c r="W251">
        <f>COUNTIFS($H$4:$H$1201,Tabla213[[#Headers],[Alternaria]], $G$4:$G$1201,Tabla213[[#This Row],[Organo]], $B$4:$B$1201,M251)</f>
        <v>0</v>
      </c>
      <c r="X251">
        <f>COUNTIFS($H$4:$H$1201,Tabla213[[#Headers],[Botrytis]], $G$4:$G$1201,Tabla213[[#This Row],[Organo]], $B$4:$B$1201,M251)</f>
        <v>0</v>
      </c>
      <c r="Y251">
        <f>COUNTIFS($H$4:$H$1201,Tabla213[[#Headers],[Colletotrichum]], $G$4:$G$1201,Tabla213[[#This Row],[Organo]], $B$4:$B$1201,M251)</f>
        <v>0</v>
      </c>
      <c r="Z251">
        <f>COUNTIFS($H$4:$H$1201,Tabla213[[#Headers],[Aspergillus]], $G$4:$G$1201,Tabla213[[#This Row],[Organo]], $B$4:$B$1201,M251)</f>
        <v>0</v>
      </c>
      <c r="AA251">
        <f>COUNTIFS($H$4:$H$1201,Tabla213[[#Headers],[NO ID]], $G$4:$G$1201,Tabla213[[#This Row],[Organo]], $B$4:$B$1201,M251)</f>
        <v>0</v>
      </c>
      <c r="AB251">
        <f>COUNTIFS($H$4:$H$1201,Tabla213[[#Headers],[Trichoderma]], $G$4:$G$1201,Tabla213[[#This Row],[Organo]], $B$4:$B$1201,M251)</f>
        <v>0</v>
      </c>
      <c r="AC251">
        <f>COUNTIFS($H$4:$H$1201,Tabla213[[#Headers],[Rizophus]], $G$4:$G$1201,Tabla213[[#This Row],[Organo]], $B$4:$B$1201,M251)</f>
        <v>0</v>
      </c>
      <c r="AD251">
        <f>COUNTIFS($H$4:$H$1201,Tabla213[[#Headers],[FALTANTES]], $G$4:$G$1201,Tabla213[[#This Row],[Organo]], $B$4:$B$1201,M251)</f>
        <v>0</v>
      </c>
      <c r="AK251">
        <v>95.1</v>
      </c>
      <c r="AL251" t="b">
        <v>0</v>
      </c>
      <c r="AM251" t="s">
        <v>126</v>
      </c>
      <c r="AN251" t="s">
        <v>477</v>
      </c>
    </row>
    <row r="252" spans="1:40" x14ac:dyDescent="0.2">
      <c r="A252" s="7">
        <v>228</v>
      </c>
      <c r="B252" s="7">
        <v>8.1999999999999993</v>
      </c>
      <c r="C252" s="1" t="str">
        <f t="shared" si="196"/>
        <v>CHAVA MARTINEZ 2</v>
      </c>
      <c r="D252" s="7" t="s">
        <v>108</v>
      </c>
      <c r="E252" s="1" t="str">
        <f t="shared" si="197"/>
        <v>ADELANTO</v>
      </c>
      <c r="F252" s="7">
        <v>1</v>
      </c>
      <c r="G252" s="7" t="s">
        <v>477</v>
      </c>
      <c r="H252" s="7" t="s">
        <v>228</v>
      </c>
      <c r="I252" s="9" t="s">
        <v>487</v>
      </c>
      <c r="J252" s="9">
        <v>228</v>
      </c>
      <c r="K252" s="7"/>
      <c r="M252">
        <v>95.1</v>
      </c>
      <c r="N252" t="s">
        <v>709</v>
      </c>
      <c r="O252" t="s">
        <v>126</v>
      </c>
      <c r="P252" t="s">
        <v>477</v>
      </c>
      <c r="Q252">
        <f>COUNTIFS($H$4:$H$1201,Tabla213[[#Headers],[Neopestalotiopsis]], $G$4:$G$1201,Tabla213[[#This Row],[Organo]], $B$4:$B$1201,M252)</f>
        <v>1</v>
      </c>
      <c r="R252">
        <f>COUNTIFS($H$4:$H$1201,Tabla213[[#Headers],[Fusarium]], $G$4:$G$1201,Tabla213[[#This Row],[Organo]], $B$4:$B$1201,M252)</f>
        <v>4</v>
      </c>
      <c r="S252">
        <f>COUNTIFS($H$4:$H$1201,Tabla213[[#Headers],[Cylindrocarpon]], $G$4:$G$1201,Tabla213[[#This Row],[Organo]], $B$4:$B$1201,M252)</f>
        <v>0</v>
      </c>
      <c r="T252">
        <f>COUNTIFS($H$4:$H$1201,Tabla213[[#Headers],[Macrophomina]], $G$4:$G$1201,Tabla213[[#This Row],[Organo]], $B$4:$B$1201,M252)</f>
        <v>0</v>
      </c>
      <c r="U252">
        <f>COUNTIFS($H$4:$H$1201,Tabla213[[#Headers],[Rhizoctonia]], $G$4:$G$1201,Tabla213[[#This Row],[Organo]], $B$4:$B$1201,M252)</f>
        <v>1</v>
      </c>
      <c r="V252">
        <v>0</v>
      </c>
      <c r="W252">
        <f>COUNTIFS($H$4:$H$1201,Tabla213[[#Headers],[Alternaria]], $G$4:$G$1201,Tabla213[[#This Row],[Organo]], $B$4:$B$1201,M252)</f>
        <v>0</v>
      </c>
      <c r="X252">
        <f>COUNTIFS($H$4:$H$1201,Tabla213[[#Headers],[Botrytis]], $G$4:$G$1201,Tabla213[[#This Row],[Organo]], $B$4:$B$1201,M252)</f>
        <v>0</v>
      </c>
      <c r="Y252">
        <f>COUNTIFS($H$4:$H$1201,Tabla213[[#Headers],[Colletotrichum]], $G$4:$G$1201,Tabla213[[#This Row],[Organo]], $B$4:$B$1201,M252)</f>
        <v>0</v>
      </c>
      <c r="Z252">
        <f>COUNTIFS($H$4:$H$1201,Tabla213[[#Headers],[Aspergillus]], $G$4:$G$1201,Tabla213[[#This Row],[Organo]], $B$4:$B$1201,M252)</f>
        <v>0</v>
      </c>
      <c r="AA252">
        <f>COUNTIFS($H$4:$H$1201,Tabla213[[#Headers],[NO ID]], $G$4:$G$1201,Tabla213[[#This Row],[Organo]], $B$4:$B$1201,M252)</f>
        <v>0</v>
      </c>
      <c r="AB252">
        <f>COUNTIFS($H$4:$H$1201,Tabla213[[#Headers],[Trichoderma]], $G$4:$G$1201,Tabla213[[#This Row],[Organo]], $B$4:$B$1201,M252)</f>
        <v>0</v>
      </c>
      <c r="AC252">
        <f>COUNTIFS($H$4:$H$1201,Tabla213[[#Headers],[Rizophus]], $G$4:$G$1201,Tabla213[[#This Row],[Organo]], $B$4:$B$1201,M252)</f>
        <v>0</v>
      </c>
      <c r="AD252">
        <f>COUNTIFS($H$4:$H$1201,Tabla213[[#Headers],[FALTANTES]], $G$4:$G$1201,Tabla213[[#This Row],[Organo]], $B$4:$B$1201,M252)</f>
        <v>0</v>
      </c>
      <c r="AF252">
        <f t="shared" ref="AF252" si="252">SUM(Q251:AD252)</f>
        <v>7</v>
      </c>
      <c r="AG252">
        <f>COUNTIF($B$5:$B$1201, Tabla213[[#This Row],[Num. Parcela]])</f>
        <v>7</v>
      </c>
      <c r="AH252" t="b">
        <f t="shared" ref="AH252" si="253">IF(AF252=AG252, TRUE)</f>
        <v>1</v>
      </c>
      <c r="AK252">
        <v>95.1</v>
      </c>
      <c r="AL252" t="b">
        <v>0</v>
      </c>
      <c r="AM252" t="s">
        <v>126</v>
      </c>
      <c r="AN252" t="s">
        <v>476</v>
      </c>
    </row>
    <row r="253" spans="1:40" x14ac:dyDescent="0.2">
      <c r="A253" s="7">
        <v>229</v>
      </c>
      <c r="B253" s="7">
        <v>8.1999999999999993</v>
      </c>
      <c r="C253" s="1" t="str">
        <f t="shared" si="196"/>
        <v>CHAVA MARTINEZ 2</v>
      </c>
      <c r="D253" s="7" t="s">
        <v>108</v>
      </c>
      <c r="E253" s="1" t="str">
        <f t="shared" si="197"/>
        <v>ADELANTO</v>
      </c>
      <c r="F253" s="7">
        <v>1</v>
      </c>
      <c r="G253" s="7" t="s">
        <v>477</v>
      </c>
      <c r="H253" s="7" t="s">
        <v>228</v>
      </c>
      <c r="I253" s="11" t="s">
        <v>487</v>
      </c>
      <c r="J253" s="11">
        <v>229</v>
      </c>
      <c r="K253" s="7"/>
      <c r="M253">
        <v>95.2</v>
      </c>
      <c r="N253" t="s">
        <v>710</v>
      </c>
      <c r="O253" t="s">
        <v>126</v>
      </c>
      <c r="P253" t="s">
        <v>476</v>
      </c>
      <c r="Q253">
        <f>COUNTIFS($H$4:$H$1201,Tabla213[[#Headers],[Neopestalotiopsis]], $G$4:$G$1201,Tabla213[[#This Row],[Organo]], $B$4:$B$1201,M253)</f>
        <v>5</v>
      </c>
      <c r="R253">
        <f>COUNTIFS($H$4:$H$1201,Tabla213[[#Headers],[Fusarium]], $G$4:$G$1201,Tabla213[[#This Row],[Organo]], $B$4:$B$1201,M253)</f>
        <v>0</v>
      </c>
      <c r="S253">
        <f>COUNTIFS($H$4:$H$1201,Tabla213[[#Headers],[Cylindrocarpon]], $G$4:$G$1201,Tabla213[[#This Row],[Organo]], $B$4:$B$1201,M253)</f>
        <v>0</v>
      </c>
      <c r="T253">
        <f>COUNTIFS($H$4:$H$1201,Tabla213[[#Headers],[Macrophomina]], $G$4:$G$1201,Tabla213[[#This Row],[Organo]], $B$4:$B$1201,M253)</f>
        <v>0</v>
      </c>
      <c r="U253">
        <f>COUNTIFS($H$4:$H$1201,Tabla213[[#Headers],[Rhizoctonia]], $G$4:$G$1201,Tabla213[[#This Row],[Organo]], $B$4:$B$1201,M253)</f>
        <v>0</v>
      </c>
      <c r="V253">
        <v>0</v>
      </c>
      <c r="W253">
        <f>COUNTIFS($H$4:$H$1201,Tabla213[[#Headers],[Alternaria]], $G$4:$G$1201,Tabla213[[#This Row],[Organo]], $B$4:$B$1201,M253)</f>
        <v>0</v>
      </c>
      <c r="X253">
        <f>COUNTIFS($H$4:$H$1201,Tabla213[[#Headers],[Botrytis]], $G$4:$G$1201,Tabla213[[#This Row],[Organo]], $B$4:$B$1201,M253)</f>
        <v>0</v>
      </c>
      <c r="Y253">
        <f>COUNTIFS($H$4:$H$1201,Tabla213[[#Headers],[Colletotrichum]], $G$4:$G$1201,Tabla213[[#This Row],[Organo]], $B$4:$B$1201,M253)</f>
        <v>0</v>
      </c>
      <c r="Z253">
        <f>COUNTIFS($H$4:$H$1201,Tabla213[[#Headers],[Aspergillus]], $G$4:$G$1201,Tabla213[[#This Row],[Organo]], $B$4:$B$1201,M253)</f>
        <v>0</v>
      </c>
      <c r="AA253">
        <f>COUNTIFS($H$4:$H$1201,Tabla213[[#Headers],[NO ID]], $G$4:$G$1201,Tabla213[[#This Row],[Organo]], $B$4:$B$1201,M253)</f>
        <v>0</v>
      </c>
      <c r="AB253">
        <f>COUNTIFS($H$4:$H$1201,Tabla213[[#Headers],[Trichoderma]], $G$4:$G$1201,Tabla213[[#This Row],[Organo]], $B$4:$B$1201,M253)</f>
        <v>0</v>
      </c>
      <c r="AC253">
        <f>COUNTIFS($H$4:$H$1201,Tabla213[[#Headers],[Rizophus]], $G$4:$G$1201,Tabla213[[#This Row],[Organo]], $B$4:$B$1201,M253)</f>
        <v>0</v>
      </c>
      <c r="AD253">
        <f>COUNTIFS($H$4:$H$1201,Tabla213[[#Headers],[FALTANTES]], $G$4:$G$1201,Tabla213[[#This Row],[Organo]], $B$4:$B$1201,M253)</f>
        <v>0</v>
      </c>
      <c r="AK253">
        <v>95.2</v>
      </c>
      <c r="AL253" t="b">
        <v>0</v>
      </c>
      <c r="AM253" t="s">
        <v>126</v>
      </c>
      <c r="AN253" t="s">
        <v>477</v>
      </c>
    </row>
    <row r="254" spans="1:40" x14ac:dyDescent="0.2">
      <c r="A254" s="7">
        <v>230</v>
      </c>
      <c r="B254" s="7">
        <v>8.1999999999999993</v>
      </c>
      <c r="C254" s="1" t="str">
        <f t="shared" si="196"/>
        <v>CHAVA MARTINEZ 2</v>
      </c>
      <c r="D254" s="7" t="s">
        <v>108</v>
      </c>
      <c r="E254" s="1" t="str">
        <f t="shared" si="197"/>
        <v>ADELANTO</v>
      </c>
      <c r="F254" s="7">
        <v>1</v>
      </c>
      <c r="G254" s="7" t="s">
        <v>477</v>
      </c>
      <c r="H254" s="7" t="s">
        <v>149</v>
      </c>
      <c r="I254" s="7" t="s">
        <v>479</v>
      </c>
      <c r="J254" s="7">
        <v>230</v>
      </c>
      <c r="K254" s="19" t="s">
        <v>638</v>
      </c>
      <c r="M254">
        <v>95.2</v>
      </c>
      <c r="N254" t="s">
        <v>710</v>
      </c>
      <c r="O254" t="s">
        <v>126</v>
      </c>
      <c r="P254" t="s">
        <v>477</v>
      </c>
      <c r="Q254">
        <f>COUNTIFS($H$4:$H$1201,Tabla213[[#Headers],[Neopestalotiopsis]], $G$4:$G$1201,Tabla213[[#This Row],[Organo]], $B$4:$B$1201,M254)</f>
        <v>3</v>
      </c>
      <c r="R254">
        <f>COUNTIFS($H$4:$H$1201,Tabla213[[#Headers],[Fusarium]], $G$4:$G$1201,Tabla213[[#This Row],[Organo]], $B$4:$B$1201,M254)</f>
        <v>1</v>
      </c>
      <c r="S254">
        <f>COUNTIFS($H$4:$H$1201,Tabla213[[#Headers],[Cylindrocarpon]], $G$4:$G$1201,Tabla213[[#This Row],[Organo]], $B$4:$B$1201,M254)</f>
        <v>3</v>
      </c>
      <c r="T254">
        <f>COUNTIFS($H$4:$H$1201,Tabla213[[#Headers],[Macrophomina]], $G$4:$G$1201,Tabla213[[#This Row],[Organo]], $B$4:$B$1201,M254)</f>
        <v>0</v>
      </c>
      <c r="U254">
        <f>COUNTIFS($H$4:$H$1201,Tabla213[[#Headers],[Rhizoctonia]], $G$4:$G$1201,Tabla213[[#This Row],[Organo]], $B$4:$B$1201,M254)</f>
        <v>2</v>
      </c>
      <c r="V254">
        <v>0</v>
      </c>
      <c r="W254">
        <f>COUNTIFS($H$4:$H$1201,Tabla213[[#Headers],[Alternaria]], $G$4:$G$1201,Tabla213[[#This Row],[Organo]], $B$4:$B$1201,M254)</f>
        <v>0</v>
      </c>
      <c r="X254">
        <f>COUNTIFS($H$4:$H$1201,Tabla213[[#Headers],[Botrytis]], $G$4:$G$1201,Tabla213[[#This Row],[Organo]], $B$4:$B$1201,M254)</f>
        <v>0</v>
      </c>
      <c r="Y254">
        <f>COUNTIFS($H$4:$H$1201,Tabla213[[#Headers],[Colletotrichum]], $G$4:$G$1201,Tabla213[[#This Row],[Organo]], $B$4:$B$1201,M254)</f>
        <v>0</v>
      </c>
      <c r="Z254">
        <f>COUNTIFS($H$4:$H$1201,Tabla213[[#Headers],[Aspergillus]], $G$4:$G$1201,Tabla213[[#This Row],[Organo]], $B$4:$B$1201,M254)</f>
        <v>0</v>
      </c>
      <c r="AA254">
        <f>COUNTIFS($H$4:$H$1201,Tabla213[[#Headers],[NO ID]], $G$4:$G$1201,Tabla213[[#This Row],[Organo]], $B$4:$B$1201,M254)</f>
        <v>0</v>
      </c>
      <c r="AB254">
        <f>COUNTIFS($H$4:$H$1201,Tabla213[[#Headers],[Trichoderma]], $G$4:$G$1201,Tabla213[[#This Row],[Organo]], $B$4:$B$1201,M254)</f>
        <v>0</v>
      </c>
      <c r="AC254">
        <f>COUNTIFS($H$4:$H$1201,Tabla213[[#Headers],[Rizophus]], $G$4:$G$1201,Tabla213[[#This Row],[Organo]], $B$4:$B$1201,M254)</f>
        <v>0</v>
      </c>
      <c r="AD254">
        <f>COUNTIFS($H$4:$H$1201,Tabla213[[#Headers],[FALTANTES]], $G$4:$G$1201,Tabla213[[#This Row],[Organo]], $B$4:$B$1201,M254)</f>
        <v>0</v>
      </c>
      <c r="AF254">
        <f t="shared" ref="AF254" si="254">SUM(Q253:AD254)</f>
        <v>14</v>
      </c>
      <c r="AG254">
        <f>COUNTIF($B$5:$B$1201, Tabla213[[#This Row],[Num. Parcela]])</f>
        <v>14</v>
      </c>
      <c r="AH254" t="b">
        <f t="shared" ref="AH254" si="255">IF(AF254=AG254, TRUE)</f>
        <v>1</v>
      </c>
      <c r="AK254">
        <v>95.2</v>
      </c>
      <c r="AL254" t="b">
        <v>0</v>
      </c>
      <c r="AM254" t="s">
        <v>126</v>
      </c>
      <c r="AN254" t="s">
        <v>476</v>
      </c>
    </row>
    <row r="255" spans="1:40" x14ac:dyDescent="0.2">
      <c r="A255" s="7">
        <v>231</v>
      </c>
      <c r="B255" s="7">
        <v>8.1999999999999993</v>
      </c>
      <c r="C255" s="1" t="str">
        <f t="shared" si="196"/>
        <v>CHAVA MARTINEZ 2</v>
      </c>
      <c r="D255" s="7" t="s">
        <v>108</v>
      </c>
      <c r="E255" s="1" t="str">
        <f t="shared" si="197"/>
        <v>ADELANTO</v>
      </c>
      <c r="F255" s="7">
        <v>1</v>
      </c>
      <c r="G255" s="7" t="s">
        <v>477</v>
      </c>
      <c r="H255" s="7" t="s">
        <v>471</v>
      </c>
      <c r="I255" s="7" t="s">
        <v>471</v>
      </c>
      <c r="J255" s="7">
        <v>231</v>
      </c>
      <c r="K255" s="19" t="s">
        <v>638</v>
      </c>
      <c r="L255">
        <v>1</v>
      </c>
      <c r="M255">
        <v>96</v>
      </c>
      <c r="N255" t="s">
        <v>81</v>
      </c>
      <c r="O255" t="s">
        <v>125</v>
      </c>
      <c r="P255" t="s">
        <v>476</v>
      </c>
      <c r="Q255">
        <f>COUNTIFS($H$4:$H$1201,Tabla213[[#Headers],[Neopestalotiopsis]], $G$4:$G$1201,Tabla213[[#This Row],[Organo]], $B$4:$B$1201,M255)</f>
        <v>0</v>
      </c>
      <c r="R255">
        <f>COUNTIFS($H$4:$H$1201,Tabla213[[#Headers],[Fusarium]], $G$4:$G$1201,Tabla213[[#This Row],[Organo]], $B$4:$B$1201,M255)</f>
        <v>0</v>
      </c>
      <c r="S255">
        <f>COUNTIFS($H$4:$H$1201,Tabla213[[#Headers],[Cylindrocarpon]], $G$4:$G$1201,Tabla213[[#This Row],[Organo]], $B$4:$B$1201,M255)</f>
        <v>0</v>
      </c>
      <c r="T255">
        <f>COUNTIFS($H$4:$H$1201,Tabla213[[#Headers],[Macrophomina]], $G$4:$G$1201,Tabla213[[#This Row],[Organo]], $B$4:$B$1201,M255)</f>
        <v>0</v>
      </c>
      <c r="U255">
        <f>COUNTIFS($H$4:$H$1201,Tabla213[[#Headers],[Rhizoctonia]], $G$4:$G$1201,Tabla213[[#This Row],[Organo]], $B$4:$B$1201,M255)</f>
        <v>0</v>
      </c>
      <c r="V255">
        <v>0</v>
      </c>
      <c r="W255">
        <f>COUNTIFS($H$4:$H$1201,Tabla213[[#Headers],[Alternaria]], $G$4:$G$1201,Tabla213[[#This Row],[Organo]], $B$4:$B$1201,M255)</f>
        <v>0</v>
      </c>
      <c r="X255">
        <f>COUNTIFS($H$4:$H$1201,Tabla213[[#Headers],[Botrytis]], $G$4:$G$1201,Tabla213[[#This Row],[Organo]], $B$4:$B$1201,M255)</f>
        <v>0</v>
      </c>
      <c r="Y255">
        <f>COUNTIFS($H$4:$H$1201,Tabla213[[#Headers],[Colletotrichum]], $G$4:$G$1201,Tabla213[[#This Row],[Organo]], $B$4:$B$1201,M255)</f>
        <v>0</v>
      </c>
      <c r="Z255">
        <f>COUNTIFS($H$4:$H$1201,Tabla213[[#Headers],[Aspergillus]], $G$4:$G$1201,Tabla213[[#This Row],[Organo]], $B$4:$B$1201,M255)</f>
        <v>0</v>
      </c>
      <c r="AA255">
        <f>COUNTIFS($H$4:$H$1201,Tabla213[[#Headers],[NO ID]], $G$4:$G$1201,Tabla213[[#This Row],[Organo]], $B$4:$B$1201,M255)</f>
        <v>0</v>
      </c>
      <c r="AB255">
        <f>COUNTIFS($H$4:$H$1201,Tabla213[[#Headers],[Trichoderma]], $G$4:$G$1201,Tabla213[[#This Row],[Organo]], $B$4:$B$1201,M255)</f>
        <v>0</v>
      </c>
      <c r="AC255">
        <f>COUNTIFS($H$4:$H$1201,Tabla213[[#Headers],[Rizophus]], $G$4:$G$1201,Tabla213[[#This Row],[Organo]], $B$4:$B$1201,M255)</f>
        <v>0</v>
      </c>
      <c r="AD255">
        <f>COUNTIFS($H$4:$H$1201,Tabla213[[#Headers],[FALTANTES]], $G$4:$G$1201,Tabla213[[#This Row],[Organo]], $B$4:$B$1201,M255)</f>
        <v>0</v>
      </c>
      <c r="AK255">
        <v>96</v>
      </c>
      <c r="AL255" t="s">
        <v>81</v>
      </c>
      <c r="AM255" t="s">
        <v>125</v>
      </c>
      <c r="AN255" t="s">
        <v>477</v>
      </c>
    </row>
    <row r="256" spans="1:40" x14ac:dyDescent="0.2">
      <c r="A256" s="7">
        <v>232</v>
      </c>
      <c r="B256" s="7">
        <v>8.1999999999999993</v>
      </c>
      <c r="C256" s="1" t="str">
        <f t="shared" si="196"/>
        <v>CHAVA MARTINEZ 2</v>
      </c>
      <c r="D256" s="7" t="s">
        <v>108</v>
      </c>
      <c r="E256" s="1" t="str">
        <f t="shared" si="197"/>
        <v>ADELANTO</v>
      </c>
      <c r="F256" s="7">
        <v>1</v>
      </c>
      <c r="G256" s="7" t="s">
        <v>477</v>
      </c>
      <c r="H256" s="7" t="s">
        <v>474</v>
      </c>
      <c r="I256" s="11" t="s">
        <v>474</v>
      </c>
      <c r="J256" s="9">
        <v>232</v>
      </c>
      <c r="K256" s="7"/>
      <c r="M256">
        <v>96</v>
      </c>
      <c r="N256" t="s">
        <v>81</v>
      </c>
      <c r="O256" t="s">
        <v>125</v>
      </c>
      <c r="P256" t="s">
        <v>477</v>
      </c>
      <c r="Q256">
        <f>COUNTIFS($H$4:$H$1201,Tabla213[[#Headers],[Neopestalotiopsis]], $G$4:$G$1201,Tabla213[[#This Row],[Organo]], $B$4:$B$1201,M256)</f>
        <v>0</v>
      </c>
      <c r="R256">
        <f>COUNTIFS($H$4:$H$1201,Tabla213[[#Headers],[Fusarium]], $G$4:$G$1201,Tabla213[[#This Row],[Organo]], $B$4:$B$1201,M256)</f>
        <v>2</v>
      </c>
      <c r="S256">
        <f>COUNTIFS($H$4:$H$1201,Tabla213[[#Headers],[Cylindrocarpon]], $G$4:$G$1201,Tabla213[[#This Row],[Organo]], $B$4:$B$1201,M256)</f>
        <v>0</v>
      </c>
      <c r="T256">
        <f>COUNTIFS($H$4:$H$1201,Tabla213[[#Headers],[Macrophomina]], $G$4:$G$1201,Tabla213[[#This Row],[Organo]], $B$4:$B$1201,M256)</f>
        <v>0</v>
      </c>
      <c r="U256">
        <f>COUNTIFS($H$4:$H$1201,Tabla213[[#Headers],[Rhizoctonia]], $G$4:$G$1201,Tabla213[[#This Row],[Organo]], $B$4:$B$1201,M256)</f>
        <v>0</v>
      </c>
      <c r="V256">
        <v>2</v>
      </c>
      <c r="W256">
        <f>COUNTIFS($H$4:$H$1201,Tabla213[[#Headers],[Alternaria]], $G$4:$G$1201,Tabla213[[#This Row],[Organo]], $B$4:$B$1201,M256)</f>
        <v>0</v>
      </c>
      <c r="X256">
        <f>COUNTIFS($H$4:$H$1201,Tabla213[[#Headers],[Botrytis]], $G$4:$G$1201,Tabla213[[#This Row],[Organo]], $B$4:$B$1201,M256)</f>
        <v>0</v>
      </c>
      <c r="Y256">
        <f>COUNTIFS($H$4:$H$1201,Tabla213[[#Headers],[Colletotrichum]], $G$4:$G$1201,Tabla213[[#This Row],[Organo]], $B$4:$B$1201,M256)</f>
        <v>0</v>
      </c>
      <c r="Z256">
        <f>COUNTIFS($H$4:$H$1201,Tabla213[[#Headers],[Aspergillus]], $G$4:$G$1201,Tabla213[[#This Row],[Organo]], $B$4:$B$1201,M256)</f>
        <v>0</v>
      </c>
      <c r="AA256">
        <f>COUNTIFS($H$4:$H$1201,Tabla213[[#Headers],[NO ID]], $G$4:$G$1201,Tabla213[[#This Row],[Organo]], $B$4:$B$1201,M256)</f>
        <v>0</v>
      </c>
      <c r="AB256">
        <f>COUNTIFS($H$4:$H$1201,Tabla213[[#Headers],[Trichoderma]], $G$4:$G$1201,Tabla213[[#This Row],[Organo]], $B$4:$B$1201,M256)</f>
        <v>0</v>
      </c>
      <c r="AC256">
        <f>COUNTIFS($H$4:$H$1201,Tabla213[[#Headers],[Rizophus]], $G$4:$G$1201,Tabla213[[#This Row],[Organo]], $B$4:$B$1201,M256)</f>
        <v>0</v>
      </c>
      <c r="AD256">
        <f>COUNTIFS($H$4:$H$1201,Tabla213[[#Headers],[FALTANTES]], $G$4:$G$1201,Tabla213[[#This Row],[Organo]], $B$4:$B$1201,M256)</f>
        <v>0</v>
      </c>
      <c r="AF256">
        <f t="shared" ref="AF256" si="256">SUM(Q255:AD256)</f>
        <v>4</v>
      </c>
      <c r="AG256">
        <f>COUNTIF($B$5:$B$1201, Tabla213[[#This Row],[Num. Parcela]])</f>
        <v>4</v>
      </c>
      <c r="AH256" t="b">
        <f t="shared" ref="AH256" si="257">IF(AF256=AG256, TRUE)</f>
        <v>1</v>
      </c>
      <c r="AK256">
        <v>96</v>
      </c>
      <c r="AL256" t="s">
        <v>81</v>
      </c>
      <c r="AM256" t="s">
        <v>125</v>
      </c>
      <c r="AN256" t="s">
        <v>476</v>
      </c>
    </row>
    <row r="257" spans="1:40" x14ac:dyDescent="0.2">
      <c r="A257" s="7">
        <v>233</v>
      </c>
      <c r="B257" s="7">
        <v>8.1999999999999993</v>
      </c>
      <c r="C257" s="1" t="str">
        <f t="shared" si="196"/>
        <v>CHAVA MARTINEZ 2</v>
      </c>
      <c r="D257" s="7" t="s">
        <v>108</v>
      </c>
      <c r="E257" s="1" t="str">
        <f t="shared" si="197"/>
        <v>ADELANTO</v>
      </c>
      <c r="F257" s="7">
        <v>2</v>
      </c>
      <c r="G257" s="7" t="s">
        <v>477</v>
      </c>
      <c r="H257" s="7" t="s">
        <v>475</v>
      </c>
      <c r="I257" s="9" t="s">
        <v>475</v>
      </c>
      <c r="J257" s="9">
        <v>233</v>
      </c>
      <c r="K257" s="21" t="s">
        <v>639</v>
      </c>
      <c r="M257">
        <v>97</v>
      </c>
      <c r="N257" t="s">
        <v>82</v>
      </c>
      <c r="O257" t="s">
        <v>126</v>
      </c>
      <c r="P257" t="s">
        <v>476</v>
      </c>
      <c r="Q257">
        <f>COUNTIFS($H$4:$H$1201,Tabla213[[#Headers],[Neopestalotiopsis]], $G$4:$G$1201,Tabla213[[#This Row],[Organo]], $B$4:$B$1201,M257)</f>
        <v>1</v>
      </c>
      <c r="R257">
        <f>COUNTIFS($H$4:$H$1201,Tabla213[[#Headers],[Fusarium]], $G$4:$G$1201,Tabla213[[#This Row],[Organo]], $B$4:$B$1201,M257)</f>
        <v>0</v>
      </c>
      <c r="S257">
        <f>COUNTIFS($H$4:$H$1201,Tabla213[[#Headers],[Cylindrocarpon]], $G$4:$G$1201,Tabla213[[#This Row],[Organo]], $B$4:$B$1201,M257)</f>
        <v>0</v>
      </c>
      <c r="T257">
        <f>COUNTIFS($H$4:$H$1201,Tabla213[[#Headers],[Macrophomina]], $G$4:$G$1201,Tabla213[[#This Row],[Organo]], $B$4:$B$1201,M257)</f>
        <v>0</v>
      </c>
      <c r="U257">
        <f>COUNTIFS($H$4:$H$1201,Tabla213[[#Headers],[Rhizoctonia]], $G$4:$G$1201,Tabla213[[#This Row],[Organo]], $B$4:$B$1201,M257)</f>
        <v>0</v>
      </c>
      <c r="V257">
        <v>0</v>
      </c>
      <c r="W257">
        <f>COUNTIFS($H$4:$H$1201,Tabla213[[#Headers],[Alternaria]], $G$4:$G$1201,Tabla213[[#This Row],[Organo]], $B$4:$B$1201,M257)</f>
        <v>0</v>
      </c>
      <c r="X257">
        <f>COUNTIFS($H$4:$H$1201,Tabla213[[#Headers],[Botrytis]], $G$4:$G$1201,Tabla213[[#This Row],[Organo]], $B$4:$B$1201,M257)</f>
        <v>0</v>
      </c>
      <c r="Y257">
        <f>COUNTIFS($H$4:$H$1201,Tabla213[[#Headers],[Colletotrichum]], $G$4:$G$1201,Tabla213[[#This Row],[Organo]], $B$4:$B$1201,M257)</f>
        <v>0</v>
      </c>
      <c r="Z257">
        <f>COUNTIFS($H$4:$H$1201,Tabla213[[#Headers],[Aspergillus]], $G$4:$G$1201,Tabla213[[#This Row],[Organo]], $B$4:$B$1201,M257)</f>
        <v>0</v>
      </c>
      <c r="AA257">
        <f>COUNTIFS($H$4:$H$1201,Tabla213[[#Headers],[NO ID]], $G$4:$G$1201,Tabla213[[#This Row],[Organo]], $B$4:$B$1201,M257)</f>
        <v>0</v>
      </c>
      <c r="AB257">
        <f>COUNTIFS($H$4:$H$1201,Tabla213[[#Headers],[Trichoderma]], $G$4:$G$1201,Tabla213[[#This Row],[Organo]], $B$4:$B$1201,M257)</f>
        <v>0</v>
      </c>
      <c r="AC257">
        <f>COUNTIFS($H$4:$H$1201,Tabla213[[#Headers],[Rizophus]], $G$4:$G$1201,Tabla213[[#This Row],[Organo]], $B$4:$B$1201,M257)</f>
        <v>0</v>
      </c>
      <c r="AD257">
        <f>COUNTIFS($H$4:$H$1201,Tabla213[[#Headers],[FALTANTES]], $G$4:$G$1201,Tabla213[[#This Row],[Organo]], $B$4:$B$1201,M257)</f>
        <v>0</v>
      </c>
      <c r="AK257">
        <v>97</v>
      </c>
      <c r="AL257" t="s">
        <v>82</v>
      </c>
      <c r="AM257" t="s">
        <v>126</v>
      </c>
      <c r="AN257" t="s">
        <v>477</v>
      </c>
    </row>
    <row r="258" spans="1:40" x14ac:dyDescent="0.2">
      <c r="A258" s="7">
        <v>234</v>
      </c>
      <c r="B258" s="7">
        <v>8.1999999999999993</v>
      </c>
      <c r="C258" s="1" t="str">
        <f t="shared" si="196"/>
        <v>CHAVA MARTINEZ 2</v>
      </c>
      <c r="D258" s="7" t="s">
        <v>108</v>
      </c>
      <c r="E258" s="1" t="str">
        <f t="shared" si="197"/>
        <v>ADELANTO</v>
      </c>
      <c r="F258" s="7">
        <v>2</v>
      </c>
      <c r="G258" s="7" t="s">
        <v>477</v>
      </c>
      <c r="H258" s="7" t="s">
        <v>149</v>
      </c>
      <c r="I258" s="8" t="s">
        <v>478</v>
      </c>
      <c r="J258" s="7">
        <v>234</v>
      </c>
      <c r="K258" s="7"/>
      <c r="M258">
        <v>97</v>
      </c>
      <c r="N258" t="s">
        <v>82</v>
      </c>
      <c r="O258" t="s">
        <v>126</v>
      </c>
      <c r="P258" t="s">
        <v>477</v>
      </c>
      <c r="Q258">
        <f>COUNTIFS($H$4:$H$1201,Tabla213[[#Headers],[Neopestalotiopsis]], $G$4:$G$1201,Tabla213[[#This Row],[Organo]], $B$4:$B$1201,M258)</f>
        <v>0</v>
      </c>
      <c r="R258">
        <f>COUNTIFS($H$4:$H$1201,Tabla213[[#Headers],[Fusarium]], $G$4:$G$1201,Tabla213[[#This Row],[Organo]], $B$4:$B$1201,M258)</f>
        <v>1</v>
      </c>
      <c r="S258">
        <f>COUNTIFS($H$4:$H$1201,Tabla213[[#Headers],[Cylindrocarpon]], $G$4:$G$1201,Tabla213[[#This Row],[Organo]], $B$4:$B$1201,M258)</f>
        <v>0</v>
      </c>
      <c r="T258">
        <f>COUNTIFS($H$4:$H$1201,Tabla213[[#Headers],[Macrophomina]], $G$4:$G$1201,Tabla213[[#This Row],[Organo]], $B$4:$B$1201,M258)</f>
        <v>0</v>
      </c>
      <c r="U258">
        <f>COUNTIFS($H$4:$H$1201,Tabla213[[#Headers],[Rhizoctonia]], $G$4:$G$1201,Tabla213[[#This Row],[Organo]], $B$4:$B$1201,M258)</f>
        <v>2</v>
      </c>
      <c r="V258">
        <v>0</v>
      </c>
      <c r="W258">
        <f>COUNTIFS($H$4:$H$1201,Tabla213[[#Headers],[Alternaria]], $G$4:$G$1201,Tabla213[[#This Row],[Organo]], $B$4:$B$1201,M258)</f>
        <v>0</v>
      </c>
      <c r="X258">
        <f>COUNTIFS($H$4:$H$1201,Tabla213[[#Headers],[Botrytis]], $G$4:$G$1201,Tabla213[[#This Row],[Organo]], $B$4:$B$1201,M258)</f>
        <v>0</v>
      </c>
      <c r="Y258">
        <f>COUNTIFS($H$4:$H$1201,Tabla213[[#Headers],[Colletotrichum]], $G$4:$G$1201,Tabla213[[#This Row],[Organo]], $B$4:$B$1201,M258)</f>
        <v>0</v>
      </c>
      <c r="Z258">
        <f>COUNTIFS($H$4:$H$1201,Tabla213[[#Headers],[Aspergillus]], $G$4:$G$1201,Tabla213[[#This Row],[Organo]], $B$4:$B$1201,M258)</f>
        <v>0</v>
      </c>
      <c r="AA258">
        <f>COUNTIFS($H$4:$H$1201,Tabla213[[#Headers],[NO ID]], $G$4:$G$1201,Tabla213[[#This Row],[Organo]], $B$4:$B$1201,M258)</f>
        <v>1</v>
      </c>
      <c r="AB258">
        <f>COUNTIFS($H$4:$H$1201,Tabla213[[#Headers],[Trichoderma]], $G$4:$G$1201,Tabla213[[#This Row],[Organo]], $B$4:$B$1201,M258)</f>
        <v>0</v>
      </c>
      <c r="AC258">
        <f>COUNTIFS($H$4:$H$1201,Tabla213[[#Headers],[Rizophus]], $G$4:$G$1201,Tabla213[[#This Row],[Organo]], $B$4:$B$1201,M258)</f>
        <v>0</v>
      </c>
      <c r="AD258">
        <f>COUNTIFS($H$4:$H$1201,Tabla213[[#Headers],[FALTANTES]], $G$4:$G$1201,Tabla213[[#This Row],[Organo]], $B$4:$B$1201,M258)</f>
        <v>0</v>
      </c>
      <c r="AF258">
        <f t="shared" ref="AF258" si="258">SUM(Q257:AD258)</f>
        <v>5</v>
      </c>
      <c r="AG258">
        <f>COUNTIF($B$5:$B$1201, Tabla213[[#This Row],[Num. Parcela]])</f>
        <v>5</v>
      </c>
      <c r="AH258" t="b">
        <f t="shared" ref="AH258" si="259">IF(AF258=AG258, TRUE)</f>
        <v>1</v>
      </c>
      <c r="AK258">
        <v>97</v>
      </c>
      <c r="AL258" t="s">
        <v>82</v>
      </c>
      <c r="AM258" t="s">
        <v>126</v>
      </c>
      <c r="AN258" t="s">
        <v>476</v>
      </c>
    </row>
    <row r="259" spans="1:40" x14ac:dyDescent="0.2">
      <c r="A259" s="7">
        <v>235</v>
      </c>
      <c r="B259" s="7">
        <v>8.1999999999999993</v>
      </c>
      <c r="C259" s="1" t="str">
        <f t="shared" si="196"/>
        <v>CHAVA MARTINEZ 2</v>
      </c>
      <c r="D259" s="7" t="s">
        <v>108</v>
      </c>
      <c r="E259" s="1" t="str">
        <f t="shared" si="197"/>
        <v>ADELANTO</v>
      </c>
      <c r="F259" s="7">
        <v>2</v>
      </c>
      <c r="G259" s="7" t="s">
        <v>477</v>
      </c>
      <c r="H259" s="7" t="s">
        <v>485</v>
      </c>
      <c r="I259" s="10" t="s">
        <v>485</v>
      </c>
      <c r="J259" s="10">
        <v>235</v>
      </c>
      <c r="K259" s="7"/>
      <c r="M259">
        <v>98</v>
      </c>
      <c r="N259" t="s">
        <v>83</v>
      </c>
      <c r="O259" t="s">
        <v>126</v>
      </c>
      <c r="P259" t="s">
        <v>476</v>
      </c>
      <c r="Q259">
        <f>COUNTIFS($H$4:$H$1201,Tabla213[[#Headers],[Neopestalotiopsis]], $G$4:$G$1201,Tabla213[[#This Row],[Organo]], $B$4:$B$1201,M259)</f>
        <v>0</v>
      </c>
      <c r="R259">
        <f>COUNTIFS($H$4:$H$1201,Tabla213[[#Headers],[Fusarium]], $G$4:$G$1201,Tabla213[[#This Row],[Organo]], $B$4:$B$1201,M259)</f>
        <v>0</v>
      </c>
      <c r="S259">
        <f>COUNTIFS($H$4:$H$1201,Tabla213[[#Headers],[Cylindrocarpon]], $G$4:$G$1201,Tabla213[[#This Row],[Organo]], $B$4:$B$1201,M259)</f>
        <v>0</v>
      </c>
      <c r="T259">
        <f>COUNTIFS($H$4:$H$1201,Tabla213[[#Headers],[Macrophomina]], $G$4:$G$1201,Tabla213[[#This Row],[Organo]], $B$4:$B$1201,M259)</f>
        <v>0</v>
      </c>
      <c r="U259">
        <f>COUNTIFS($H$4:$H$1201,Tabla213[[#Headers],[Rhizoctonia]], $G$4:$G$1201,Tabla213[[#This Row],[Organo]], $B$4:$B$1201,M259)</f>
        <v>0</v>
      </c>
      <c r="V259">
        <v>0</v>
      </c>
      <c r="W259">
        <f>COUNTIFS($H$4:$H$1201,Tabla213[[#Headers],[Alternaria]], $G$4:$G$1201,Tabla213[[#This Row],[Organo]], $B$4:$B$1201,M259)</f>
        <v>0</v>
      </c>
      <c r="X259">
        <f>COUNTIFS($H$4:$H$1201,Tabla213[[#Headers],[Botrytis]], $G$4:$G$1201,Tabla213[[#This Row],[Organo]], $B$4:$B$1201,M259)</f>
        <v>0</v>
      </c>
      <c r="Y259">
        <f>COUNTIFS($H$4:$H$1201,Tabla213[[#Headers],[Colletotrichum]], $G$4:$G$1201,Tabla213[[#This Row],[Organo]], $B$4:$B$1201,M259)</f>
        <v>0</v>
      </c>
      <c r="Z259">
        <f>COUNTIFS($H$4:$H$1201,Tabla213[[#Headers],[Aspergillus]], $G$4:$G$1201,Tabla213[[#This Row],[Organo]], $B$4:$B$1201,M259)</f>
        <v>0</v>
      </c>
      <c r="AA259">
        <f>COUNTIFS($H$4:$H$1201,Tabla213[[#Headers],[NO ID]], $G$4:$G$1201,Tabla213[[#This Row],[Organo]], $B$4:$B$1201,M259)</f>
        <v>0</v>
      </c>
      <c r="AB259">
        <f>COUNTIFS($H$4:$H$1201,Tabla213[[#Headers],[Trichoderma]], $G$4:$G$1201,Tabla213[[#This Row],[Organo]], $B$4:$B$1201,M259)</f>
        <v>0</v>
      </c>
      <c r="AC259">
        <f>COUNTIFS($H$4:$H$1201,Tabla213[[#Headers],[Rizophus]], $G$4:$G$1201,Tabla213[[#This Row],[Organo]], $B$4:$B$1201,M259)</f>
        <v>0</v>
      </c>
      <c r="AD259">
        <f>COUNTIFS($H$4:$H$1201,Tabla213[[#Headers],[FALTANTES]], $G$4:$G$1201,Tabla213[[#This Row],[Organo]], $B$4:$B$1201,M259)</f>
        <v>0</v>
      </c>
      <c r="AK259">
        <v>98</v>
      </c>
      <c r="AL259" t="s">
        <v>83</v>
      </c>
      <c r="AM259" t="s">
        <v>126</v>
      </c>
      <c r="AN259" t="s">
        <v>477</v>
      </c>
    </row>
    <row r="260" spans="1:40" x14ac:dyDescent="0.2">
      <c r="A260" s="7">
        <v>236</v>
      </c>
      <c r="B260" s="7">
        <v>8.1999999999999993</v>
      </c>
      <c r="C260" s="1" t="str">
        <f t="shared" si="196"/>
        <v>CHAVA MARTINEZ 2</v>
      </c>
      <c r="D260" s="7" t="s">
        <v>108</v>
      </c>
      <c r="E260" s="1" t="str">
        <f t="shared" si="197"/>
        <v>ADELANTO</v>
      </c>
      <c r="F260" s="7">
        <v>2</v>
      </c>
      <c r="G260" s="7" t="s">
        <v>477</v>
      </c>
      <c r="H260" s="7" t="s">
        <v>149</v>
      </c>
      <c r="I260" s="7" t="s">
        <v>484</v>
      </c>
      <c r="J260" s="7">
        <v>236</v>
      </c>
      <c r="K260" s="19" t="s">
        <v>638</v>
      </c>
      <c r="L260">
        <v>1</v>
      </c>
      <c r="M260">
        <v>98</v>
      </c>
      <c r="N260" t="s">
        <v>83</v>
      </c>
      <c r="O260" t="s">
        <v>126</v>
      </c>
      <c r="P260" t="s">
        <v>477</v>
      </c>
      <c r="Q260">
        <f>COUNTIFS($H$4:$H$1201,Tabla213[[#Headers],[Neopestalotiopsis]], $G$4:$G$1201,Tabla213[[#This Row],[Organo]], $B$4:$B$1201,M260)</f>
        <v>0</v>
      </c>
      <c r="R260">
        <f>COUNTIFS($H$4:$H$1201,Tabla213[[#Headers],[Fusarium]], $G$4:$G$1201,Tabla213[[#This Row],[Organo]], $B$4:$B$1201,M260)</f>
        <v>1</v>
      </c>
      <c r="S260">
        <f>COUNTIFS($H$4:$H$1201,Tabla213[[#Headers],[Cylindrocarpon]], $G$4:$G$1201,Tabla213[[#This Row],[Organo]], $B$4:$B$1201,M260)</f>
        <v>1</v>
      </c>
      <c r="T260">
        <f>COUNTIFS($H$4:$H$1201,Tabla213[[#Headers],[Macrophomina]], $G$4:$G$1201,Tabla213[[#This Row],[Organo]], $B$4:$B$1201,M260)</f>
        <v>0</v>
      </c>
      <c r="U260">
        <f>COUNTIFS($H$4:$H$1201,Tabla213[[#Headers],[Rhizoctonia]], $G$4:$G$1201,Tabla213[[#This Row],[Organo]], $B$4:$B$1201,M260)</f>
        <v>1</v>
      </c>
      <c r="V260">
        <v>0</v>
      </c>
      <c r="W260">
        <f>COUNTIFS($H$4:$H$1201,Tabla213[[#Headers],[Alternaria]], $G$4:$G$1201,Tabla213[[#This Row],[Organo]], $B$4:$B$1201,M260)</f>
        <v>0</v>
      </c>
      <c r="X260">
        <f>COUNTIFS($H$4:$H$1201,Tabla213[[#Headers],[Botrytis]], $G$4:$G$1201,Tabla213[[#This Row],[Organo]], $B$4:$B$1201,M260)</f>
        <v>0</v>
      </c>
      <c r="Y260">
        <f>COUNTIFS($H$4:$H$1201,Tabla213[[#Headers],[Colletotrichum]], $G$4:$G$1201,Tabla213[[#This Row],[Organo]], $B$4:$B$1201,M260)</f>
        <v>0</v>
      </c>
      <c r="Z260">
        <f>COUNTIFS($H$4:$H$1201,Tabla213[[#Headers],[Aspergillus]], $G$4:$G$1201,Tabla213[[#This Row],[Organo]], $B$4:$B$1201,M260)</f>
        <v>0</v>
      </c>
      <c r="AA260">
        <f>COUNTIFS($H$4:$H$1201,Tabla213[[#Headers],[NO ID]], $G$4:$G$1201,Tabla213[[#This Row],[Organo]], $B$4:$B$1201,M260)</f>
        <v>0</v>
      </c>
      <c r="AB260">
        <f>COUNTIFS($H$4:$H$1201,Tabla213[[#Headers],[Trichoderma]], $G$4:$G$1201,Tabla213[[#This Row],[Organo]], $B$4:$B$1201,M260)</f>
        <v>0</v>
      </c>
      <c r="AC260">
        <f>COUNTIFS($H$4:$H$1201,Tabla213[[#Headers],[Rizophus]], $G$4:$G$1201,Tabla213[[#This Row],[Organo]], $B$4:$B$1201,M260)</f>
        <v>0</v>
      </c>
      <c r="AD260">
        <f>COUNTIFS($H$4:$H$1201,Tabla213[[#Headers],[FALTANTES]], $G$4:$G$1201,Tabla213[[#This Row],[Organo]], $B$4:$B$1201,M260)</f>
        <v>0</v>
      </c>
      <c r="AF260">
        <f t="shared" ref="AF260" si="260">SUM(Q259:AD260)</f>
        <v>3</v>
      </c>
      <c r="AG260">
        <f>COUNTIF($B$5:$B$1201, Tabla213[[#This Row],[Num. Parcela]])</f>
        <v>3</v>
      </c>
      <c r="AH260" t="b">
        <f t="shared" ref="AH260" si="261">IF(AF260=AG260, TRUE)</f>
        <v>1</v>
      </c>
      <c r="AK260">
        <v>98</v>
      </c>
      <c r="AL260" t="s">
        <v>83</v>
      </c>
      <c r="AM260" t="s">
        <v>126</v>
      </c>
      <c r="AN260" t="s">
        <v>476</v>
      </c>
    </row>
    <row r="261" spans="1:40" x14ac:dyDescent="0.2">
      <c r="A261" s="7">
        <v>237</v>
      </c>
      <c r="B261" s="7">
        <v>8.1999999999999993</v>
      </c>
      <c r="C261" s="1" t="str">
        <f t="shared" ref="C261:C324" si="262">IF(B261=1.1,"EL PEJO 1",IF(B261=1.2,"EL PEJO 2",IF(B261=1.3,"EL PEJO 3",IF(B261=1.4,"EL PEJO 4",IF(B261=2,"LA MAGUELLERA",IF(B261=3,"RANCHO ALVAREZ",IF(B261=4.1,"CANINDO 2",IF(B261=4.2,"CANINDO 3",IF(B261=4.3,"CANINDO 1",IF(B261=5.1,"CIRILLO 2",IF(B261=5.2,"CIRILLO 1",IF(B261=6,"PANTANO MEDIO",IF(B261=7,"PANTABAJO",IF(B261=8.1,"CHAVA MARTINEZ 1",IF(B261=8.2,"CHAVA MARTINEZ 2",IF(B261=9.1,"TIERRA DE POLLO 1",IF(B261=9.2,"TIERRA DE POLLO 2",IF(B261=10,"TIERRA DE GARCIA",IF(B261=11,"LA GALERA 1",IF(B261=12,"GALERA 2",IF(B261=13,"GALERA 3",IF(B261=14.1,"EL TRIANGULO 1",IF(B261=14.2,"EL TRIANGULO 2",IF(B261=15.1,"LA CRUZ 1",IF(B261=15.2,"LA CRUZ 2",IF(B261=16.1,"LUIS ROMERO 1",IF(B261=16.2,"LUIS ROMERO 2",IF(B261=17,"MAURILIO 1",IF(B261=18,"HUGO NAVARRO 1",)))))))))))))))))))))))))))))</f>
        <v>CHAVA MARTINEZ 2</v>
      </c>
      <c r="D261" s="7" t="s">
        <v>108</v>
      </c>
      <c r="E261" s="1" t="str">
        <f t="shared" ref="E261:E324" si="263">IF(B261=1.1,"SENSATION",IF(B261=1.2,"VICTOR",IF(B261=1.3,"SANTA MARIA",IF(B261=1.4,"WARRIOR",IF(B261=2,"SAYULA",IF(B261=3,"SAYULA",IF(B261=4.1,"SAYULA",IF(B261=4.2,"SANTA MARIA",IF(B261=4.3,"NIÑA",IF(B261=5.1,"SAYULA",IF(B261=5.2,"SENSATION",IF(B261=6,"FORTUNA",IF(B261=7,"SENSATION",IF(B261=8.1,"FORTUNA",IF(B261=8.2,"ADELANTO",IF(B261=9.1,"GIDDINGS",IF(B261=9.2,"SANTA MARIA",IF(B261=10,"FORTUNA",IF(B261=11,"SENSATION",IF(B261=12,"SENSATION",IF(B261=13,"FRONTERA",IF(B261=14.1,"SENSATION",IF(B261=14.2,"CODIGO",IF(B261=15.1,"FRONTERA",IF(B261=15.2,"SAYULA",IF(B261=16.1,"SANTA MARIA &amp; FRONTERA",IF(B261=16.2,"SAYULA",IF(B261=17,"NO DOCUMENTADO",IF(B261=18,"NO DOCUMENTADO",IF(B261=19,"NO DOCUMENTADO"))))))))))))))))))))))))))))))</f>
        <v>ADELANTO</v>
      </c>
      <c r="F261" s="7">
        <v>2</v>
      </c>
      <c r="G261" s="7" t="s">
        <v>477</v>
      </c>
      <c r="H261" s="7" t="s">
        <v>471</v>
      </c>
      <c r="I261" s="7" t="s">
        <v>471</v>
      </c>
      <c r="J261" s="7">
        <v>237</v>
      </c>
      <c r="K261" s="19" t="s">
        <v>638</v>
      </c>
      <c r="M261">
        <v>99</v>
      </c>
      <c r="N261" t="s">
        <v>711</v>
      </c>
      <c r="O261" t="s">
        <v>126</v>
      </c>
      <c r="P261" t="s">
        <v>476</v>
      </c>
      <c r="Q261">
        <f>COUNTIFS($H$4:$H$1201,Tabla213[[#Headers],[Neopestalotiopsis]], $G$4:$G$1201,Tabla213[[#This Row],[Organo]], $B$4:$B$1201,M261)</f>
        <v>6</v>
      </c>
      <c r="R261">
        <f>COUNTIFS($H$4:$H$1201,Tabla213[[#Headers],[Fusarium]], $G$4:$G$1201,Tabla213[[#This Row],[Organo]], $B$4:$B$1201,M261)</f>
        <v>0</v>
      </c>
      <c r="S261">
        <f>COUNTIFS($H$4:$H$1201,Tabla213[[#Headers],[Cylindrocarpon]], $G$4:$G$1201,Tabla213[[#This Row],[Organo]], $B$4:$B$1201,M261)</f>
        <v>0</v>
      </c>
      <c r="T261">
        <f>COUNTIFS($H$4:$H$1201,Tabla213[[#Headers],[Macrophomina]], $G$4:$G$1201,Tabla213[[#This Row],[Organo]], $B$4:$B$1201,M261)</f>
        <v>0</v>
      </c>
      <c r="U261">
        <f>COUNTIFS($H$4:$H$1201,Tabla213[[#Headers],[Rhizoctonia]], $G$4:$G$1201,Tabla213[[#This Row],[Organo]], $B$4:$B$1201,M261)</f>
        <v>1</v>
      </c>
      <c r="V261">
        <v>0</v>
      </c>
      <c r="W261">
        <f>COUNTIFS($H$4:$H$1201,Tabla213[[#Headers],[Alternaria]], $G$4:$G$1201,Tabla213[[#This Row],[Organo]], $B$4:$B$1201,M261)</f>
        <v>0</v>
      </c>
      <c r="X261">
        <f>COUNTIFS($H$4:$H$1201,Tabla213[[#Headers],[Botrytis]], $G$4:$G$1201,Tabla213[[#This Row],[Organo]], $B$4:$B$1201,M261)</f>
        <v>0</v>
      </c>
      <c r="Y261">
        <f>COUNTIFS($H$4:$H$1201,Tabla213[[#Headers],[Colletotrichum]], $G$4:$G$1201,Tabla213[[#This Row],[Organo]], $B$4:$B$1201,M261)</f>
        <v>0</v>
      </c>
      <c r="Z261">
        <f>COUNTIFS($H$4:$H$1201,Tabla213[[#Headers],[Aspergillus]], $G$4:$G$1201,Tabla213[[#This Row],[Organo]], $B$4:$B$1201,M261)</f>
        <v>0</v>
      </c>
      <c r="AA261">
        <f>COUNTIFS($H$4:$H$1201,Tabla213[[#Headers],[NO ID]], $G$4:$G$1201,Tabla213[[#This Row],[Organo]], $B$4:$B$1201,M261)</f>
        <v>0</v>
      </c>
      <c r="AB261">
        <f>COUNTIFS($H$4:$H$1201,Tabla213[[#Headers],[Trichoderma]], $G$4:$G$1201,Tabla213[[#This Row],[Organo]], $B$4:$B$1201,M261)</f>
        <v>0</v>
      </c>
      <c r="AC261">
        <f>COUNTIFS($H$4:$H$1201,Tabla213[[#Headers],[Rizophus]], $G$4:$G$1201,Tabla213[[#This Row],[Organo]], $B$4:$B$1201,M261)</f>
        <v>0</v>
      </c>
      <c r="AD261">
        <f>COUNTIFS($H$4:$H$1201,Tabla213[[#Headers],[FALTANTES]], $G$4:$G$1201,Tabla213[[#This Row],[Organo]], $B$4:$B$1201,M261)</f>
        <v>0</v>
      </c>
      <c r="AK261">
        <v>99</v>
      </c>
      <c r="AL261" t="s">
        <v>84</v>
      </c>
      <c r="AM261" t="s">
        <v>126</v>
      </c>
      <c r="AN261" t="s">
        <v>477</v>
      </c>
    </row>
    <row r="262" spans="1:40" x14ac:dyDescent="0.2">
      <c r="A262" s="7">
        <v>238</v>
      </c>
      <c r="B262" s="7">
        <v>8.1999999999999993</v>
      </c>
      <c r="C262" s="1" t="str">
        <f t="shared" si="262"/>
        <v>CHAVA MARTINEZ 2</v>
      </c>
      <c r="D262" s="7" t="s">
        <v>108</v>
      </c>
      <c r="E262" s="1" t="str">
        <f t="shared" si="263"/>
        <v>ADELANTO</v>
      </c>
      <c r="F262" s="7">
        <v>2</v>
      </c>
      <c r="G262" s="7" t="s">
        <v>477</v>
      </c>
      <c r="H262" s="7" t="s">
        <v>471</v>
      </c>
      <c r="I262" s="7" t="s">
        <v>471</v>
      </c>
      <c r="J262" s="7">
        <v>238</v>
      </c>
      <c r="K262" s="7"/>
      <c r="M262">
        <v>99</v>
      </c>
      <c r="N262" t="s">
        <v>711</v>
      </c>
      <c r="O262" t="s">
        <v>126</v>
      </c>
      <c r="P262" t="s">
        <v>477</v>
      </c>
      <c r="Q262">
        <f>COUNTIFS($H$4:$H$1201,Tabla213[[#Headers],[Neopestalotiopsis]], $G$4:$G$1201,Tabla213[[#This Row],[Organo]], $B$4:$B$1201,M262)</f>
        <v>3</v>
      </c>
      <c r="R262">
        <f>COUNTIFS($H$4:$H$1201,Tabla213[[#Headers],[Fusarium]], $G$4:$G$1201,Tabla213[[#This Row],[Organo]], $B$4:$B$1201,M262)</f>
        <v>7</v>
      </c>
      <c r="S262">
        <f>COUNTIFS($H$4:$H$1201,Tabla213[[#Headers],[Cylindrocarpon]], $G$4:$G$1201,Tabla213[[#This Row],[Organo]], $B$4:$B$1201,M262)</f>
        <v>0</v>
      </c>
      <c r="T262">
        <f>COUNTIFS($H$4:$H$1201,Tabla213[[#Headers],[Macrophomina]], $G$4:$G$1201,Tabla213[[#This Row],[Organo]], $B$4:$B$1201,M262)</f>
        <v>1</v>
      </c>
      <c r="U262">
        <f>COUNTIFS($H$4:$H$1201,Tabla213[[#Headers],[Rhizoctonia]], $G$4:$G$1201,Tabla213[[#This Row],[Organo]], $B$4:$B$1201,M262)</f>
        <v>4</v>
      </c>
      <c r="V262">
        <v>1</v>
      </c>
      <c r="W262">
        <f>COUNTIFS($H$4:$H$1201,Tabla213[[#Headers],[Alternaria]], $G$4:$G$1201,Tabla213[[#This Row],[Organo]], $B$4:$B$1201,M262)</f>
        <v>0</v>
      </c>
      <c r="X262">
        <f>COUNTIFS($H$4:$H$1201,Tabla213[[#Headers],[Botrytis]], $G$4:$G$1201,Tabla213[[#This Row],[Organo]], $B$4:$B$1201,M262)</f>
        <v>0</v>
      </c>
      <c r="Y262">
        <f>COUNTIFS($H$4:$H$1201,Tabla213[[#Headers],[Colletotrichum]], $G$4:$G$1201,Tabla213[[#This Row],[Organo]], $B$4:$B$1201,M262)</f>
        <v>0</v>
      </c>
      <c r="Z262">
        <f>COUNTIFS($H$4:$H$1201,Tabla213[[#Headers],[Aspergillus]], $G$4:$G$1201,Tabla213[[#This Row],[Organo]], $B$4:$B$1201,M262)</f>
        <v>0</v>
      </c>
      <c r="AA262">
        <f>COUNTIFS($H$4:$H$1201,Tabla213[[#Headers],[NO ID]], $G$4:$G$1201,Tabla213[[#This Row],[Organo]], $B$4:$B$1201,M262)</f>
        <v>0</v>
      </c>
      <c r="AB262">
        <f>COUNTIFS($H$4:$H$1201,Tabla213[[#Headers],[Trichoderma]], $G$4:$G$1201,Tabla213[[#This Row],[Organo]], $B$4:$B$1201,M262)</f>
        <v>0</v>
      </c>
      <c r="AC262">
        <f>COUNTIFS($H$4:$H$1201,Tabla213[[#Headers],[Rizophus]], $G$4:$G$1201,Tabla213[[#This Row],[Organo]], $B$4:$B$1201,M262)</f>
        <v>0</v>
      </c>
      <c r="AD262">
        <f>COUNTIFS($H$4:$H$1201,Tabla213[[#Headers],[FALTANTES]], $G$4:$G$1201,Tabla213[[#This Row],[Organo]], $B$4:$B$1201,M262)</f>
        <v>0</v>
      </c>
      <c r="AF262">
        <f t="shared" ref="AF262" si="264">SUM(Q261:AD262)</f>
        <v>23</v>
      </c>
      <c r="AG262">
        <f>COUNTIF($B$5:$B$1201, Tabla213[[#This Row],[Num. Parcela]])</f>
        <v>23</v>
      </c>
      <c r="AH262" t="b">
        <f t="shared" ref="AH262" si="265">IF(AF262=AG262, TRUE)</f>
        <v>1</v>
      </c>
      <c r="AK262">
        <v>99</v>
      </c>
      <c r="AL262" t="s">
        <v>84</v>
      </c>
      <c r="AM262" t="s">
        <v>126</v>
      </c>
      <c r="AN262" t="s">
        <v>476</v>
      </c>
    </row>
    <row r="263" spans="1:40" x14ac:dyDescent="0.2">
      <c r="A263" s="7">
        <v>313</v>
      </c>
      <c r="B263" s="7">
        <v>9.1</v>
      </c>
      <c r="C263" s="1" t="str">
        <f t="shared" si="262"/>
        <v>TIERRA DE POLLO 1</v>
      </c>
      <c r="D263" s="7" t="s">
        <v>108</v>
      </c>
      <c r="E263" s="1" t="str">
        <f t="shared" si="263"/>
        <v>GIDDINGS</v>
      </c>
      <c r="F263" s="7">
        <v>1</v>
      </c>
      <c r="G263" s="7" t="s">
        <v>476</v>
      </c>
      <c r="H263" s="7" t="s">
        <v>155</v>
      </c>
      <c r="I263" s="7" t="s">
        <v>155</v>
      </c>
      <c r="J263" s="7">
        <v>313</v>
      </c>
      <c r="K263" s="23" t="s">
        <v>638</v>
      </c>
      <c r="M263">
        <v>100</v>
      </c>
      <c r="N263" t="s">
        <v>85</v>
      </c>
      <c r="O263" t="s">
        <v>126</v>
      </c>
      <c r="P263" t="s">
        <v>476</v>
      </c>
      <c r="Q263">
        <f>COUNTIFS($H$4:$H$1201,Tabla213[[#Headers],[Neopestalotiopsis]], $G$4:$G$1201,Tabla213[[#This Row],[Organo]], $B$4:$B$1201,M263)</f>
        <v>0</v>
      </c>
      <c r="R263">
        <f>COUNTIFS($H$4:$H$1201,Tabla213[[#Headers],[Fusarium]], $G$4:$G$1201,Tabla213[[#This Row],[Organo]], $B$4:$B$1201,M263)</f>
        <v>0</v>
      </c>
      <c r="S263">
        <f>COUNTIFS($H$4:$H$1201,Tabla213[[#Headers],[Cylindrocarpon]], $G$4:$G$1201,Tabla213[[#This Row],[Organo]], $B$4:$B$1201,M263)</f>
        <v>0</v>
      </c>
      <c r="T263">
        <f>COUNTIFS($H$4:$H$1201,Tabla213[[#Headers],[Macrophomina]], $G$4:$G$1201,Tabla213[[#This Row],[Organo]], $B$4:$B$1201,M263)</f>
        <v>1</v>
      </c>
      <c r="U263">
        <f>COUNTIFS($H$4:$H$1201,Tabla213[[#Headers],[Rhizoctonia]], $G$4:$G$1201,Tabla213[[#This Row],[Organo]], $B$4:$B$1201,M263)</f>
        <v>0</v>
      </c>
      <c r="V263">
        <v>1</v>
      </c>
      <c r="W263">
        <f>COUNTIFS($H$4:$H$1201,Tabla213[[#Headers],[Alternaria]], $G$4:$G$1201,Tabla213[[#This Row],[Organo]], $B$4:$B$1201,M263)</f>
        <v>0</v>
      </c>
      <c r="X263">
        <f>COUNTIFS($H$4:$H$1201,Tabla213[[#Headers],[Botrytis]], $G$4:$G$1201,Tabla213[[#This Row],[Organo]], $B$4:$B$1201,M263)</f>
        <v>0</v>
      </c>
      <c r="Y263">
        <f>COUNTIFS($H$4:$H$1201,Tabla213[[#Headers],[Colletotrichum]], $G$4:$G$1201,Tabla213[[#This Row],[Organo]], $B$4:$B$1201,M263)</f>
        <v>0</v>
      </c>
      <c r="Z263">
        <f>COUNTIFS($H$4:$H$1201,Tabla213[[#Headers],[Aspergillus]], $G$4:$G$1201,Tabla213[[#This Row],[Organo]], $B$4:$B$1201,M263)</f>
        <v>0</v>
      </c>
      <c r="AA263">
        <f>COUNTIFS($H$4:$H$1201,Tabla213[[#Headers],[NO ID]], $G$4:$G$1201,Tabla213[[#This Row],[Organo]], $B$4:$B$1201,M263)</f>
        <v>0</v>
      </c>
      <c r="AB263">
        <f>COUNTIFS($H$4:$H$1201,Tabla213[[#Headers],[Trichoderma]], $G$4:$G$1201,Tabla213[[#This Row],[Organo]], $B$4:$B$1201,M263)</f>
        <v>0</v>
      </c>
      <c r="AC263">
        <f>COUNTIFS($H$4:$H$1201,Tabla213[[#Headers],[Rizophus]], $G$4:$G$1201,Tabla213[[#This Row],[Organo]], $B$4:$B$1201,M263)</f>
        <v>0</v>
      </c>
      <c r="AD263">
        <f>COUNTIFS($H$4:$H$1201,Tabla213[[#Headers],[FALTANTES]], $G$4:$G$1201,Tabla213[[#This Row],[Organo]], $B$4:$B$1201,M263)</f>
        <v>0</v>
      </c>
      <c r="AK263">
        <v>100</v>
      </c>
      <c r="AL263" t="s">
        <v>85</v>
      </c>
      <c r="AM263" t="s">
        <v>126</v>
      </c>
      <c r="AN263" t="s">
        <v>477</v>
      </c>
    </row>
    <row r="264" spans="1:40" x14ac:dyDescent="0.2">
      <c r="A264" s="7">
        <v>314</v>
      </c>
      <c r="B264" s="7">
        <v>9.1</v>
      </c>
      <c r="C264" s="1" t="str">
        <f t="shared" si="262"/>
        <v>TIERRA DE POLLO 1</v>
      </c>
      <c r="D264" s="7" t="s">
        <v>108</v>
      </c>
      <c r="E264" s="1" t="str">
        <f t="shared" si="263"/>
        <v>GIDDINGS</v>
      </c>
      <c r="F264" s="7">
        <v>1</v>
      </c>
      <c r="G264" s="7" t="s">
        <v>476</v>
      </c>
      <c r="H264" s="7" t="s">
        <v>228</v>
      </c>
      <c r="I264" s="9" t="s">
        <v>487</v>
      </c>
      <c r="J264" s="9">
        <v>314</v>
      </c>
      <c r="K264" s="7"/>
      <c r="M264">
        <v>100</v>
      </c>
      <c r="N264" t="s">
        <v>85</v>
      </c>
      <c r="O264" t="s">
        <v>126</v>
      </c>
      <c r="P264" t="s">
        <v>477</v>
      </c>
      <c r="Q264">
        <f>COUNTIFS($H$4:$H$1201,Tabla213[[#Headers],[Neopestalotiopsis]], $G$4:$G$1201,Tabla213[[#This Row],[Organo]], $B$4:$B$1201,M264)</f>
        <v>1</v>
      </c>
      <c r="R264">
        <f>COUNTIFS($H$4:$H$1201,Tabla213[[#Headers],[Fusarium]], $G$4:$G$1201,Tabla213[[#This Row],[Organo]], $B$4:$B$1201,M264)</f>
        <v>3</v>
      </c>
      <c r="S264">
        <f>COUNTIFS($H$4:$H$1201,Tabla213[[#Headers],[Cylindrocarpon]], $G$4:$G$1201,Tabla213[[#This Row],[Organo]], $B$4:$B$1201,M264)</f>
        <v>2</v>
      </c>
      <c r="T264">
        <f>COUNTIFS($H$4:$H$1201,Tabla213[[#Headers],[Macrophomina]], $G$4:$G$1201,Tabla213[[#This Row],[Organo]], $B$4:$B$1201,M264)</f>
        <v>0</v>
      </c>
      <c r="U264">
        <f>COUNTIFS($H$4:$H$1201,Tabla213[[#Headers],[Rhizoctonia]], $G$4:$G$1201,Tabla213[[#This Row],[Organo]], $B$4:$B$1201,M264)</f>
        <v>0</v>
      </c>
      <c r="V264">
        <v>0</v>
      </c>
      <c r="W264">
        <f>COUNTIFS($H$4:$H$1201,Tabla213[[#Headers],[Alternaria]], $G$4:$G$1201,Tabla213[[#This Row],[Organo]], $B$4:$B$1201,M264)</f>
        <v>1</v>
      </c>
      <c r="X264">
        <f>COUNTIFS($H$4:$H$1201,Tabla213[[#Headers],[Botrytis]], $G$4:$G$1201,Tabla213[[#This Row],[Organo]], $B$4:$B$1201,M264)</f>
        <v>0</v>
      </c>
      <c r="Y264">
        <f>COUNTIFS($H$4:$H$1201,Tabla213[[#Headers],[Colletotrichum]], $G$4:$G$1201,Tabla213[[#This Row],[Organo]], $B$4:$B$1201,M264)</f>
        <v>0</v>
      </c>
      <c r="Z264">
        <f>COUNTIFS($H$4:$H$1201,Tabla213[[#Headers],[Aspergillus]], $G$4:$G$1201,Tabla213[[#This Row],[Organo]], $B$4:$B$1201,M264)</f>
        <v>0</v>
      </c>
      <c r="AA264">
        <f>COUNTIFS($H$4:$H$1201,Tabla213[[#Headers],[NO ID]], $G$4:$G$1201,Tabla213[[#This Row],[Organo]], $B$4:$B$1201,M264)</f>
        <v>1</v>
      </c>
      <c r="AB264">
        <f>COUNTIFS($H$4:$H$1201,Tabla213[[#Headers],[Trichoderma]], $G$4:$G$1201,Tabla213[[#This Row],[Organo]], $B$4:$B$1201,M264)</f>
        <v>0</v>
      </c>
      <c r="AC264">
        <f>COUNTIFS($H$4:$H$1201,Tabla213[[#Headers],[Rizophus]], $G$4:$G$1201,Tabla213[[#This Row],[Organo]], $B$4:$B$1201,M264)</f>
        <v>0</v>
      </c>
      <c r="AD264">
        <f>COUNTIFS($H$4:$H$1201,Tabla213[[#Headers],[FALTANTES]], $G$4:$G$1201,Tabla213[[#This Row],[Organo]], $B$4:$B$1201,M264)</f>
        <v>0</v>
      </c>
      <c r="AF264">
        <f t="shared" ref="AF264" si="266">SUM(Q263:AD264)</f>
        <v>10</v>
      </c>
      <c r="AG264">
        <f>COUNTIF($B$5:$B$1201, Tabla213[[#This Row],[Num. Parcela]])</f>
        <v>10</v>
      </c>
      <c r="AH264" t="b">
        <f t="shared" ref="AH264" si="267">IF(AF264=AG264, TRUE)</f>
        <v>1</v>
      </c>
      <c r="AK264">
        <v>100</v>
      </c>
      <c r="AL264" t="s">
        <v>85</v>
      </c>
      <c r="AM264" t="s">
        <v>126</v>
      </c>
      <c r="AN264" t="s">
        <v>476</v>
      </c>
    </row>
    <row r="265" spans="1:40" x14ac:dyDescent="0.2">
      <c r="A265" s="7">
        <v>315</v>
      </c>
      <c r="B265" s="7">
        <v>9.1</v>
      </c>
      <c r="C265" s="1" t="str">
        <f t="shared" si="262"/>
        <v>TIERRA DE POLLO 1</v>
      </c>
      <c r="D265" s="7" t="s">
        <v>108</v>
      </c>
      <c r="E265" s="1" t="str">
        <f t="shared" si="263"/>
        <v>GIDDINGS</v>
      </c>
      <c r="F265" s="7">
        <v>2</v>
      </c>
      <c r="G265" s="7" t="s">
        <v>476</v>
      </c>
      <c r="H265" s="7" t="s">
        <v>155</v>
      </c>
      <c r="I265" s="7" t="s">
        <v>155</v>
      </c>
      <c r="J265" s="7">
        <v>315</v>
      </c>
      <c r="K265" s="7"/>
      <c r="M265">
        <v>101</v>
      </c>
      <c r="N265" t="s">
        <v>86</v>
      </c>
      <c r="O265" t="s">
        <v>126</v>
      </c>
      <c r="P265" t="s">
        <v>476</v>
      </c>
      <c r="Q265">
        <f>COUNTIFS($H$4:$H$1201,Tabla213[[#Headers],[Neopestalotiopsis]], $G$4:$G$1201,Tabla213[[#This Row],[Organo]], $B$4:$B$1201,M265)</f>
        <v>0</v>
      </c>
      <c r="R265">
        <f>COUNTIFS($H$4:$H$1201,Tabla213[[#Headers],[Fusarium]], $G$4:$G$1201,Tabla213[[#This Row],[Organo]], $B$4:$B$1201,M265)</f>
        <v>0</v>
      </c>
      <c r="S265">
        <f>COUNTIFS($H$4:$H$1201,Tabla213[[#Headers],[Cylindrocarpon]], $G$4:$G$1201,Tabla213[[#This Row],[Organo]], $B$4:$B$1201,M265)</f>
        <v>0</v>
      </c>
      <c r="T265">
        <f>COUNTIFS($H$4:$H$1201,Tabla213[[#Headers],[Macrophomina]], $G$4:$G$1201,Tabla213[[#This Row],[Organo]], $B$4:$B$1201,M265)</f>
        <v>0</v>
      </c>
      <c r="U265">
        <f>COUNTIFS($H$4:$H$1201,Tabla213[[#Headers],[Rhizoctonia]], $G$4:$G$1201,Tabla213[[#This Row],[Organo]], $B$4:$B$1201,M265)</f>
        <v>0</v>
      </c>
      <c r="V265">
        <v>1</v>
      </c>
      <c r="W265">
        <f>COUNTIFS($H$4:$H$1201,Tabla213[[#Headers],[Alternaria]], $G$4:$G$1201,Tabla213[[#This Row],[Organo]], $B$4:$B$1201,M265)</f>
        <v>0</v>
      </c>
      <c r="X265">
        <f>COUNTIFS($H$4:$H$1201,Tabla213[[#Headers],[Botrytis]], $G$4:$G$1201,Tabla213[[#This Row],[Organo]], $B$4:$B$1201,M265)</f>
        <v>0</v>
      </c>
      <c r="Y265">
        <f>COUNTIFS($H$4:$H$1201,Tabla213[[#Headers],[Colletotrichum]], $G$4:$G$1201,Tabla213[[#This Row],[Organo]], $B$4:$B$1201,M265)</f>
        <v>0</v>
      </c>
      <c r="Z265">
        <f>COUNTIFS($H$4:$H$1201,Tabla213[[#Headers],[Aspergillus]], $G$4:$G$1201,Tabla213[[#This Row],[Organo]], $B$4:$B$1201,M265)</f>
        <v>0</v>
      </c>
      <c r="AA265">
        <f>COUNTIFS($H$4:$H$1201,Tabla213[[#Headers],[NO ID]], $G$4:$G$1201,Tabla213[[#This Row],[Organo]], $B$4:$B$1201,M265)</f>
        <v>1</v>
      </c>
      <c r="AB265">
        <f>COUNTIFS($H$4:$H$1201,Tabla213[[#Headers],[Trichoderma]], $G$4:$G$1201,Tabla213[[#This Row],[Organo]], $B$4:$B$1201,M265)</f>
        <v>0</v>
      </c>
      <c r="AC265">
        <f>COUNTIFS($H$4:$H$1201,Tabla213[[#Headers],[Rizophus]], $G$4:$G$1201,Tabla213[[#This Row],[Organo]], $B$4:$B$1201,M265)</f>
        <v>0</v>
      </c>
      <c r="AD265">
        <f>COUNTIFS($H$4:$H$1201,Tabla213[[#Headers],[FALTANTES]], $G$4:$G$1201,Tabla213[[#This Row],[Organo]], $B$4:$B$1201,M265)</f>
        <v>0</v>
      </c>
      <c r="AK265">
        <v>101</v>
      </c>
      <c r="AL265" t="s">
        <v>86</v>
      </c>
      <c r="AM265" t="s">
        <v>126</v>
      </c>
      <c r="AN265" t="s">
        <v>477</v>
      </c>
    </row>
    <row r="266" spans="1:40" x14ac:dyDescent="0.2">
      <c r="A266" s="7">
        <v>316</v>
      </c>
      <c r="B266" s="7">
        <v>9.1</v>
      </c>
      <c r="C266" s="1" t="str">
        <f t="shared" si="262"/>
        <v>TIERRA DE POLLO 1</v>
      </c>
      <c r="D266" s="7" t="s">
        <v>108</v>
      </c>
      <c r="E266" s="1" t="str">
        <f t="shared" si="263"/>
        <v>GIDDINGS</v>
      </c>
      <c r="F266" s="7">
        <v>2</v>
      </c>
      <c r="G266" s="7" t="s">
        <v>476</v>
      </c>
      <c r="H266" s="7" t="s">
        <v>155</v>
      </c>
      <c r="I266" s="7" t="s">
        <v>155</v>
      </c>
      <c r="J266" s="7">
        <v>316</v>
      </c>
      <c r="K266" s="23" t="s">
        <v>638</v>
      </c>
      <c r="L266">
        <v>1</v>
      </c>
      <c r="M266">
        <v>101</v>
      </c>
      <c r="N266" t="s">
        <v>86</v>
      </c>
      <c r="O266" t="s">
        <v>126</v>
      </c>
      <c r="P266" t="s">
        <v>477</v>
      </c>
      <c r="Q266">
        <f>COUNTIFS($H$4:$H$1201,Tabla213[[#Headers],[Neopestalotiopsis]], $G$4:$G$1201,Tabla213[[#This Row],[Organo]], $B$4:$B$1201,M266)</f>
        <v>0</v>
      </c>
      <c r="R266">
        <f>COUNTIFS($H$4:$H$1201,Tabla213[[#Headers],[Fusarium]], $G$4:$G$1201,Tabla213[[#This Row],[Organo]], $B$4:$B$1201,M266)</f>
        <v>4</v>
      </c>
      <c r="S266">
        <f>COUNTIFS($H$4:$H$1201,Tabla213[[#Headers],[Cylindrocarpon]], $G$4:$G$1201,Tabla213[[#This Row],[Organo]], $B$4:$B$1201,M266)</f>
        <v>0</v>
      </c>
      <c r="T266">
        <f>COUNTIFS($H$4:$H$1201,Tabla213[[#Headers],[Macrophomina]], $G$4:$G$1201,Tabla213[[#This Row],[Organo]], $B$4:$B$1201,M266)</f>
        <v>0</v>
      </c>
      <c r="U266">
        <f>COUNTIFS($H$4:$H$1201,Tabla213[[#Headers],[Rhizoctonia]], $G$4:$G$1201,Tabla213[[#This Row],[Organo]], $B$4:$B$1201,M266)</f>
        <v>0</v>
      </c>
      <c r="V266">
        <v>0</v>
      </c>
      <c r="W266">
        <f>COUNTIFS($H$4:$H$1201,Tabla213[[#Headers],[Alternaria]], $G$4:$G$1201,Tabla213[[#This Row],[Organo]], $B$4:$B$1201,M266)</f>
        <v>2</v>
      </c>
      <c r="X266">
        <f>COUNTIFS($H$4:$H$1201,Tabla213[[#Headers],[Botrytis]], $G$4:$G$1201,Tabla213[[#This Row],[Organo]], $B$4:$B$1201,M266)</f>
        <v>0</v>
      </c>
      <c r="Y266">
        <f>COUNTIFS($H$4:$H$1201,Tabla213[[#Headers],[Colletotrichum]], $G$4:$G$1201,Tabla213[[#This Row],[Organo]], $B$4:$B$1201,M266)</f>
        <v>0</v>
      </c>
      <c r="Z266">
        <f>COUNTIFS($H$4:$H$1201,Tabla213[[#Headers],[Aspergillus]], $G$4:$G$1201,Tabla213[[#This Row],[Organo]], $B$4:$B$1201,M266)</f>
        <v>0</v>
      </c>
      <c r="AA266">
        <f>COUNTIFS($H$4:$H$1201,Tabla213[[#Headers],[NO ID]], $G$4:$G$1201,Tabla213[[#This Row],[Organo]], $B$4:$B$1201,M266)</f>
        <v>0</v>
      </c>
      <c r="AB266">
        <f>COUNTIFS($H$4:$H$1201,Tabla213[[#Headers],[Trichoderma]], $G$4:$G$1201,Tabla213[[#This Row],[Organo]], $B$4:$B$1201,M266)</f>
        <v>0</v>
      </c>
      <c r="AC266">
        <f>COUNTIFS($H$4:$H$1201,Tabla213[[#Headers],[Rizophus]], $G$4:$G$1201,Tabla213[[#This Row],[Organo]], $B$4:$B$1201,M266)</f>
        <v>0</v>
      </c>
      <c r="AD266">
        <f>COUNTIFS($H$4:$H$1201,Tabla213[[#Headers],[FALTANTES]], $G$4:$G$1201,Tabla213[[#This Row],[Organo]], $B$4:$B$1201,M266)</f>
        <v>0</v>
      </c>
      <c r="AF266">
        <f t="shared" ref="AF266" si="268">SUM(Q265:AD266)</f>
        <v>8</v>
      </c>
      <c r="AG266">
        <f>COUNTIF($B$5:$B$1201, Tabla213[[#This Row],[Num. Parcela]])</f>
        <v>8</v>
      </c>
      <c r="AH266" t="b">
        <f t="shared" ref="AH266" si="269">IF(AF266=AG266, TRUE)</f>
        <v>1</v>
      </c>
      <c r="AK266">
        <v>101</v>
      </c>
      <c r="AL266" t="s">
        <v>86</v>
      </c>
      <c r="AM266" t="s">
        <v>126</v>
      </c>
      <c r="AN266" t="s">
        <v>476</v>
      </c>
    </row>
    <row r="267" spans="1:40" x14ac:dyDescent="0.2">
      <c r="A267" s="7">
        <v>317</v>
      </c>
      <c r="B267" s="7">
        <v>9.1</v>
      </c>
      <c r="C267" s="1" t="str">
        <f t="shared" si="262"/>
        <v>TIERRA DE POLLO 1</v>
      </c>
      <c r="D267" s="7" t="s">
        <v>108</v>
      </c>
      <c r="E267" s="1" t="str">
        <f t="shared" si="263"/>
        <v>GIDDINGS</v>
      </c>
      <c r="F267" s="7">
        <v>1</v>
      </c>
      <c r="G267" s="7" t="s">
        <v>477</v>
      </c>
      <c r="H267" s="7" t="s">
        <v>149</v>
      </c>
      <c r="I267" s="7" t="s">
        <v>480</v>
      </c>
      <c r="J267" s="7">
        <v>317</v>
      </c>
      <c r="K267" s="23" t="s">
        <v>638</v>
      </c>
      <c r="M267">
        <v>102</v>
      </c>
      <c r="N267" t="s">
        <v>87</v>
      </c>
      <c r="O267" t="s">
        <v>126</v>
      </c>
      <c r="P267" t="s">
        <v>476</v>
      </c>
      <c r="Q267">
        <f>COUNTIFS($H$4:$H$1201,Tabla213[[#Headers],[Neopestalotiopsis]], $G$4:$G$1201,Tabla213[[#This Row],[Organo]], $B$4:$B$1201,M267)</f>
        <v>4</v>
      </c>
      <c r="R267">
        <f>COUNTIFS($H$4:$H$1201,Tabla213[[#Headers],[Fusarium]], $G$4:$G$1201,Tabla213[[#This Row],[Organo]], $B$4:$B$1201,M267)</f>
        <v>0</v>
      </c>
      <c r="S267">
        <f>COUNTIFS($H$4:$H$1201,Tabla213[[#Headers],[Cylindrocarpon]], $G$4:$G$1201,Tabla213[[#This Row],[Organo]], $B$4:$B$1201,M267)</f>
        <v>0</v>
      </c>
      <c r="T267">
        <f>COUNTIFS($H$4:$H$1201,Tabla213[[#Headers],[Macrophomina]], $G$4:$G$1201,Tabla213[[#This Row],[Organo]], $B$4:$B$1201,M267)</f>
        <v>0</v>
      </c>
      <c r="U267">
        <f>COUNTIFS($H$4:$H$1201,Tabla213[[#Headers],[Rhizoctonia]], $G$4:$G$1201,Tabla213[[#This Row],[Organo]], $B$4:$B$1201,M267)</f>
        <v>0</v>
      </c>
      <c r="V267">
        <v>0</v>
      </c>
      <c r="W267">
        <f>COUNTIFS($H$4:$H$1201,Tabla213[[#Headers],[Alternaria]], $G$4:$G$1201,Tabla213[[#This Row],[Organo]], $B$4:$B$1201,M267)</f>
        <v>0</v>
      </c>
      <c r="X267">
        <f>COUNTIFS($H$4:$H$1201,Tabla213[[#Headers],[Botrytis]], $G$4:$G$1201,Tabla213[[#This Row],[Organo]], $B$4:$B$1201,M267)</f>
        <v>0</v>
      </c>
      <c r="Y267">
        <f>COUNTIFS($H$4:$H$1201,Tabla213[[#Headers],[Colletotrichum]], $G$4:$G$1201,Tabla213[[#This Row],[Organo]], $B$4:$B$1201,M267)</f>
        <v>0</v>
      </c>
      <c r="Z267">
        <f>COUNTIFS($H$4:$H$1201,Tabla213[[#Headers],[Aspergillus]], $G$4:$G$1201,Tabla213[[#This Row],[Organo]], $B$4:$B$1201,M267)</f>
        <v>0</v>
      </c>
      <c r="AA267">
        <f>COUNTIFS($H$4:$H$1201,Tabla213[[#Headers],[NO ID]], $G$4:$G$1201,Tabla213[[#This Row],[Organo]], $B$4:$B$1201,M267)</f>
        <v>1</v>
      </c>
      <c r="AB267">
        <f>COUNTIFS($H$4:$H$1201,Tabla213[[#Headers],[Trichoderma]], $G$4:$G$1201,Tabla213[[#This Row],[Organo]], $B$4:$B$1201,M267)</f>
        <v>0</v>
      </c>
      <c r="AC267">
        <f>COUNTIFS($H$4:$H$1201,Tabla213[[#Headers],[Rizophus]], $G$4:$G$1201,Tabla213[[#This Row],[Organo]], $B$4:$B$1201,M267)</f>
        <v>0</v>
      </c>
      <c r="AD267">
        <f>COUNTIFS($H$4:$H$1201,Tabla213[[#Headers],[FALTANTES]], $G$4:$G$1201,Tabla213[[#This Row],[Organo]], $B$4:$B$1201,M267)</f>
        <v>0</v>
      </c>
      <c r="AK267">
        <v>102</v>
      </c>
      <c r="AL267" t="s">
        <v>87</v>
      </c>
      <c r="AM267" t="s">
        <v>126</v>
      </c>
      <c r="AN267" t="s">
        <v>477</v>
      </c>
    </row>
    <row r="268" spans="1:40" x14ac:dyDescent="0.2">
      <c r="A268" s="7">
        <v>318</v>
      </c>
      <c r="B268" s="7">
        <v>9.1</v>
      </c>
      <c r="C268" s="1" t="str">
        <f t="shared" si="262"/>
        <v>TIERRA DE POLLO 1</v>
      </c>
      <c r="D268" s="7" t="s">
        <v>108</v>
      </c>
      <c r="E268" s="1" t="str">
        <f t="shared" si="263"/>
        <v>GIDDINGS</v>
      </c>
      <c r="F268" s="7">
        <v>1</v>
      </c>
      <c r="G268" s="7" t="s">
        <v>477</v>
      </c>
      <c r="H268" s="7" t="s">
        <v>149</v>
      </c>
      <c r="I268" s="7" t="s">
        <v>479</v>
      </c>
      <c r="J268" s="7">
        <v>318</v>
      </c>
      <c r="K268" s="23" t="s">
        <v>638</v>
      </c>
      <c r="M268">
        <v>102</v>
      </c>
      <c r="N268" t="s">
        <v>87</v>
      </c>
      <c r="O268" t="s">
        <v>126</v>
      </c>
      <c r="P268" t="s">
        <v>477</v>
      </c>
      <c r="Q268">
        <f>COUNTIFS($H$4:$H$1201,Tabla213[[#Headers],[Neopestalotiopsis]], $G$4:$G$1201,Tabla213[[#This Row],[Organo]], $B$4:$B$1201,M268)</f>
        <v>0</v>
      </c>
      <c r="R268">
        <f>COUNTIFS($H$4:$H$1201,Tabla213[[#Headers],[Fusarium]], $G$4:$G$1201,Tabla213[[#This Row],[Organo]], $B$4:$B$1201,M268)</f>
        <v>4</v>
      </c>
      <c r="S268">
        <f>COUNTIFS($H$4:$H$1201,Tabla213[[#Headers],[Cylindrocarpon]], $G$4:$G$1201,Tabla213[[#This Row],[Organo]], $B$4:$B$1201,M268)</f>
        <v>0</v>
      </c>
      <c r="T268">
        <f>COUNTIFS($H$4:$H$1201,Tabla213[[#Headers],[Macrophomina]], $G$4:$G$1201,Tabla213[[#This Row],[Organo]], $B$4:$B$1201,M268)</f>
        <v>0</v>
      </c>
      <c r="U268">
        <f>COUNTIFS($H$4:$H$1201,Tabla213[[#Headers],[Rhizoctonia]], $G$4:$G$1201,Tabla213[[#This Row],[Organo]], $B$4:$B$1201,M268)</f>
        <v>2</v>
      </c>
      <c r="V268">
        <v>0</v>
      </c>
      <c r="W268">
        <f>COUNTIFS($H$4:$H$1201,Tabla213[[#Headers],[Alternaria]], $G$4:$G$1201,Tabla213[[#This Row],[Organo]], $B$4:$B$1201,M268)</f>
        <v>0</v>
      </c>
      <c r="X268">
        <f>COUNTIFS($H$4:$H$1201,Tabla213[[#Headers],[Botrytis]], $G$4:$G$1201,Tabla213[[#This Row],[Organo]], $B$4:$B$1201,M268)</f>
        <v>0</v>
      </c>
      <c r="Y268">
        <f>COUNTIFS($H$4:$H$1201,Tabla213[[#Headers],[Colletotrichum]], $G$4:$G$1201,Tabla213[[#This Row],[Organo]], $B$4:$B$1201,M268)</f>
        <v>0</v>
      </c>
      <c r="Z268">
        <f>COUNTIFS($H$4:$H$1201,Tabla213[[#Headers],[Aspergillus]], $G$4:$G$1201,Tabla213[[#This Row],[Organo]], $B$4:$B$1201,M268)</f>
        <v>0</v>
      </c>
      <c r="AA268">
        <f>COUNTIFS($H$4:$H$1201,Tabla213[[#Headers],[NO ID]], $G$4:$G$1201,Tabla213[[#This Row],[Organo]], $B$4:$B$1201,M268)</f>
        <v>0</v>
      </c>
      <c r="AB268">
        <f>COUNTIFS($H$4:$H$1201,Tabla213[[#Headers],[Trichoderma]], $G$4:$G$1201,Tabla213[[#This Row],[Organo]], $B$4:$B$1201,M268)</f>
        <v>0</v>
      </c>
      <c r="AC268">
        <f>COUNTIFS($H$4:$H$1201,Tabla213[[#Headers],[Rizophus]], $G$4:$G$1201,Tabla213[[#This Row],[Organo]], $B$4:$B$1201,M268)</f>
        <v>0</v>
      </c>
      <c r="AD268">
        <f>COUNTIFS($H$4:$H$1201,Tabla213[[#Headers],[FALTANTES]], $G$4:$G$1201,Tabla213[[#This Row],[Organo]], $B$4:$B$1201,M268)</f>
        <v>0</v>
      </c>
      <c r="AF268">
        <f t="shared" ref="AF268" si="270">SUM(Q267:AD268)</f>
        <v>11</v>
      </c>
      <c r="AG268">
        <f>COUNTIF($B$5:$B$1201, Tabla213[[#This Row],[Num. Parcela]])</f>
        <v>11</v>
      </c>
      <c r="AH268" t="b">
        <f t="shared" ref="AH268" si="271">IF(AF268=AG268, TRUE)</f>
        <v>1</v>
      </c>
      <c r="AK268">
        <v>102</v>
      </c>
      <c r="AL268" t="s">
        <v>87</v>
      </c>
      <c r="AM268" t="s">
        <v>126</v>
      </c>
      <c r="AN268" t="s">
        <v>476</v>
      </c>
    </row>
    <row r="269" spans="1:40" x14ac:dyDescent="0.2">
      <c r="A269" s="7">
        <v>319</v>
      </c>
      <c r="B269" s="7">
        <v>9.1</v>
      </c>
      <c r="C269" s="1" t="str">
        <f t="shared" si="262"/>
        <v>TIERRA DE POLLO 1</v>
      </c>
      <c r="D269" s="7" t="s">
        <v>108</v>
      </c>
      <c r="E269" s="1" t="str">
        <f t="shared" si="263"/>
        <v>GIDDINGS</v>
      </c>
      <c r="F269" s="7">
        <v>2</v>
      </c>
      <c r="G269" s="7" t="s">
        <v>477</v>
      </c>
      <c r="H269" s="7" t="s">
        <v>485</v>
      </c>
      <c r="I269" s="10" t="s">
        <v>485</v>
      </c>
      <c r="J269" s="10">
        <v>319</v>
      </c>
      <c r="K269" s="7"/>
      <c r="L269">
        <v>1</v>
      </c>
      <c r="M269">
        <v>103</v>
      </c>
      <c r="N269" t="s">
        <v>712</v>
      </c>
      <c r="O269" t="s">
        <v>126</v>
      </c>
      <c r="P269" t="s">
        <v>476</v>
      </c>
      <c r="Q269">
        <f>COUNTIFS($H$4:$H$1201,Tabla213[[#Headers],[Neopestalotiopsis]], $G$4:$G$1201,Tabla213[[#This Row],[Organo]], $B$4:$B$1201,M269)</f>
        <v>0</v>
      </c>
      <c r="R269">
        <f>COUNTIFS($H$4:$H$1201,Tabla213[[#Headers],[Fusarium]], $G$4:$G$1201,Tabla213[[#This Row],[Organo]], $B$4:$B$1201,M269)</f>
        <v>0</v>
      </c>
      <c r="S269">
        <f>COUNTIFS($H$4:$H$1201,Tabla213[[#Headers],[Cylindrocarpon]], $G$4:$G$1201,Tabla213[[#This Row],[Organo]], $B$4:$B$1201,M269)</f>
        <v>0</v>
      </c>
      <c r="T269">
        <f>COUNTIFS($H$4:$H$1201,Tabla213[[#Headers],[Macrophomina]], $G$4:$G$1201,Tabla213[[#This Row],[Organo]], $B$4:$B$1201,M269)</f>
        <v>0</v>
      </c>
      <c r="U269">
        <f>COUNTIFS($H$4:$H$1201,Tabla213[[#Headers],[Rhizoctonia]], $G$4:$G$1201,Tabla213[[#This Row],[Organo]], $B$4:$B$1201,M269)</f>
        <v>0</v>
      </c>
      <c r="V269">
        <v>0</v>
      </c>
      <c r="W269">
        <f>COUNTIFS($H$4:$H$1201,Tabla213[[#Headers],[Alternaria]], $G$4:$G$1201,Tabla213[[#This Row],[Organo]], $B$4:$B$1201,M269)</f>
        <v>0</v>
      </c>
      <c r="X269">
        <f>COUNTIFS($H$4:$H$1201,Tabla213[[#Headers],[Botrytis]], $G$4:$G$1201,Tabla213[[#This Row],[Organo]], $B$4:$B$1201,M269)</f>
        <v>0</v>
      </c>
      <c r="Y269">
        <f>COUNTIFS($H$4:$H$1201,Tabla213[[#Headers],[Colletotrichum]], $G$4:$G$1201,Tabla213[[#This Row],[Organo]], $B$4:$B$1201,M269)</f>
        <v>3</v>
      </c>
      <c r="Z269">
        <f>COUNTIFS($H$4:$H$1201,Tabla213[[#Headers],[Aspergillus]], $G$4:$G$1201,Tabla213[[#This Row],[Organo]], $B$4:$B$1201,M269)</f>
        <v>0</v>
      </c>
      <c r="AA269">
        <f>COUNTIFS($H$4:$H$1201,Tabla213[[#Headers],[NO ID]], $G$4:$G$1201,Tabla213[[#This Row],[Organo]], $B$4:$B$1201,M269)</f>
        <v>0</v>
      </c>
      <c r="AB269">
        <f>COUNTIFS($H$4:$H$1201,Tabla213[[#Headers],[Trichoderma]], $G$4:$G$1201,Tabla213[[#This Row],[Organo]], $B$4:$B$1201,M269)</f>
        <v>0</v>
      </c>
      <c r="AC269">
        <f>COUNTIFS($H$4:$H$1201,Tabla213[[#Headers],[Rizophus]], $G$4:$G$1201,Tabla213[[#This Row],[Organo]], $B$4:$B$1201,M269)</f>
        <v>0</v>
      </c>
      <c r="AD269">
        <f>COUNTIFS($H$4:$H$1201,Tabla213[[#Headers],[FALTANTES]], $G$4:$G$1201,Tabla213[[#This Row],[Organo]], $B$4:$B$1201,M269)</f>
        <v>0</v>
      </c>
      <c r="AK269">
        <v>103</v>
      </c>
      <c r="AL269" t="s">
        <v>88</v>
      </c>
      <c r="AM269" t="s">
        <v>126</v>
      </c>
      <c r="AN269" t="s">
        <v>477</v>
      </c>
    </row>
    <row r="270" spans="1:40" x14ac:dyDescent="0.2">
      <c r="A270" s="7">
        <v>320</v>
      </c>
      <c r="B270" s="7">
        <v>9.1</v>
      </c>
      <c r="C270" s="1" t="str">
        <f t="shared" si="262"/>
        <v>TIERRA DE POLLO 1</v>
      </c>
      <c r="D270" s="7" t="s">
        <v>108</v>
      </c>
      <c r="E270" s="1" t="str">
        <f t="shared" si="263"/>
        <v>GIDDINGS</v>
      </c>
      <c r="F270" s="7">
        <v>2</v>
      </c>
      <c r="G270" s="7" t="s">
        <v>477</v>
      </c>
      <c r="H270" s="7" t="s">
        <v>155</v>
      </c>
      <c r="I270" s="7" t="s">
        <v>155</v>
      </c>
      <c r="J270" s="7">
        <v>320</v>
      </c>
      <c r="K270" s="23" t="s">
        <v>638</v>
      </c>
      <c r="M270">
        <v>103</v>
      </c>
      <c r="N270" t="s">
        <v>712</v>
      </c>
      <c r="O270" t="s">
        <v>126</v>
      </c>
      <c r="P270" t="s">
        <v>477</v>
      </c>
      <c r="Q270">
        <f>COUNTIFS($H$4:$H$1201,Tabla213[[#Headers],[Neopestalotiopsis]], $G$4:$G$1201,Tabla213[[#This Row],[Organo]], $B$4:$B$1201,M270)</f>
        <v>0</v>
      </c>
      <c r="R270">
        <f>COUNTIFS($H$4:$H$1201,Tabla213[[#Headers],[Fusarium]], $G$4:$G$1201,Tabla213[[#This Row],[Organo]], $B$4:$B$1201,M270)</f>
        <v>2</v>
      </c>
      <c r="S270">
        <f>COUNTIFS($H$4:$H$1201,Tabla213[[#Headers],[Cylindrocarpon]], $G$4:$G$1201,Tabla213[[#This Row],[Organo]], $B$4:$B$1201,M270)</f>
        <v>0</v>
      </c>
      <c r="T270">
        <f>COUNTIFS($H$4:$H$1201,Tabla213[[#Headers],[Macrophomina]], $G$4:$G$1201,Tabla213[[#This Row],[Organo]], $B$4:$B$1201,M270)</f>
        <v>0</v>
      </c>
      <c r="U270">
        <f>COUNTIFS($H$4:$H$1201,Tabla213[[#Headers],[Rhizoctonia]], $G$4:$G$1201,Tabla213[[#This Row],[Organo]], $B$4:$B$1201,M270)</f>
        <v>3</v>
      </c>
      <c r="V270">
        <v>0</v>
      </c>
      <c r="W270">
        <f>COUNTIFS($H$4:$H$1201,Tabla213[[#Headers],[Alternaria]], $G$4:$G$1201,Tabla213[[#This Row],[Organo]], $B$4:$B$1201,M270)</f>
        <v>0</v>
      </c>
      <c r="X270">
        <f>COUNTIFS($H$4:$H$1201,Tabla213[[#Headers],[Botrytis]], $G$4:$G$1201,Tabla213[[#This Row],[Organo]], $B$4:$B$1201,M270)</f>
        <v>0</v>
      </c>
      <c r="Y270">
        <f>COUNTIFS($H$4:$H$1201,Tabla213[[#Headers],[Colletotrichum]], $G$4:$G$1201,Tabla213[[#This Row],[Organo]], $B$4:$B$1201,M270)</f>
        <v>0</v>
      </c>
      <c r="Z270">
        <f>COUNTIFS($H$4:$H$1201,Tabla213[[#Headers],[Aspergillus]], $G$4:$G$1201,Tabla213[[#This Row],[Organo]], $B$4:$B$1201,M270)</f>
        <v>0</v>
      </c>
      <c r="AA270">
        <f>COUNTIFS($H$4:$H$1201,Tabla213[[#Headers],[NO ID]], $G$4:$G$1201,Tabla213[[#This Row],[Organo]], $B$4:$B$1201,M270)</f>
        <v>0</v>
      </c>
      <c r="AB270">
        <f>COUNTIFS($H$4:$H$1201,Tabla213[[#Headers],[Trichoderma]], $G$4:$G$1201,Tabla213[[#This Row],[Organo]], $B$4:$B$1201,M270)</f>
        <v>0</v>
      </c>
      <c r="AC270">
        <f>COUNTIFS($H$4:$H$1201,Tabla213[[#Headers],[Rizophus]], $G$4:$G$1201,Tabla213[[#This Row],[Organo]], $B$4:$B$1201,M270)</f>
        <v>0</v>
      </c>
      <c r="AD270">
        <f>COUNTIFS($H$4:$H$1201,Tabla213[[#Headers],[FALTANTES]], $G$4:$G$1201,Tabla213[[#This Row],[Organo]], $B$4:$B$1201,M270)</f>
        <v>0</v>
      </c>
      <c r="AF270">
        <f t="shared" ref="AF270" si="272">SUM(Q269:AD270)</f>
        <v>8</v>
      </c>
      <c r="AG270">
        <f>COUNTIF($B$5:$B$1201, Tabla213[[#This Row],[Num. Parcela]])</f>
        <v>8</v>
      </c>
      <c r="AH270" t="b">
        <f t="shared" ref="AH270" si="273">IF(AF270=AG270, TRUE)</f>
        <v>1</v>
      </c>
      <c r="AK270">
        <v>103</v>
      </c>
      <c r="AL270" t="s">
        <v>88</v>
      </c>
      <c r="AM270" t="s">
        <v>126</v>
      </c>
      <c r="AN270" t="s">
        <v>476</v>
      </c>
    </row>
    <row r="271" spans="1:40" x14ac:dyDescent="0.2">
      <c r="A271" s="7">
        <v>321</v>
      </c>
      <c r="B271" s="7">
        <v>9.1</v>
      </c>
      <c r="C271" s="1" t="str">
        <f t="shared" si="262"/>
        <v>TIERRA DE POLLO 1</v>
      </c>
      <c r="D271" s="7" t="s">
        <v>108</v>
      </c>
      <c r="E271" s="1" t="str">
        <f t="shared" si="263"/>
        <v>GIDDINGS</v>
      </c>
      <c r="F271" s="7">
        <v>1</v>
      </c>
      <c r="G271" s="7" t="s">
        <v>477</v>
      </c>
      <c r="H271" s="7" t="s">
        <v>485</v>
      </c>
      <c r="I271" s="10" t="s">
        <v>485</v>
      </c>
      <c r="J271" s="10">
        <v>321</v>
      </c>
      <c r="K271" s="7"/>
      <c r="M271">
        <v>104</v>
      </c>
      <c r="N271" t="s">
        <v>89</v>
      </c>
      <c r="O271" t="s">
        <v>126</v>
      </c>
      <c r="P271" t="s">
        <v>476</v>
      </c>
      <c r="Q271">
        <f>COUNTIFS($H$4:$H$1201,Tabla213[[#Headers],[Neopestalotiopsis]], $G$4:$G$1201,Tabla213[[#This Row],[Organo]], $B$4:$B$1201,M271)</f>
        <v>0</v>
      </c>
      <c r="R271">
        <f>COUNTIFS($H$4:$H$1201,Tabla213[[#Headers],[Fusarium]], $G$4:$G$1201,Tabla213[[#This Row],[Organo]], $B$4:$B$1201,M271)</f>
        <v>0</v>
      </c>
      <c r="S271">
        <f>COUNTIFS($H$4:$H$1201,Tabla213[[#Headers],[Cylindrocarpon]], $G$4:$G$1201,Tabla213[[#This Row],[Organo]], $B$4:$B$1201,M271)</f>
        <v>0</v>
      </c>
      <c r="T271">
        <f>COUNTIFS($H$4:$H$1201,Tabla213[[#Headers],[Macrophomina]], $G$4:$G$1201,Tabla213[[#This Row],[Organo]], $B$4:$B$1201,M271)</f>
        <v>0</v>
      </c>
      <c r="U271">
        <f>COUNTIFS($H$4:$H$1201,Tabla213[[#Headers],[Rhizoctonia]], $G$4:$G$1201,Tabla213[[#This Row],[Organo]], $B$4:$B$1201,M271)</f>
        <v>0</v>
      </c>
      <c r="V271">
        <v>1</v>
      </c>
      <c r="W271">
        <f>COUNTIFS($H$4:$H$1201,Tabla213[[#Headers],[Alternaria]], $G$4:$G$1201,Tabla213[[#This Row],[Organo]], $B$4:$B$1201,M271)</f>
        <v>1</v>
      </c>
      <c r="X271">
        <f>COUNTIFS($H$4:$H$1201,Tabla213[[#Headers],[Botrytis]], $G$4:$G$1201,Tabla213[[#This Row],[Organo]], $B$4:$B$1201,M271)</f>
        <v>0</v>
      </c>
      <c r="Y271">
        <f>COUNTIFS($H$4:$H$1201,Tabla213[[#Headers],[Colletotrichum]], $G$4:$G$1201,Tabla213[[#This Row],[Organo]], $B$4:$B$1201,M271)</f>
        <v>0</v>
      </c>
      <c r="Z271">
        <f>COUNTIFS($H$4:$H$1201,Tabla213[[#Headers],[Aspergillus]], $G$4:$G$1201,Tabla213[[#This Row],[Organo]], $B$4:$B$1201,M271)</f>
        <v>0</v>
      </c>
      <c r="AA271">
        <f>COUNTIFS($H$4:$H$1201,Tabla213[[#Headers],[NO ID]], $G$4:$G$1201,Tabla213[[#This Row],[Organo]], $B$4:$B$1201,M271)</f>
        <v>1</v>
      </c>
      <c r="AB271">
        <f>COUNTIFS($H$4:$H$1201,Tabla213[[#Headers],[Trichoderma]], $G$4:$G$1201,Tabla213[[#This Row],[Organo]], $B$4:$B$1201,M271)</f>
        <v>0</v>
      </c>
      <c r="AC271">
        <f>COUNTIFS($H$4:$H$1201,Tabla213[[#Headers],[Rizophus]], $G$4:$G$1201,Tabla213[[#This Row],[Organo]], $B$4:$B$1201,M271)</f>
        <v>0</v>
      </c>
      <c r="AD271">
        <f>COUNTIFS($H$4:$H$1201,Tabla213[[#Headers],[FALTANTES]], $G$4:$G$1201,Tabla213[[#This Row],[Organo]], $B$4:$B$1201,M271)</f>
        <v>0</v>
      </c>
      <c r="AK271">
        <v>104</v>
      </c>
      <c r="AL271" t="s">
        <v>89</v>
      </c>
      <c r="AM271" t="s">
        <v>126</v>
      </c>
      <c r="AN271" t="s">
        <v>477</v>
      </c>
    </row>
    <row r="272" spans="1:40" x14ac:dyDescent="0.2">
      <c r="A272" s="7">
        <v>322</v>
      </c>
      <c r="B272" s="7">
        <v>9.1</v>
      </c>
      <c r="C272" s="1" t="str">
        <f t="shared" si="262"/>
        <v>TIERRA DE POLLO 1</v>
      </c>
      <c r="D272" s="7" t="s">
        <v>108</v>
      </c>
      <c r="E272" s="1" t="str">
        <f t="shared" si="263"/>
        <v>GIDDINGS</v>
      </c>
      <c r="F272" s="7">
        <v>1</v>
      </c>
      <c r="G272" s="7" t="s">
        <v>477</v>
      </c>
      <c r="H272" s="7" t="s">
        <v>149</v>
      </c>
      <c r="I272" s="7" t="s">
        <v>479</v>
      </c>
      <c r="J272" s="7">
        <v>322</v>
      </c>
      <c r="K272" s="7"/>
      <c r="L272">
        <v>1</v>
      </c>
      <c r="M272">
        <v>104</v>
      </c>
      <c r="N272" t="s">
        <v>89</v>
      </c>
      <c r="O272" t="s">
        <v>126</v>
      </c>
      <c r="P272" t="s">
        <v>477</v>
      </c>
      <c r="Q272">
        <f>COUNTIFS($H$4:$H$1201,Tabla213[[#Headers],[Neopestalotiopsis]], $G$4:$G$1201,Tabla213[[#This Row],[Organo]], $B$4:$B$1201,M272)</f>
        <v>0</v>
      </c>
      <c r="R272">
        <f>COUNTIFS($H$4:$H$1201,Tabla213[[#Headers],[Fusarium]], $G$4:$G$1201,Tabla213[[#This Row],[Organo]], $B$4:$B$1201,M272)</f>
        <v>3</v>
      </c>
      <c r="S272">
        <f>COUNTIFS($H$4:$H$1201,Tabla213[[#Headers],[Cylindrocarpon]], $G$4:$G$1201,Tabla213[[#This Row],[Organo]], $B$4:$B$1201,M272)</f>
        <v>0</v>
      </c>
      <c r="T272">
        <f>COUNTIFS($H$4:$H$1201,Tabla213[[#Headers],[Macrophomina]], $G$4:$G$1201,Tabla213[[#This Row],[Organo]], $B$4:$B$1201,M272)</f>
        <v>0</v>
      </c>
      <c r="U272">
        <f>COUNTIFS($H$4:$H$1201,Tabla213[[#Headers],[Rhizoctonia]], $G$4:$G$1201,Tabla213[[#This Row],[Organo]], $B$4:$B$1201,M272)</f>
        <v>0</v>
      </c>
      <c r="V272">
        <v>0</v>
      </c>
      <c r="W272">
        <f>COUNTIFS($H$4:$H$1201,Tabla213[[#Headers],[Alternaria]], $G$4:$G$1201,Tabla213[[#This Row],[Organo]], $B$4:$B$1201,M272)</f>
        <v>0</v>
      </c>
      <c r="X272">
        <f>COUNTIFS($H$4:$H$1201,Tabla213[[#Headers],[Botrytis]], $G$4:$G$1201,Tabla213[[#This Row],[Organo]], $B$4:$B$1201,M272)</f>
        <v>0</v>
      </c>
      <c r="Y272">
        <f>COUNTIFS($H$4:$H$1201,Tabla213[[#Headers],[Colletotrichum]], $G$4:$G$1201,Tabla213[[#This Row],[Organo]], $B$4:$B$1201,M272)</f>
        <v>0</v>
      </c>
      <c r="Z272">
        <f>COUNTIFS($H$4:$H$1201,Tabla213[[#Headers],[Aspergillus]], $G$4:$G$1201,Tabla213[[#This Row],[Organo]], $B$4:$B$1201,M272)</f>
        <v>0</v>
      </c>
      <c r="AA272">
        <f>COUNTIFS($H$4:$H$1201,Tabla213[[#Headers],[NO ID]], $G$4:$G$1201,Tabla213[[#This Row],[Organo]], $B$4:$B$1201,M272)</f>
        <v>0</v>
      </c>
      <c r="AB272">
        <f>COUNTIFS($H$4:$H$1201,Tabla213[[#Headers],[Trichoderma]], $G$4:$G$1201,Tabla213[[#This Row],[Organo]], $B$4:$B$1201,M272)</f>
        <v>0</v>
      </c>
      <c r="AC272">
        <f>COUNTIFS($H$4:$H$1201,Tabla213[[#Headers],[Rizophus]], $G$4:$G$1201,Tabla213[[#This Row],[Organo]], $B$4:$B$1201,M272)</f>
        <v>0</v>
      </c>
      <c r="AD272">
        <f>COUNTIFS($H$4:$H$1201,Tabla213[[#Headers],[FALTANTES]], $G$4:$G$1201,Tabla213[[#This Row],[Organo]], $B$4:$B$1201,M272)</f>
        <v>0</v>
      </c>
      <c r="AF272">
        <f t="shared" ref="AF272" si="274">SUM(Q271:AD272)</f>
        <v>6</v>
      </c>
      <c r="AG272">
        <f>COUNTIF($B$5:$B$1201, Tabla213[[#This Row],[Num. Parcela]])</f>
        <v>6</v>
      </c>
      <c r="AH272" t="b">
        <f t="shared" ref="AH272" si="275">IF(AF272=AG272, TRUE)</f>
        <v>1</v>
      </c>
      <c r="AK272">
        <v>104</v>
      </c>
      <c r="AL272" t="s">
        <v>89</v>
      </c>
      <c r="AM272" t="s">
        <v>126</v>
      </c>
      <c r="AN272" t="s">
        <v>476</v>
      </c>
    </row>
    <row r="273" spans="1:40" x14ac:dyDescent="0.2">
      <c r="A273" s="7">
        <v>323</v>
      </c>
      <c r="B273" s="7">
        <v>9.1</v>
      </c>
      <c r="C273" s="1" t="str">
        <f t="shared" si="262"/>
        <v>TIERRA DE POLLO 1</v>
      </c>
      <c r="D273" s="7" t="s">
        <v>108</v>
      </c>
      <c r="E273" s="1" t="str">
        <f t="shared" si="263"/>
        <v>GIDDINGS</v>
      </c>
      <c r="F273" s="7">
        <v>1</v>
      </c>
      <c r="G273" s="7" t="s">
        <v>477</v>
      </c>
      <c r="H273" s="7" t="s">
        <v>149</v>
      </c>
      <c r="I273" s="7" t="s">
        <v>480</v>
      </c>
      <c r="J273" s="7">
        <v>323</v>
      </c>
      <c r="K273" s="7"/>
      <c r="M273">
        <v>105</v>
      </c>
      <c r="N273" t="s">
        <v>90</v>
      </c>
      <c r="O273" t="s">
        <v>126</v>
      </c>
      <c r="P273" t="s">
        <v>476</v>
      </c>
      <c r="Q273">
        <f>COUNTIFS($H$4:$H$1201,Tabla213[[#Headers],[Neopestalotiopsis]], $G$4:$G$1201,Tabla213[[#This Row],[Organo]], $B$4:$B$1201,M273)</f>
        <v>3</v>
      </c>
      <c r="R273">
        <f>COUNTIFS($H$4:$H$1201,Tabla213[[#Headers],[Fusarium]], $G$4:$G$1201,Tabla213[[#This Row],[Organo]], $B$4:$B$1201,M273)</f>
        <v>1</v>
      </c>
      <c r="S273">
        <f>COUNTIFS($H$4:$H$1201,Tabla213[[#Headers],[Cylindrocarpon]], $G$4:$G$1201,Tabla213[[#This Row],[Organo]], $B$4:$B$1201,M273)</f>
        <v>0</v>
      </c>
      <c r="T273">
        <f>COUNTIFS($H$4:$H$1201,Tabla213[[#Headers],[Macrophomina]], $G$4:$G$1201,Tabla213[[#This Row],[Organo]], $B$4:$B$1201,M273)</f>
        <v>0</v>
      </c>
      <c r="U273">
        <f>COUNTIFS($H$4:$H$1201,Tabla213[[#Headers],[Rhizoctonia]], $G$4:$G$1201,Tabla213[[#This Row],[Organo]], $B$4:$B$1201,M273)</f>
        <v>0</v>
      </c>
      <c r="V273">
        <v>0</v>
      </c>
      <c r="W273">
        <f>COUNTIFS($H$4:$H$1201,Tabla213[[#Headers],[Alternaria]], $G$4:$G$1201,Tabla213[[#This Row],[Organo]], $B$4:$B$1201,M273)</f>
        <v>0</v>
      </c>
      <c r="X273">
        <f>COUNTIFS($H$4:$H$1201,Tabla213[[#Headers],[Botrytis]], $G$4:$G$1201,Tabla213[[#This Row],[Organo]], $B$4:$B$1201,M273)</f>
        <v>0</v>
      </c>
      <c r="Y273">
        <f>COUNTIFS($H$4:$H$1201,Tabla213[[#Headers],[Colletotrichum]], $G$4:$G$1201,Tabla213[[#This Row],[Organo]], $B$4:$B$1201,M273)</f>
        <v>0</v>
      </c>
      <c r="Z273">
        <f>COUNTIFS($H$4:$H$1201,Tabla213[[#Headers],[Aspergillus]], $G$4:$G$1201,Tabla213[[#This Row],[Organo]], $B$4:$B$1201,M273)</f>
        <v>0</v>
      </c>
      <c r="AA273">
        <f>COUNTIFS($H$4:$H$1201,Tabla213[[#Headers],[NO ID]], $G$4:$G$1201,Tabla213[[#This Row],[Organo]], $B$4:$B$1201,M273)</f>
        <v>2</v>
      </c>
      <c r="AB273">
        <f>COUNTIFS($H$4:$H$1201,Tabla213[[#Headers],[Trichoderma]], $G$4:$G$1201,Tabla213[[#This Row],[Organo]], $B$4:$B$1201,M273)</f>
        <v>0</v>
      </c>
      <c r="AC273">
        <f>COUNTIFS($H$4:$H$1201,Tabla213[[#Headers],[Rizophus]], $G$4:$G$1201,Tabla213[[#This Row],[Organo]], $B$4:$B$1201,M273)</f>
        <v>0</v>
      </c>
      <c r="AD273">
        <f>COUNTIFS($H$4:$H$1201,Tabla213[[#Headers],[FALTANTES]], $G$4:$G$1201,Tabla213[[#This Row],[Organo]], $B$4:$B$1201,M273)</f>
        <v>0</v>
      </c>
      <c r="AK273">
        <v>105</v>
      </c>
      <c r="AL273" t="s">
        <v>90</v>
      </c>
      <c r="AM273" t="s">
        <v>126</v>
      </c>
      <c r="AN273" t="s">
        <v>477</v>
      </c>
    </row>
    <row r="274" spans="1:40" x14ac:dyDescent="0.2">
      <c r="A274" s="7">
        <v>324</v>
      </c>
      <c r="B274" s="7">
        <v>9.1</v>
      </c>
      <c r="C274" s="1" t="str">
        <f t="shared" si="262"/>
        <v>TIERRA DE POLLO 1</v>
      </c>
      <c r="D274" s="7" t="s">
        <v>108</v>
      </c>
      <c r="E274" s="1" t="str">
        <f t="shared" si="263"/>
        <v>GIDDINGS</v>
      </c>
      <c r="F274" s="7">
        <v>2</v>
      </c>
      <c r="G274" s="7" t="s">
        <v>477</v>
      </c>
      <c r="H274" s="7" t="s">
        <v>485</v>
      </c>
      <c r="I274" s="10" t="s">
        <v>485</v>
      </c>
      <c r="J274" s="10">
        <v>324</v>
      </c>
      <c r="K274" s="7"/>
      <c r="M274">
        <v>105</v>
      </c>
      <c r="N274" t="s">
        <v>90</v>
      </c>
      <c r="O274" t="s">
        <v>126</v>
      </c>
      <c r="P274" t="s">
        <v>477</v>
      </c>
      <c r="Q274">
        <f>COUNTIFS($H$4:$H$1201,Tabla213[[#Headers],[Neopestalotiopsis]], $G$4:$G$1201,Tabla213[[#This Row],[Organo]], $B$4:$B$1201,M274)</f>
        <v>0</v>
      </c>
      <c r="R274">
        <f>COUNTIFS($H$4:$H$1201,Tabla213[[#Headers],[Fusarium]], $G$4:$G$1201,Tabla213[[#This Row],[Organo]], $B$4:$B$1201,M274)</f>
        <v>2</v>
      </c>
      <c r="S274">
        <f>COUNTIFS($H$4:$H$1201,Tabla213[[#Headers],[Cylindrocarpon]], $G$4:$G$1201,Tabla213[[#This Row],[Organo]], $B$4:$B$1201,M274)</f>
        <v>1</v>
      </c>
      <c r="T274">
        <f>COUNTIFS($H$4:$H$1201,Tabla213[[#Headers],[Macrophomina]], $G$4:$G$1201,Tabla213[[#This Row],[Organo]], $B$4:$B$1201,M274)</f>
        <v>0</v>
      </c>
      <c r="U274">
        <f>COUNTIFS($H$4:$H$1201,Tabla213[[#Headers],[Rhizoctonia]], $G$4:$G$1201,Tabla213[[#This Row],[Organo]], $B$4:$B$1201,M274)</f>
        <v>0</v>
      </c>
      <c r="V274">
        <v>0</v>
      </c>
      <c r="W274">
        <f>COUNTIFS($H$4:$H$1201,Tabla213[[#Headers],[Alternaria]], $G$4:$G$1201,Tabla213[[#This Row],[Organo]], $B$4:$B$1201,M274)</f>
        <v>1</v>
      </c>
      <c r="X274">
        <f>COUNTIFS($H$4:$H$1201,Tabla213[[#Headers],[Botrytis]], $G$4:$G$1201,Tabla213[[#This Row],[Organo]], $B$4:$B$1201,M274)</f>
        <v>0</v>
      </c>
      <c r="Y274">
        <f>COUNTIFS($H$4:$H$1201,Tabla213[[#Headers],[Colletotrichum]], $G$4:$G$1201,Tabla213[[#This Row],[Organo]], $B$4:$B$1201,M274)</f>
        <v>0</v>
      </c>
      <c r="Z274">
        <f>COUNTIFS($H$4:$H$1201,Tabla213[[#Headers],[Aspergillus]], $G$4:$G$1201,Tabla213[[#This Row],[Organo]], $B$4:$B$1201,M274)</f>
        <v>0</v>
      </c>
      <c r="AA274">
        <f>COUNTIFS($H$4:$H$1201,Tabla213[[#Headers],[NO ID]], $G$4:$G$1201,Tabla213[[#This Row],[Organo]], $B$4:$B$1201,M274)</f>
        <v>0</v>
      </c>
      <c r="AB274">
        <f>COUNTIFS($H$4:$H$1201,Tabla213[[#Headers],[Trichoderma]], $G$4:$G$1201,Tabla213[[#This Row],[Organo]], $B$4:$B$1201,M274)</f>
        <v>0</v>
      </c>
      <c r="AC274">
        <f>COUNTIFS($H$4:$H$1201,Tabla213[[#Headers],[Rizophus]], $G$4:$G$1201,Tabla213[[#This Row],[Organo]], $B$4:$B$1201,M274)</f>
        <v>0</v>
      </c>
      <c r="AD274">
        <f>COUNTIFS($H$4:$H$1201,Tabla213[[#Headers],[FALTANTES]], $G$4:$G$1201,Tabla213[[#This Row],[Organo]], $B$4:$B$1201,M274)</f>
        <v>0</v>
      </c>
      <c r="AF274">
        <f t="shared" ref="AF274" si="276">SUM(Q273:AD274)</f>
        <v>10</v>
      </c>
      <c r="AG274">
        <f>COUNTIF($B$5:$B$1201, Tabla213[[#This Row],[Num. Parcela]])</f>
        <v>10</v>
      </c>
      <c r="AH274" t="b">
        <f t="shared" ref="AH274" si="277">IF(AF274=AG274, TRUE)</f>
        <v>1</v>
      </c>
      <c r="AK274">
        <v>105</v>
      </c>
      <c r="AL274" t="s">
        <v>90</v>
      </c>
      <c r="AM274" t="s">
        <v>126</v>
      </c>
      <c r="AN274" t="s">
        <v>476</v>
      </c>
    </row>
    <row r="275" spans="1:40" x14ac:dyDescent="0.2">
      <c r="A275" s="7">
        <v>325</v>
      </c>
      <c r="B275" s="7">
        <v>9.1</v>
      </c>
      <c r="C275" s="1" t="str">
        <f t="shared" si="262"/>
        <v>TIERRA DE POLLO 1</v>
      </c>
      <c r="D275" s="7" t="s">
        <v>108</v>
      </c>
      <c r="E275" s="1" t="str">
        <f t="shared" si="263"/>
        <v>GIDDINGS</v>
      </c>
      <c r="F275" s="7">
        <v>2</v>
      </c>
      <c r="G275" s="7" t="s">
        <v>477</v>
      </c>
      <c r="H275" s="7" t="s">
        <v>474</v>
      </c>
      <c r="I275" s="11" t="s">
        <v>474</v>
      </c>
      <c r="J275" s="9">
        <v>325</v>
      </c>
      <c r="K275" s="7"/>
      <c r="M275">
        <v>106.1</v>
      </c>
      <c r="N275" t="s">
        <v>714</v>
      </c>
      <c r="O275" t="s">
        <v>125</v>
      </c>
      <c r="P275" t="s">
        <v>476</v>
      </c>
      <c r="Q275">
        <f>COUNTIFS($H$4:$H$1201,Tabla213[[#Headers],[Neopestalotiopsis]], $G$4:$G$1201,Tabla213[[#This Row],[Organo]], $B$4:$B$1201,M275)</f>
        <v>0</v>
      </c>
      <c r="R275">
        <f>COUNTIFS($H$4:$H$1201,Tabla213[[#Headers],[Fusarium]], $G$4:$G$1201,Tabla213[[#This Row],[Organo]], $B$4:$B$1201,M275)</f>
        <v>0</v>
      </c>
      <c r="S275">
        <f>COUNTIFS($H$4:$H$1201,Tabla213[[#Headers],[Cylindrocarpon]], $G$4:$G$1201,Tabla213[[#This Row],[Organo]], $B$4:$B$1201,M275)</f>
        <v>0</v>
      </c>
      <c r="T275">
        <f>COUNTIFS($H$4:$H$1201,Tabla213[[#Headers],[Macrophomina]], $G$4:$G$1201,Tabla213[[#This Row],[Organo]], $B$4:$B$1201,M275)</f>
        <v>0</v>
      </c>
      <c r="U275">
        <f>COUNTIFS($H$4:$H$1201,Tabla213[[#Headers],[Rhizoctonia]], $G$4:$G$1201,Tabla213[[#This Row],[Organo]], $B$4:$B$1201,M275)</f>
        <v>1</v>
      </c>
      <c r="V275">
        <v>0</v>
      </c>
      <c r="W275">
        <f>COUNTIFS($H$4:$H$1201,Tabla213[[#Headers],[Alternaria]], $G$4:$G$1201,Tabla213[[#This Row],[Organo]], $B$4:$B$1201,M275)</f>
        <v>0</v>
      </c>
      <c r="X275">
        <f>COUNTIFS($H$4:$H$1201,Tabla213[[#Headers],[Botrytis]], $G$4:$G$1201,Tabla213[[#This Row],[Organo]], $B$4:$B$1201,M275)</f>
        <v>0</v>
      </c>
      <c r="Y275">
        <f>COUNTIFS($H$4:$H$1201,Tabla213[[#Headers],[Colletotrichum]], $G$4:$G$1201,Tabla213[[#This Row],[Organo]], $B$4:$B$1201,M275)</f>
        <v>0</v>
      </c>
      <c r="Z275">
        <f>COUNTIFS($H$4:$H$1201,Tabla213[[#Headers],[Aspergillus]], $G$4:$G$1201,Tabla213[[#This Row],[Organo]], $B$4:$B$1201,M275)</f>
        <v>0</v>
      </c>
      <c r="AA275">
        <f>COUNTIFS($H$4:$H$1201,Tabla213[[#Headers],[NO ID]], $G$4:$G$1201,Tabla213[[#This Row],[Organo]], $B$4:$B$1201,M275)</f>
        <v>0</v>
      </c>
      <c r="AB275">
        <f>COUNTIFS($H$4:$H$1201,Tabla213[[#Headers],[Trichoderma]], $G$4:$G$1201,Tabla213[[#This Row],[Organo]], $B$4:$B$1201,M275)</f>
        <v>0</v>
      </c>
      <c r="AC275">
        <f>COUNTIFS($H$4:$H$1201,Tabla213[[#Headers],[Rizophus]], $G$4:$G$1201,Tabla213[[#This Row],[Organo]], $B$4:$B$1201,M275)</f>
        <v>0</v>
      </c>
      <c r="AD275">
        <f>COUNTIFS($H$4:$H$1201,Tabla213[[#Headers],[FALTANTES]], $G$4:$G$1201,Tabla213[[#This Row],[Organo]], $B$4:$B$1201,M275)</f>
        <v>0</v>
      </c>
      <c r="AK275">
        <v>106.1</v>
      </c>
      <c r="AL275" t="s">
        <v>91</v>
      </c>
      <c r="AM275" t="s">
        <v>125</v>
      </c>
      <c r="AN275" t="s">
        <v>477</v>
      </c>
    </row>
    <row r="276" spans="1:40" x14ac:dyDescent="0.2">
      <c r="A276" s="7">
        <v>342</v>
      </c>
      <c r="B276" s="7">
        <v>9.1</v>
      </c>
      <c r="C276" s="1" t="str">
        <f t="shared" si="262"/>
        <v>TIERRA DE POLLO 1</v>
      </c>
      <c r="D276" s="7" t="s">
        <v>108</v>
      </c>
      <c r="E276" s="1" t="str">
        <f t="shared" si="263"/>
        <v>GIDDINGS</v>
      </c>
      <c r="F276" s="7">
        <v>1</v>
      </c>
      <c r="G276" s="7" t="s">
        <v>476</v>
      </c>
      <c r="H276" s="7" t="s">
        <v>490</v>
      </c>
      <c r="I276" s="9" t="s">
        <v>490</v>
      </c>
      <c r="J276" s="9">
        <v>342</v>
      </c>
      <c r="K276" s="7"/>
      <c r="L276">
        <v>1</v>
      </c>
      <c r="M276">
        <v>106.1</v>
      </c>
      <c r="N276" t="s">
        <v>714</v>
      </c>
      <c r="O276" t="s">
        <v>125</v>
      </c>
      <c r="P276" t="s">
        <v>477</v>
      </c>
      <c r="Q276">
        <f>COUNTIFS($H$4:$H$1201,Tabla213[[#Headers],[Neopestalotiopsis]], $G$4:$G$1201,Tabla213[[#This Row],[Organo]], $B$4:$B$1201,M276)</f>
        <v>0</v>
      </c>
      <c r="R276">
        <f>COUNTIFS($H$4:$H$1201,Tabla213[[#Headers],[Fusarium]], $G$4:$G$1201,Tabla213[[#This Row],[Organo]], $B$4:$B$1201,M276)</f>
        <v>1</v>
      </c>
      <c r="S276">
        <f>COUNTIFS($H$4:$H$1201,Tabla213[[#Headers],[Cylindrocarpon]], $G$4:$G$1201,Tabla213[[#This Row],[Organo]], $B$4:$B$1201,M276)</f>
        <v>0</v>
      </c>
      <c r="T276">
        <f>COUNTIFS($H$4:$H$1201,Tabla213[[#Headers],[Macrophomina]], $G$4:$G$1201,Tabla213[[#This Row],[Organo]], $B$4:$B$1201,M276)</f>
        <v>0</v>
      </c>
      <c r="U276">
        <f>COUNTIFS($H$4:$H$1201,Tabla213[[#Headers],[Rhizoctonia]], $G$4:$G$1201,Tabla213[[#This Row],[Organo]], $B$4:$B$1201,M276)</f>
        <v>1</v>
      </c>
      <c r="V276">
        <v>0</v>
      </c>
      <c r="W276">
        <f>COUNTIFS($H$4:$H$1201,Tabla213[[#Headers],[Alternaria]], $G$4:$G$1201,Tabla213[[#This Row],[Organo]], $B$4:$B$1201,M276)</f>
        <v>0</v>
      </c>
      <c r="X276">
        <f>COUNTIFS($H$4:$H$1201,Tabla213[[#Headers],[Botrytis]], $G$4:$G$1201,Tabla213[[#This Row],[Organo]], $B$4:$B$1201,M276)</f>
        <v>0</v>
      </c>
      <c r="Y276">
        <f>COUNTIFS($H$4:$H$1201,Tabla213[[#Headers],[Colletotrichum]], $G$4:$G$1201,Tabla213[[#This Row],[Organo]], $B$4:$B$1201,M276)</f>
        <v>0</v>
      </c>
      <c r="Z276">
        <f>COUNTIFS($H$4:$H$1201,Tabla213[[#Headers],[Aspergillus]], $G$4:$G$1201,Tabla213[[#This Row],[Organo]], $B$4:$B$1201,M276)</f>
        <v>0</v>
      </c>
      <c r="AA276">
        <f>COUNTIFS($H$4:$H$1201,Tabla213[[#Headers],[NO ID]], $G$4:$G$1201,Tabla213[[#This Row],[Organo]], $B$4:$B$1201,M276)</f>
        <v>0</v>
      </c>
      <c r="AB276">
        <f>COUNTIFS($H$4:$H$1201,Tabla213[[#Headers],[Trichoderma]], $G$4:$G$1201,Tabla213[[#This Row],[Organo]], $B$4:$B$1201,M276)</f>
        <v>0</v>
      </c>
      <c r="AC276">
        <f>COUNTIFS($H$4:$H$1201,Tabla213[[#Headers],[Rizophus]], $G$4:$G$1201,Tabla213[[#This Row],[Organo]], $B$4:$B$1201,M276)</f>
        <v>0</v>
      </c>
      <c r="AD276">
        <f>COUNTIFS($H$4:$H$1201,Tabla213[[#Headers],[FALTANTES]], $G$4:$G$1201,Tabla213[[#This Row],[Organo]], $B$4:$B$1201,M276)</f>
        <v>0</v>
      </c>
      <c r="AF276">
        <f t="shared" ref="AF276" si="278">SUM(Q275:AD276)</f>
        <v>3</v>
      </c>
      <c r="AG276">
        <f>COUNTIF($B$5:$B$1201, Tabla213[[#This Row],[Num. Parcela]])</f>
        <v>3</v>
      </c>
      <c r="AH276" t="b">
        <f t="shared" ref="AH276" si="279">IF(AF276=AG276, TRUE)</f>
        <v>1</v>
      </c>
      <c r="AK276">
        <v>106.1</v>
      </c>
      <c r="AL276" t="s">
        <v>91</v>
      </c>
      <c r="AM276" t="s">
        <v>125</v>
      </c>
      <c r="AN276" t="s">
        <v>476</v>
      </c>
    </row>
    <row r="277" spans="1:40" x14ac:dyDescent="0.2">
      <c r="A277" s="7">
        <v>343</v>
      </c>
      <c r="B277" s="7">
        <v>9.1</v>
      </c>
      <c r="C277" s="1" t="str">
        <f t="shared" si="262"/>
        <v>TIERRA DE POLLO 1</v>
      </c>
      <c r="D277" s="7" t="s">
        <v>108</v>
      </c>
      <c r="E277" s="1" t="str">
        <f t="shared" si="263"/>
        <v>GIDDINGS</v>
      </c>
      <c r="F277" s="7">
        <v>1</v>
      </c>
      <c r="G277" s="7" t="s">
        <v>476</v>
      </c>
      <c r="H277" s="7" t="s">
        <v>490</v>
      </c>
      <c r="I277" s="9" t="s">
        <v>490</v>
      </c>
      <c r="J277" s="9">
        <v>343</v>
      </c>
      <c r="K277" s="7"/>
      <c r="M277">
        <v>106.2</v>
      </c>
      <c r="N277" t="s">
        <v>92</v>
      </c>
      <c r="O277" t="s">
        <v>126</v>
      </c>
      <c r="P277" t="s">
        <v>476</v>
      </c>
      <c r="Q277">
        <f>COUNTIFS($H$4:$H$1201,Tabla213[[#Headers],[Neopestalotiopsis]], $G$4:$G$1201,Tabla213[[#This Row],[Organo]], $B$4:$B$1201,M277)</f>
        <v>5</v>
      </c>
      <c r="R277">
        <f>COUNTIFS($H$4:$H$1201,Tabla213[[#Headers],[Fusarium]], $G$4:$G$1201,Tabla213[[#This Row],[Organo]], $B$4:$B$1201,M277)</f>
        <v>0</v>
      </c>
      <c r="S277">
        <f>COUNTIFS($H$4:$H$1201,Tabla213[[#Headers],[Cylindrocarpon]], $G$4:$G$1201,Tabla213[[#This Row],[Organo]], $B$4:$B$1201,M277)</f>
        <v>0</v>
      </c>
      <c r="T277">
        <f>COUNTIFS($H$4:$H$1201,Tabla213[[#Headers],[Macrophomina]], $G$4:$G$1201,Tabla213[[#This Row],[Organo]], $B$4:$B$1201,M277)</f>
        <v>0</v>
      </c>
      <c r="U277">
        <f>COUNTIFS($H$4:$H$1201,Tabla213[[#Headers],[Rhizoctonia]], $G$4:$G$1201,Tabla213[[#This Row],[Organo]], $B$4:$B$1201,M277)</f>
        <v>0</v>
      </c>
      <c r="V277">
        <v>0</v>
      </c>
      <c r="W277">
        <f>COUNTIFS($H$4:$H$1201,Tabla213[[#Headers],[Alternaria]], $G$4:$G$1201,Tabla213[[#This Row],[Organo]], $B$4:$B$1201,M277)</f>
        <v>0</v>
      </c>
      <c r="X277">
        <f>COUNTIFS($H$4:$H$1201,Tabla213[[#Headers],[Botrytis]], $G$4:$G$1201,Tabla213[[#This Row],[Organo]], $B$4:$B$1201,M277)</f>
        <v>0</v>
      </c>
      <c r="Y277">
        <f>COUNTIFS($H$4:$H$1201,Tabla213[[#Headers],[Colletotrichum]], $G$4:$G$1201,Tabla213[[#This Row],[Organo]], $B$4:$B$1201,M277)</f>
        <v>0</v>
      </c>
      <c r="Z277">
        <f>COUNTIFS($H$4:$H$1201,Tabla213[[#Headers],[Aspergillus]], $G$4:$G$1201,Tabla213[[#This Row],[Organo]], $B$4:$B$1201,M277)</f>
        <v>0</v>
      </c>
      <c r="AA277">
        <f>COUNTIFS($H$4:$H$1201,Tabla213[[#Headers],[NO ID]], $G$4:$G$1201,Tabla213[[#This Row],[Organo]], $B$4:$B$1201,M277)</f>
        <v>0</v>
      </c>
      <c r="AB277">
        <f>COUNTIFS($H$4:$H$1201,Tabla213[[#Headers],[Trichoderma]], $G$4:$G$1201,Tabla213[[#This Row],[Organo]], $B$4:$B$1201,M277)</f>
        <v>0</v>
      </c>
      <c r="AC277">
        <f>COUNTIFS($H$4:$H$1201,Tabla213[[#Headers],[Rizophus]], $G$4:$G$1201,Tabla213[[#This Row],[Organo]], $B$4:$B$1201,M277)</f>
        <v>0</v>
      </c>
      <c r="AD277">
        <f>COUNTIFS($H$4:$H$1201,Tabla213[[#Headers],[FALTANTES]], $G$4:$G$1201,Tabla213[[#This Row],[Organo]], $B$4:$B$1201,M277)</f>
        <v>0</v>
      </c>
      <c r="AK277">
        <v>106.2</v>
      </c>
      <c r="AL277" t="s">
        <v>91</v>
      </c>
      <c r="AM277" t="s">
        <v>126</v>
      </c>
      <c r="AN277" t="s">
        <v>477</v>
      </c>
    </row>
    <row r="278" spans="1:40" x14ac:dyDescent="0.2">
      <c r="A278" s="7">
        <v>344</v>
      </c>
      <c r="B278" s="7">
        <v>9.1</v>
      </c>
      <c r="C278" s="1" t="str">
        <f t="shared" si="262"/>
        <v>TIERRA DE POLLO 1</v>
      </c>
      <c r="D278" s="7" t="s">
        <v>108</v>
      </c>
      <c r="E278" s="1" t="str">
        <f t="shared" si="263"/>
        <v>GIDDINGS</v>
      </c>
      <c r="F278" s="7">
        <v>1</v>
      </c>
      <c r="G278" s="7" t="s">
        <v>476</v>
      </c>
      <c r="H278" s="7" t="s">
        <v>490</v>
      </c>
      <c r="I278" s="9" t="s">
        <v>490</v>
      </c>
      <c r="J278" s="9">
        <v>344</v>
      </c>
      <c r="K278" s="7"/>
      <c r="M278">
        <v>106.2</v>
      </c>
      <c r="N278" t="s">
        <v>92</v>
      </c>
      <c r="O278" t="s">
        <v>126</v>
      </c>
      <c r="P278" t="s">
        <v>477</v>
      </c>
      <c r="Q278">
        <f>COUNTIFS($H$4:$H$1201,Tabla213[[#Headers],[Neopestalotiopsis]], $G$4:$G$1201,Tabla213[[#This Row],[Organo]], $B$4:$B$1201,M278)</f>
        <v>1</v>
      </c>
      <c r="R278">
        <f>COUNTIFS($H$4:$H$1201,Tabla213[[#Headers],[Fusarium]], $G$4:$G$1201,Tabla213[[#This Row],[Organo]], $B$4:$B$1201,M278)</f>
        <v>2</v>
      </c>
      <c r="S278">
        <f>COUNTIFS($H$4:$H$1201,Tabla213[[#Headers],[Cylindrocarpon]], $G$4:$G$1201,Tabla213[[#This Row],[Organo]], $B$4:$B$1201,M278)</f>
        <v>1</v>
      </c>
      <c r="T278">
        <f>COUNTIFS($H$4:$H$1201,Tabla213[[#Headers],[Macrophomina]], $G$4:$G$1201,Tabla213[[#This Row],[Organo]], $B$4:$B$1201,M278)</f>
        <v>0</v>
      </c>
      <c r="U278">
        <f>COUNTIFS($H$4:$H$1201,Tabla213[[#Headers],[Rhizoctonia]], $G$4:$G$1201,Tabla213[[#This Row],[Organo]], $B$4:$B$1201,M278)</f>
        <v>0</v>
      </c>
      <c r="V278">
        <v>0</v>
      </c>
      <c r="W278">
        <f>COUNTIFS($H$4:$H$1201,Tabla213[[#Headers],[Alternaria]], $G$4:$G$1201,Tabla213[[#This Row],[Organo]], $B$4:$B$1201,M278)</f>
        <v>0</v>
      </c>
      <c r="X278">
        <f>COUNTIFS($H$4:$H$1201,Tabla213[[#Headers],[Botrytis]], $G$4:$G$1201,Tabla213[[#This Row],[Organo]], $B$4:$B$1201,M278)</f>
        <v>0</v>
      </c>
      <c r="Y278">
        <f>COUNTIFS($H$4:$H$1201,Tabla213[[#Headers],[Colletotrichum]], $G$4:$G$1201,Tabla213[[#This Row],[Organo]], $B$4:$B$1201,M278)</f>
        <v>0</v>
      </c>
      <c r="Z278">
        <f>COUNTIFS($H$4:$H$1201,Tabla213[[#Headers],[Aspergillus]], $G$4:$G$1201,Tabla213[[#This Row],[Organo]], $B$4:$B$1201,M278)</f>
        <v>0</v>
      </c>
      <c r="AA278">
        <f>COUNTIFS($H$4:$H$1201,Tabla213[[#Headers],[NO ID]], $G$4:$G$1201,Tabla213[[#This Row],[Organo]], $B$4:$B$1201,M278)</f>
        <v>0</v>
      </c>
      <c r="AB278">
        <f>COUNTIFS($H$4:$H$1201,Tabla213[[#Headers],[Trichoderma]], $G$4:$G$1201,Tabla213[[#This Row],[Organo]], $B$4:$B$1201,M278)</f>
        <v>0</v>
      </c>
      <c r="AC278">
        <f>COUNTIFS($H$4:$H$1201,Tabla213[[#Headers],[Rizophus]], $G$4:$G$1201,Tabla213[[#This Row],[Organo]], $B$4:$B$1201,M278)</f>
        <v>0</v>
      </c>
      <c r="AD278">
        <f>COUNTIFS($H$4:$H$1201,Tabla213[[#Headers],[FALTANTES]], $G$4:$G$1201,Tabla213[[#This Row],[Organo]], $B$4:$B$1201,M278)</f>
        <v>0</v>
      </c>
      <c r="AF278">
        <f t="shared" ref="AF278" si="280">SUM(Q277:AD278)</f>
        <v>9</v>
      </c>
      <c r="AG278">
        <f>COUNTIF($B$5:$B$1201, Tabla213[[#This Row],[Num. Parcela]])</f>
        <v>9</v>
      </c>
      <c r="AH278" t="b">
        <f t="shared" ref="AH278" si="281">IF(AF278=AG278, TRUE)</f>
        <v>1</v>
      </c>
      <c r="AK278">
        <v>106.2</v>
      </c>
      <c r="AL278" t="s">
        <v>91</v>
      </c>
      <c r="AM278" t="s">
        <v>126</v>
      </c>
      <c r="AN278" t="s">
        <v>476</v>
      </c>
    </row>
    <row r="279" spans="1:40" x14ac:dyDescent="0.2">
      <c r="A279" s="7">
        <v>345</v>
      </c>
      <c r="B279" s="7">
        <v>9.1</v>
      </c>
      <c r="C279" s="1" t="str">
        <f t="shared" si="262"/>
        <v>TIERRA DE POLLO 1</v>
      </c>
      <c r="D279" s="7" t="s">
        <v>108</v>
      </c>
      <c r="E279" s="1" t="str">
        <f t="shared" si="263"/>
        <v>GIDDINGS</v>
      </c>
      <c r="F279" s="7">
        <v>2</v>
      </c>
      <c r="G279" s="7" t="s">
        <v>476</v>
      </c>
      <c r="H279" s="7" t="s">
        <v>149</v>
      </c>
      <c r="I279" s="7" t="s">
        <v>480</v>
      </c>
      <c r="J279" s="7">
        <v>345</v>
      </c>
      <c r="K279" s="7"/>
      <c r="M279">
        <v>107</v>
      </c>
      <c r="N279" t="s">
        <v>713</v>
      </c>
      <c r="O279" t="s">
        <v>126</v>
      </c>
      <c r="P279" t="s">
        <v>476</v>
      </c>
      <c r="Q279">
        <f>COUNTIFS($H$4:$H$1201,Tabla213[[#Headers],[Neopestalotiopsis]], $G$4:$G$1201,Tabla213[[#This Row],[Organo]], $B$4:$B$1201,M279)</f>
        <v>0</v>
      </c>
      <c r="R279">
        <f>COUNTIFS($H$4:$H$1201,Tabla213[[#Headers],[Fusarium]], $G$4:$G$1201,Tabla213[[#This Row],[Organo]], $B$4:$B$1201,M279)</f>
        <v>0</v>
      </c>
      <c r="S279">
        <f>COUNTIFS($H$4:$H$1201,Tabla213[[#Headers],[Cylindrocarpon]], $G$4:$G$1201,Tabla213[[#This Row],[Organo]], $B$4:$B$1201,M279)</f>
        <v>0</v>
      </c>
      <c r="T279">
        <f>COUNTIFS($H$4:$H$1201,Tabla213[[#Headers],[Macrophomina]], $G$4:$G$1201,Tabla213[[#This Row],[Organo]], $B$4:$B$1201,M279)</f>
        <v>0</v>
      </c>
      <c r="U279">
        <f>COUNTIFS($H$4:$H$1201,Tabla213[[#Headers],[Rhizoctonia]], $G$4:$G$1201,Tabla213[[#This Row],[Organo]], $B$4:$B$1201,M279)</f>
        <v>0</v>
      </c>
      <c r="V279">
        <v>0</v>
      </c>
      <c r="W279">
        <f>COUNTIFS($H$4:$H$1201,Tabla213[[#Headers],[Alternaria]], $G$4:$G$1201,Tabla213[[#This Row],[Organo]], $B$4:$B$1201,M279)</f>
        <v>0</v>
      </c>
      <c r="X279">
        <f>COUNTIFS($H$4:$H$1201,Tabla213[[#Headers],[Botrytis]], $G$4:$G$1201,Tabla213[[#This Row],[Organo]], $B$4:$B$1201,M279)</f>
        <v>0</v>
      </c>
      <c r="Y279">
        <f>COUNTIFS($H$4:$H$1201,Tabla213[[#Headers],[Colletotrichum]], $G$4:$G$1201,Tabla213[[#This Row],[Organo]], $B$4:$B$1201,M279)</f>
        <v>0</v>
      </c>
      <c r="Z279">
        <f>COUNTIFS($H$4:$H$1201,Tabla213[[#Headers],[Aspergillus]], $G$4:$G$1201,Tabla213[[#This Row],[Organo]], $B$4:$B$1201,M279)</f>
        <v>0</v>
      </c>
      <c r="AA279">
        <f>COUNTIFS($H$4:$H$1201,Tabla213[[#Headers],[NO ID]], $G$4:$G$1201,Tabla213[[#This Row],[Organo]], $B$4:$B$1201,M279)</f>
        <v>1</v>
      </c>
      <c r="AB279">
        <f>COUNTIFS($H$4:$H$1201,Tabla213[[#Headers],[Trichoderma]], $G$4:$G$1201,Tabla213[[#This Row],[Organo]], $B$4:$B$1201,M279)</f>
        <v>0</v>
      </c>
      <c r="AC279">
        <f>COUNTIFS($H$4:$H$1201,Tabla213[[#Headers],[Rizophus]], $G$4:$G$1201,Tabla213[[#This Row],[Organo]], $B$4:$B$1201,M279)</f>
        <v>0</v>
      </c>
      <c r="AD279">
        <f>COUNTIFS($H$4:$H$1201,Tabla213[[#Headers],[FALTANTES]], $G$4:$G$1201,Tabla213[[#This Row],[Organo]], $B$4:$B$1201,M279)</f>
        <v>0</v>
      </c>
      <c r="AK279">
        <v>107</v>
      </c>
      <c r="AL279" t="s">
        <v>92</v>
      </c>
      <c r="AM279" t="s">
        <v>126</v>
      </c>
      <c r="AN279" t="s">
        <v>477</v>
      </c>
    </row>
    <row r="280" spans="1:40" x14ac:dyDescent="0.2">
      <c r="A280" s="7">
        <v>346</v>
      </c>
      <c r="B280" s="7">
        <v>9.1</v>
      </c>
      <c r="C280" s="1" t="str">
        <f t="shared" si="262"/>
        <v>TIERRA DE POLLO 1</v>
      </c>
      <c r="D280" s="7" t="s">
        <v>108</v>
      </c>
      <c r="E280" s="1" t="str">
        <f t="shared" si="263"/>
        <v>GIDDINGS</v>
      </c>
      <c r="F280" s="7">
        <v>2</v>
      </c>
      <c r="G280" s="7" t="s">
        <v>476</v>
      </c>
      <c r="H280" s="7" t="s">
        <v>472</v>
      </c>
      <c r="I280" s="7" t="s">
        <v>472</v>
      </c>
      <c r="J280" s="7">
        <v>346</v>
      </c>
      <c r="K280" s="23" t="s">
        <v>638</v>
      </c>
      <c r="L280">
        <v>1</v>
      </c>
      <c r="M280">
        <v>107</v>
      </c>
      <c r="N280" t="s">
        <v>713</v>
      </c>
      <c r="O280" t="s">
        <v>126</v>
      </c>
      <c r="P280" t="s">
        <v>477</v>
      </c>
      <c r="Q280">
        <f>COUNTIFS($H$4:$H$1201,Tabla213[[#Headers],[Neopestalotiopsis]], $G$4:$G$1201,Tabla213[[#This Row],[Organo]], $B$4:$B$1201,M280)</f>
        <v>0</v>
      </c>
      <c r="R280">
        <f>COUNTIFS($H$4:$H$1201,Tabla213[[#Headers],[Fusarium]], $G$4:$G$1201,Tabla213[[#This Row],[Organo]], $B$4:$B$1201,M280)</f>
        <v>1</v>
      </c>
      <c r="S280">
        <f>COUNTIFS($H$4:$H$1201,Tabla213[[#Headers],[Cylindrocarpon]], $G$4:$G$1201,Tabla213[[#This Row],[Organo]], $B$4:$B$1201,M280)</f>
        <v>0</v>
      </c>
      <c r="T280">
        <f>COUNTIFS($H$4:$H$1201,Tabla213[[#Headers],[Macrophomina]], $G$4:$G$1201,Tabla213[[#This Row],[Organo]], $B$4:$B$1201,M280)</f>
        <v>0</v>
      </c>
      <c r="U280">
        <f>COUNTIFS($H$4:$H$1201,Tabla213[[#Headers],[Rhizoctonia]], $G$4:$G$1201,Tabla213[[#This Row],[Organo]], $B$4:$B$1201,M280)</f>
        <v>1</v>
      </c>
      <c r="V280">
        <v>0</v>
      </c>
      <c r="W280">
        <f>COUNTIFS($H$4:$H$1201,Tabla213[[#Headers],[Alternaria]], $G$4:$G$1201,Tabla213[[#This Row],[Organo]], $B$4:$B$1201,M280)</f>
        <v>0</v>
      </c>
      <c r="X280">
        <f>COUNTIFS($H$4:$H$1201,Tabla213[[#Headers],[Botrytis]], $G$4:$G$1201,Tabla213[[#This Row],[Organo]], $B$4:$B$1201,M280)</f>
        <v>0</v>
      </c>
      <c r="Y280">
        <f>COUNTIFS($H$4:$H$1201,Tabla213[[#Headers],[Colletotrichum]], $G$4:$G$1201,Tabla213[[#This Row],[Organo]], $B$4:$B$1201,M280)</f>
        <v>0</v>
      </c>
      <c r="Z280">
        <f>COUNTIFS($H$4:$H$1201,Tabla213[[#Headers],[Aspergillus]], $G$4:$G$1201,Tabla213[[#This Row],[Organo]], $B$4:$B$1201,M280)</f>
        <v>0</v>
      </c>
      <c r="AA280">
        <f>COUNTIFS($H$4:$H$1201,Tabla213[[#Headers],[NO ID]], $G$4:$G$1201,Tabla213[[#This Row],[Organo]], $B$4:$B$1201,M280)</f>
        <v>0</v>
      </c>
      <c r="AB280">
        <f>COUNTIFS($H$4:$H$1201,Tabla213[[#Headers],[Trichoderma]], $G$4:$G$1201,Tabla213[[#This Row],[Organo]], $B$4:$B$1201,M280)</f>
        <v>0</v>
      </c>
      <c r="AC280">
        <f>COUNTIFS($H$4:$H$1201,Tabla213[[#Headers],[Rizophus]], $G$4:$G$1201,Tabla213[[#This Row],[Organo]], $B$4:$B$1201,M280)</f>
        <v>0</v>
      </c>
      <c r="AD280">
        <f>COUNTIFS($H$4:$H$1201,Tabla213[[#Headers],[FALTANTES]], $G$4:$G$1201,Tabla213[[#This Row],[Organo]], $B$4:$B$1201,M280)</f>
        <v>0</v>
      </c>
      <c r="AF280">
        <f t="shared" ref="AF280" si="282">SUM(Q279:AD280)</f>
        <v>3</v>
      </c>
      <c r="AG280">
        <f>COUNTIF($B$5:$B$1201, Tabla213[[#This Row],[Num. Parcela]])</f>
        <v>3</v>
      </c>
      <c r="AH280" t="b">
        <f t="shared" ref="AH280" si="283">IF(AF280=AG280, TRUE)</f>
        <v>1</v>
      </c>
      <c r="AK280">
        <v>107</v>
      </c>
      <c r="AL280" t="s">
        <v>92</v>
      </c>
      <c r="AM280" t="s">
        <v>126</v>
      </c>
      <c r="AN280" t="s">
        <v>476</v>
      </c>
    </row>
    <row r="281" spans="1:40" x14ac:dyDescent="0.2">
      <c r="A281" s="7">
        <v>347</v>
      </c>
      <c r="B281" s="7">
        <v>9.1</v>
      </c>
      <c r="C281" s="1" t="str">
        <f t="shared" si="262"/>
        <v>TIERRA DE POLLO 1</v>
      </c>
      <c r="D281" s="7" t="s">
        <v>108</v>
      </c>
      <c r="E281" s="1" t="str">
        <f t="shared" si="263"/>
        <v>GIDDINGS</v>
      </c>
      <c r="F281" s="7">
        <v>1</v>
      </c>
      <c r="G281" s="7" t="s">
        <v>477</v>
      </c>
      <c r="H281" s="7" t="s">
        <v>149</v>
      </c>
      <c r="I281" s="7" t="s">
        <v>480</v>
      </c>
      <c r="J281" s="7">
        <v>347</v>
      </c>
      <c r="K281" s="7"/>
      <c r="M281">
        <v>108</v>
      </c>
      <c r="N281" t="s">
        <v>93</v>
      </c>
      <c r="O281" t="s">
        <v>126</v>
      </c>
      <c r="P281" t="s">
        <v>476</v>
      </c>
      <c r="Q281">
        <f>COUNTIFS($H$4:$H$1201,Tabla213[[#Headers],[Neopestalotiopsis]], $G$4:$G$1201,Tabla213[[#This Row],[Organo]], $B$4:$B$1201,M281)</f>
        <v>0</v>
      </c>
      <c r="R281">
        <f>COUNTIFS($H$4:$H$1201,Tabla213[[#Headers],[Fusarium]], $G$4:$G$1201,Tabla213[[#This Row],[Organo]], $B$4:$B$1201,M281)</f>
        <v>0</v>
      </c>
      <c r="S281">
        <f>COUNTIFS($H$4:$H$1201,Tabla213[[#Headers],[Cylindrocarpon]], $G$4:$G$1201,Tabla213[[#This Row],[Organo]], $B$4:$B$1201,M281)</f>
        <v>0</v>
      </c>
      <c r="T281">
        <f>COUNTIFS($H$4:$H$1201,Tabla213[[#Headers],[Macrophomina]], $G$4:$G$1201,Tabla213[[#This Row],[Organo]], $B$4:$B$1201,M281)</f>
        <v>0</v>
      </c>
      <c r="U281">
        <f>COUNTIFS($H$4:$H$1201,Tabla213[[#Headers],[Rhizoctonia]], $G$4:$G$1201,Tabla213[[#This Row],[Organo]], $B$4:$B$1201,M281)</f>
        <v>0</v>
      </c>
      <c r="V281">
        <v>0</v>
      </c>
      <c r="W281">
        <f>COUNTIFS($H$4:$H$1201,Tabla213[[#Headers],[Alternaria]], $G$4:$G$1201,Tabla213[[#This Row],[Organo]], $B$4:$B$1201,M281)</f>
        <v>0</v>
      </c>
      <c r="X281">
        <f>COUNTIFS($H$4:$H$1201,Tabla213[[#Headers],[Botrytis]], $G$4:$G$1201,Tabla213[[#This Row],[Organo]], $B$4:$B$1201,M281)</f>
        <v>0</v>
      </c>
      <c r="Y281">
        <f>COUNTIFS($H$4:$H$1201,Tabla213[[#Headers],[Colletotrichum]], $G$4:$G$1201,Tabla213[[#This Row],[Organo]], $B$4:$B$1201,M281)</f>
        <v>0</v>
      </c>
      <c r="Z281">
        <f>COUNTIFS($H$4:$H$1201,Tabla213[[#Headers],[Aspergillus]], $G$4:$G$1201,Tabla213[[#This Row],[Organo]], $B$4:$B$1201,M281)</f>
        <v>0</v>
      </c>
      <c r="AA281">
        <f>COUNTIFS($H$4:$H$1201,Tabla213[[#Headers],[NO ID]], $G$4:$G$1201,Tabla213[[#This Row],[Organo]], $B$4:$B$1201,M281)</f>
        <v>1</v>
      </c>
      <c r="AB281">
        <f>COUNTIFS($H$4:$H$1201,Tabla213[[#Headers],[Trichoderma]], $G$4:$G$1201,Tabla213[[#This Row],[Organo]], $B$4:$B$1201,M281)</f>
        <v>0</v>
      </c>
      <c r="AC281">
        <f>COUNTIFS($H$4:$H$1201,Tabla213[[#Headers],[Rizophus]], $G$4:$G$1201,Tabla213[[#This Row],[Organo]], $B$4:$B$1201,M281)</f>
        <v>0</v>
      </c>
      <c r="AD281">
        <f>COUNTIFS($H$4:$H$1201,Tabla213[[#Headers],[FALTANTES]], $G$4:$G$1201,Tabla213[[#This Row],[Organo]], $B$4:$B$1201,M281)</f>
        <v>0</v>
      </c>
      <c r="AK281">
        <v>108</v>
      </c>
      <c r="AL281" t="s">
        <v>93</v>
      </c>
      <c r="AM281" t="s">
        <v>126</v>
      </c>
      <c r="AN281" t="s">
        <v>477</v>
      </c>
    </row>
    <row r="282" spans="1:40" x14ac:dyDescent="0.2">
      <c r="A282" s="7">
        <v>348</v>
      </c>
      <c r="B282" s="7">
        <v>9.1</v>
      </c>
      <c r="C282" s="1" t="str">
        <f t="shared" si="262"/>
        <v>TIERRA DE POLLO 1</v>
      </c>
      <c r="D282" s="7" t="s">
        <v>108</v>
      </c>
      <c r="E282" s="1" t="str">
        <f t="shared" si="263"/>
        <v>GIDDINGS</v>
      </c>
      <c r="F282" s="7">
        <v>1</v>
      </c>
      <c r="G282" s="7" t="s">
        <v>477</v>
      </c>
      <c r="H282" s="7" t="s">
        <v>149</v>
      </c>
      <c r="I282" s="7" t="s">
        <v>480</v>
      </c>
      <c r="J282" s="7">
        <v>348</v>
      </c>
      <c r="K282" s="23" t="s">
        <v>638</v>
      </c>
      <c r="M282">
        <v>108</v>
      </c>
      <c r="N282" t="s">
        <v>93</v>
      </c>
      <c r="O282" t="s">
        <v>126</v>
      </c>
      <c r="P282" t="s">
        <v>477</v>
      </c>
      <c r="Q282">
        <f>COUNTIFS($H$4:$H$1201,Tabla213[[#Headers],[Neopestalotiopsis]], $G$4:$G$1201,Tabla213[[#This Row],[Organo]], $B$4:$B$1201,M282)</f>
        <v>1</v>
      </c>
      <c r="R282">
        <f>COUNTIFS($H$4:$H$1201,Tabla213[[#Headers],[Fusarium]], $G$4:$G$1201,Tabla213[[#This Row],[Organo]], $B$4:$B$1201,M282)</f>
        <v>2</v>
      </c>
      <c r="S282">
        <f>COUNTIFS($H$4:$H$1201,Tabla213[[#Headers],[Cylindrocarpon]], $G$4:$G$1201,Tabla213[[#This Row],[Organo]], $B$4:$B$1201,M282)</f>
        <v>0</v>
      </c>
      <c r="T282">
        <f>COUNTIFS($H$4:$H$1201,Tabla213[[#Headers],[Macrophomina]], $G$4:$G$1201,Tabla213[[#This Row],[Organo]], $B$4:$B$1201,M282)</f>
        <v>0</v>
      </c>
      <c r="U282">
        <f>COUNTIFS($H$4:$H$1201,Tabla213[[#Headers],[Rhizoctonia]], $G$4:$G$1201,Tabla213[[#This Row],[Organo]], $B$4:$B$1201,M282)</f>
        <v>0</v>
      </c>
      <c r="V282">
        <v>0</v>
      </c>
      <c r="W282">
        <f>COUNTIFS($H$4:$H$1201,Tabla213[[#Headers],[Alternaria]], $G$4:$G$1201,Tabla213[[#This Row],[Organo]], $B$4:$B$1201,M282)</f>
        <v>1</v>
      </c>
      <c r="X282">
        <f>COUNTIFS($H$4:$H$1201,Tabla213[[#Headers],[Botrytis]], $G$4:$G$1201,Tabla213[[#This Row],[Organo]], $B$4:$B$1201,M282)</f>
        <v>0</v>
      </c>
      <c r="Y282">
        <f>COUNTIFS($H$4:$H$1201,Tabla213[[#Headers],[Colletotrichum]], $G$4:$G$1201,Tabla213[[#This Row],[Organo]], $B$4:$B$1201,M282)</f>
        <v>0</v>
      </c>
      <c r="Z282">
        <f>COUNTIFS($H$4:$H$1201,Tabla213[[#Headers],[Aspergillus]], $G$4:$G$1201,Tabla213[[#This Row],[Organo]], $B$4:$B$1201,M282)</f>
        <v>0</v>
      </c>
      <c r="AA282">
        <f>COUNTIFS($H$4:$H$1201,Tabla213[[#Headers],[NO ID]], $G$4:$G$1201,Tabla213[[#This Row],[Organo]], $B$4:$B$1201,M282)</f>
        <v>0</v>
      </c>
      <c r="AB282">
        <f>COUNTIFS($H$4:$H$1201,Tabla213[[#Headers],[Trichoderma]], $G$4:$G$1201,Tabla213[[#This Row],[Organo]], $B$4:$B$1201,M282)</f>
        <v>0</v>
      </c>
      <c r="AC282">
        <f>COUNTIFS($H$4:$H$1201,Tabla213[[#Headers],[Rizophus]], $G$4:$G$1201,Tabla213[[#This Row],[Organo]], $B$4:$B$1201,M282)</f>
        <v>0</v>
      </c>
      <c r="AD282">
        <f>COUNTIFS($H$4:$H$1201,Tabla213[[#Headers],[FALTANTES]], $G$4:$G$1201,Tabla213[[#This Row],[Organo]], $B$4:$B$1201,M282)</f>
        <v>0</v>
      </c>
      <c r="AF282">
        <f t="shared" ref="AF282" si="284">SUM(Q281:AD282)</f>
        <v>5</v>
      </c>
      <c r="AG282">
        <f>COUNTIF($B$5:$B$1201, Tabla213[[#This Row],[Num. Parcela]])</f>
        <v>5</v>
      </c>
      <c r="AH282" t="b">
        <f t="shared" ref="AH282" si="285">IF(AF282=AG282, TRUE)</f>
        <v>1</v>
      </c>
      <c r="AK282">
        <v>108</v>
      </c>
      <c r="AL282" t="s">
        <v>93</v>
      </c>
      <c r="AM282" t="s">
        <v>126</v>
      </c>
      <c r="AN282" t="s">
        <v>476</v>
      </c>
    </row>
    <row r="283" spans="1:40" x14ac:dyDescent="0.2">
      <c r="A283" s="7">
        <v>349</v>
      </c>
      <c r="B283" s="7">
        <v>9.1</v>
      </c>
      <c r="C283" s="1" t="str">
        <f t="shared" si="262"/>
        <v>TIERRA DE POLLO 1</v>
      </c>
      <c r="D283" s="7" t="s">
        <v>108</v>
      </c>
      <c r="E283" s="1" t="str">
        <f t="shared" si="263"/>
        <v>GIDDINGS</v>
      </c>
      <c r="F283" s="7">
        <v>1</v>
      </c>
      <c r="G283" s="7" t="s">
        <v>477</v>
      </c>
      <c r="H283" s="7" t="s">
        <v>149</v>
      </c>
      <c r="I283" s="8" t="s">
        <v>478</v>
      </c>
      <c r="J283" s="7">
        <v>349</v>
      </c>
      <c r="K283" s="7"/>
      <c r="M283">
        <v>109</v>
      </c>
      <c r="N283" t="s">
        <v>94</v>
      </c>
      <c r="O283" t="s">
        <v>126</v>
      </c>
      <c r="P283" t="s">
        <v>476</v>
      </c>
      <c r="Q283">
        <f>COUNTIFS($H$4:$H$1201,Tabla213[[#Headers],[Neopestalotiopsis]], $G$4:$G$1201,Tabla213[[#This Row],[Organo]], $B$4:$B$1201,M283)</f>
        <v>0</v>
      </c>
      <c r="R283">
        <f>COUNTIFS($H$4:$H$1201,Tabla213[[#Headers],[Fusarium]], $G$4:$G$1201,Tabla213[[#This Row],[Organo]], $B$4:$B$1201,M283)</f>
        <v>0</v>
      </c>
      <c r="S283">
        <f>COUNTIFS($H$4:$H$1201,Tabla213[[#Headers],[Cylindrocarpon]], $G$4:$G$1201,Tabla213[[#This Row],[Organo]], $B$4:$B$1201,M283)</f>
        <v>0</v>
      </c>
      <c r="T283">
        <f>COUNTIFS($H$4:$H$1201,Tabla213[[#Headers],[Macrophomina]], $G$4:$G$1201,Tabla213[[#This Row],[Organo]], $B$4:$B$1201,M283)</f>
        <v>0</v>
      </c>
      <c r="U283">
        <f>COUNTIFS($H$4:$H$1201,Tabla213[[#Headers],[Rhizoctonia]], $G$4:$G$1201,Tabla213[[#This Row],[Organo]], $B$4:$B$1201,M283)</f>
        <v>0</v>
      </c>
      <c r="V283">
        <v>0</v>
      </c>
      <c r="W283">
        <f>COUNTIFS($H$4:$H$1201,Tabla213[[#Headers],[Alternaria]], $G$4:$G$1201,Tabla213[[#This Row],[Organo]], $B$4:$B$1201,M283)</f>
        <v>0</v>
      </c>
      <c r="X283">
        <f>COUNTIFS($H$4:$H$1201,Tabla213[[#Headers],[Botrytis]], $G$4:$G$1201,Tabla213[[#This Row],[Organo]], $B$4:$B$1201,M283)</f>
        <v>0</v>
      </c>
      <c r="Y283">
        <f>COUNTIFS($H$4:$H$1201,Tabla213[[#Headers],[Colletotrichum]], $G$4:$G$1201,Tabla213[[#This Row],[Organo]], $B$4:$B$1201,M283)</f>
        <v>0</v>
      </c>
      <c r="Z283">
        <f>COUNTIFS($H$4:$H$1201,Tabla213[[#Headers],[Aspergillus]], $G$4:$G$1201,Tabla213[[#This Row],[Organo]], $B$4:$B$1201,M283)</f>
        <v>0</v>
      </c>
      <c r="AA283">
        <f>COUNTIFS($H$4:$H$1201,Tabla213[[#Headers],[NO ID]], $G$4:$G$1201,Tabla213[[#This Row],[Organo]], $B$4:$B$1201,M283)</f>
        <v>1</v>
      </c>
      <c r="AB283">
        <f>COUNTIFS($H$4:$H$1201,Tabla213[[#Headers],[Trichoderma]], $G$4:$G$1201,Tabla213[[#This Row],[Organo]], $B$4:$B$1201,M283)</f>
        <v>0</v>
      </c>
      <c r="AC283">
        <f>COUNTIFS($H$4:$H$1201,Tabla213[[#Headers],[Rizophus]], $G$4:$G$1201,Tabla213[[#This Row],[Organo]], $B$4:$B$1201,M283)</f>
        <v>0</v>
      </c>
      <c r="AD283">
        <f>COUNTIFS($H$4:$H$1201,Tabla213[[#Headers],[FALTANTES]], $G$4:$G$1201,Tabla213[[#This Row],[Organo]], $B$4:$B$1201,M283)</f>
        <v>0</v>
      </c>
      <c r="AK283">
        <v>109</v>
      </c>
      <c r="AL283" t="s">
        <v>94</v>
      </c>
      <c r="AM283" t="s">
        <v>126</v>
      </c>
      <c r="AN283" t="s">
        <v>477</v>
      </c>
    </row>
    <row r="284" spans="1:40" x14ac:dyDescent="0.2">
      <c r="A284" s="7">
        <v>350</v>
      </c>
      <c r="B284" s="7">
        <v>9.1</v>
      </c>
      <c r="C284" s="1" t="str">
        <f t="shared" si="262"/>
        <v>TIERRA DE POLLO 1</v>
      </c>
      <c r="D284" s="7" t="s">
        <v>108</v>
      </c>
      <c r="E284" s="1" t="str">
        <f t="shared" si="263"/>
        <v>GIDDINGS</v>
      </c>
      <c r="F284" s="7">
        <v>2</v>
      </c>
      <c r="G284" s="7" t="s">
        <v>477</v>
      </c>
      <c r="H284" s="7" t="s">
        <v>149</v>
      </c>
      <c r="I284" s="7" t="s">
        <v>479</v>
      </c>
      <c r="J284" s="7">
        <v>350</v>
      </c>
      <c r="K284" s="7"/>
      <c r="M284">
        <v>109</v>
      </c>
      <c r="N284" t="s">
        <v>94</v>
      </c>
      <c r="O284" t="s">
        <v>126</v>
      </c>
      <c r="P284" t="s">
        <v>477</v>
      </c>
      <c r="Q284">
        <f>COUNTIFS($H$4:$H$1201,Tabla213[[#Headers],[Neopestalotiopsis]], $G$4:$G$1201,Tabla213[[#This Row],[Organo]], $B$4:$B$1201,M284)</f>
        <v>1</v>
      </c>
      <c r="R284">
        <f>COUNTIFS($H$4:$H$1201,Tabla213[[#Headers],[Fusarium]], $G$4:$G$1201,Tabla213[[#This Row],[Organo]], $B$4:$B$1201,M284)</f>
        <v>2</v>
      </c>
      <c r="S284">
        <f>COUNTIFS($H$4:$H$1201,Tabla213[[#Headers],[Cylindrocarpon]], $G$4:$G$1201,Tabla213[[#This Row],[Organo]], $B$4:$B$1201,M284)</f>
        <v>1</v>
      </c>
      <c r="T284">
        <f>COUNTIFS($H$4:$H$1201,Tabla213[[#Headers],[Macrophomina]], $G$4:$G$1201,Tabla213[[#This Row],[Organo]], $B$4:$B$1201,M284)</f>
        <v>0</v>
      </c>
      <c r="U284">
        <f>COUNTIFS($H$4:$H$1201,Tabla213[[#Headers],[Rhizoctonia]], $G$4:$G$1201,Tabla213[[#This Row],[Organo]], $B$4:$B$1201,M284)</f>
        <v>1</v>
      </c>
      <c r="V284">
        <v>0</v>
      </c>
      <c r="W284">
        <f>COUNTIFS($H$4:$H$1201,Tabla213[[#Headers],[Alternaria]], $G$4:$G$1201,Tabla213[[#This Row],[Organo]], $B$4:$B$1201,M284)</f>
        <v>2</v>
      </c>
      <c r="X284">
        <f>COUNTIFS($H$4:$H$1201,Tabla213[[#Headers],[Botrytis]], $G$4:$G$1201,Tabla213[[#This Row],[Organo]], $B$4:$B$1201,M284)</f>
        <v>0</v>
      </c>
      <c r="Y284">
        <f>COUNTIFS($H$4:$H$1201,Tabla213[[#Headers],[Colletotrichum]], $G$4:$G$1201,Tabla213[[#This Row],[Organo]], $B$4:$B$1201,M284)</f>
        <v>0</v>
      </c>
      <c r="Z284">
        <f>COUNTIFS($H$4:$H$1201,Tabla213[[#Headers],[Aspergillus]], $G$4:$G$1201,Tabla213[[#This Row],[Organo]], $B$4:$B$1201,M284)</f>
        <v>0</v>
      </c>
      <c r="AA284">
        <f>COUNTIFS($H$4:$H$1201,Tabla213[[#Headers],[NO ID]], $G$4:$G$1201,Tabla213[[#This Row],[Organo]], $B$4:$B$1201,M284)</f>
        <v>0</v>
      </c>
      <c r="AB284">
        <f>COUNTIFS($H$4:$H$1201,Tabla213[[#Headers],[Trichoderma]], $G$4:$G$1201,Tabla213[[#This Row],[Organo]], $B$4:$B$1201,M284)</f>
        <v>0</v>
      </c>
      <c r="AC284">
        <f>COUNTIFS($H$4:$H$1201,Tabla213[[#Headers],[Rizophus]], $G$4:$G$1201,Tabla213[[#This Row],[Organo]], $B$4:$B$1201,M284)</f>
        <v>0</v>
      </c>
      <c r="AD284">
        <f>COUNTIFS($H$4:$H$1201,Tabla213[[#Headers],[FALTANTES]], $G$4:$G$1201,Tabla213[[#This Row],[Organo]], $B$4:$B$1201,M284)</f>
        <v>0</v>
      </c>
      <c r="AF284">
        <f t="shared" ref="AF284" si="286">SUM(Q283:AD284)</f>
        <v>8</v>
      </c>
      <c r="AG284">
        <f>COUNTIF($B$5:$B$1201, Tabla213[[#This Row],[Num. Parcela]])</f>
        <v>8</v>
      </c>
      <c r="AH284" t="b">
        <f t="shared" ref="AH284" si="287">IF(AF284=AG284, TRUE)</f>
        <v>1</v>
      </c>
      <c r="AK284">
        <v>109</v>
      </c>
      <c r="AL284" t="s">
        <v>94</v>
      </c>
      <c r="AM284" t="s">
        <v>126</v>
      </c>
      <c r="AN284" t="s">
        <v>476</v>
      </c>
    </row>
    <row r="285" spans="1:40" x14ac:dyDescent="0.2">
      <c r="A285" s="7">
        <v>351</v>
      </c>
      <c r="B285" s="7">
        <v>9.1</v>
      </c>
      <c r="C285" s="1" t="str">
        <f t="shared" si="262"/>
        <v>TIERRA DE POLLO 1</v>
      </c>
      <c r="D285" s="7" t="s">
        <v>108</v>
      </c>
      <c r="E285" s="1" t="str">
        <f t="shared" si="263"/>
        <v>GIDDINGS</v>
      </c>
      <c r="F285" s="7">
        <v>1</v>
      </c>
      <c r="G285" s="7" t="s">
        <v>477</v>
      </c>
      <c r="H285" s="7" t="s">
        <v>471</v>
      </c>
      <c r="I285" s="7" t="s">
        <v>471</v>
      </c>
      <c r="J285" s="7">
        <v>351</v>
      </c>
      <c r="K285" s="23" t="s">
        <v>638</v>
      </c>
      <c r="L285">
        <v>1</v>
      </c>
      <c r="M285">
        <v>110</v>
      </c>
      <c r="N285" t="s">
        <v>95</v>
      </c>
      <c r="O285" t="s">
        <v>126</v>
      </c>
      <c r="P285" t="s">
        <v>476</v>
      </c>
      <c r="Q285">
        <f>COUNTIFS($H$4:$H$1201,Tabla213[[#Headers],[Neopestalotiopsis]], $G$4:$G$1201,Tabla213[[#This Row],[Organo]], $B$4:$B$1201,M285)</f>
        <v>0</v>
      </c>
      <c r="R285">
        <f>COUNTIFS($H$4:$H$1201,Tabla213[[#Headers],[Fusarium]], $G$4:$G$1201,Tabla213[[#This Row],[Organo]], $B$4:$B$1201,M285)</f>
        <v>4</v>
      </c>
      <c r="S285">
        <f>COUNTIFS($H$4:$H$1201,Tabla213[[#Headers],[Cylindrocarpon]], $G$4:$G$1201,Tabla213[[#This Row],[Organo]], $B$4:$B$1201,M285)</f>
        <v>0</v>
      </c>
      <c r="T285">
        <f>COUNTIFS($H$4:$H$1201,Tabla213[[#Headers],[Macrophomina]], $G$4:$G$1201,Tabla213[[#This Row],[Organo]], $B$4:$B$1201,M285)</f>
        <v>0</v>
      </c>
      <c r="U285">
        <f>COUNTIFS($H$4:$H$1201,Tabla213[[#Headers],[Rhizoctonia]], $G$4:$G$1201,Tabla213[[#This Row],[Organo]], $B$4:$B$1201,M285)</f>
        <v>0</v>
      </c>
      <c r="V285">
        <v>1</v>
      </c>
      <c r="W285">
        <f>COUNTIFS($H$4:$H$1201,Tabla213[[#Headers],[Alternaria]], $G$4:$G$1201,Tabla213[[#This Row],[Organo]], $B$4:$B$1201,M285)</f>
        <v>0</v>
      </c>
      <c r="X285">
        <f>COUNTIFS($H$4:$H$1201,Tabla213[[#Headers],[Botrytis]], $G$4:$G$1201,Tabla213[[#This Row],[Organo]], $B$4:$B$1201,M285)</f>
        <v>0</v>
      </c>
      <c r="Y285">
        <f>COUNTIFS($H$4:$H$1201,Tabla213[[#Headers],[Colletotrichum]], $G$4:$G$1201,Tabla213[[#This Row],[Organo]], $B$4:$B$1201,M285)</f>
        <v>0</v>
      </c>
      <c r="Z285">
        <f>COUNTIFS($H$4:$H$1201,Tabla213[[#Headers],[Aspergillus]], $G$4:$G$1201,Tabla213[[#This Row],[Organo]], $B$4:$B$1201,M285)</f>
        <v>0</v>
      </c>
      <c r="AA285">
        <f>COUNTIFS($H$4:$H$1201,Tabla213[[#Headers],[NO ID]], $G$4:$G$1201,Tabla213[[#This Row],[Organo]], $B$4:$B$1201,M285)</f>
        <v>0</v>
      </c>
      <c r="AB285">
        <f>COUNTIFS($H$4:$H$1201,Tabla213[[#Headers],[Trichoderma]], $G$4:$G$1201,Tabla213[[#This Row],[Organo]], $B$4:$B$1201,M285)</f>
        <v>0</v>
      </c>
      <c r="AC285">
        <f>COUNTIFS($H$4:$H$1201,Tabla213[[#Headers],[Rizophus]], $G$4:$G$1201,Tabla213[[#This Row],[Organo]], $B$4:$B$1201,M285)</f>
        <v>0</v>
      </c>
      <c r="AD285">
        <f>COUNTIFS($H$4:$H$1201,Tabla213[[#Headers],[FALTANTES]], $G$4:$G$1201,Tabla213[[#This Row],[Organo]], $B$4:$B$1201,M285)</f>
        <v>0</v>
      </c>
      <c r="AK285">
        <v>110</v>
      </c>
      <c r="AL285" t="s">
        <v>95</v>
      </c>
      <c r="AM285" t="s">
        <v>126</v>
      </c>
      <c r="AN285" t="s">
        <v>477</v>
      </c>
    </row>
    <row r="286" spans="1:40" x14ac:dyDescent="0.2">
      <c r="A286" s="7">
        <v>352</v>
      </c>
      <c r="B286" s="7">
        <v>9.1</v>
      </c>
      <c r="C286" s="1" t="str">
        <f t="shared" si="262"/>
        <v>TIERRA DE POLLO 1</v>
      </c>
      <c r="D286" s="7" t="s">
        <v>108</v>
      </c>
      <c r="E286" s="1" t="str">
        <f t="shared" si="263"/>
        <v>GIDDINGS</v>
      </c>
      <c r="F286" s="7">
        <v>1</v>
      </c>
      <c r="G286" s="7" t="s">
        <v>477</v>
      </c>
      <c r="H286" s="7" t="s">
        <v>149</v>
      </c>
      <c r="I286" s="8" t="s">
        <v>478</v>
      </c>
      <c r="J286" s="7">
        <v>352</v>
      </c>
      <c r="K286" s="7"/>
      <c r="M286">
        <v>110</v>
      </c>
      <c r="N286" t="s">
        <v>95</v>
      </c>
      <c r="O286" t="s">
        <v>126</v>
      </c>
      <c r="P286" t="s">
        <v>477</v>
      </c>
      <c r="Q286">
        <f>COUNTIFS($H$4:$H$1201,Tabla213[[#Headers],[Neopestalotiopsis]], $G$4:$G$1201,Tabla213[[#This Row],[Organo]], $B$4:$B$1201,M286)</f>
        <v>0</v>
      </c>
      <c r="R286">
        <f>COUNTIFS($H$4:$H$1201,Tabla213[[#Headers],[Fusarium]], $G$4:$G$1201,Tabla213[[#This Row],[Organo]], $B$4:$B$1201,M286)</f>
        <v>1</v>
      </c>
      <c r="S286">
        <f>COUNTIFS($H$4:$H$1201,Tabla213[[#Headers],[Cylindrocarpon]], $G$4:$G$1201,Tabla213[[#This Row],[Organo]], $B$4:$B$1201,M286)</f>
        <v>0</v>
      </c>
      <c r="T286">
        <f>COUNTIFS($H$4:$H$1201,Tabla213[[#Headers],[Macrophomina]], $G$4:$G$1201,Tabla213[[#This Row],[Organo]], $B$4:$B$1201,M286)</f>
        <v>0</v>
      </c>
      <c r="U286">
        <f>COUNTIFS($H$4:$H$1201,Tabla213[[#Headers],[Rhizoctonia]], $G$4:$G$1201,Tabla213[[#This Row],[Organo]], $B$4:$B$1201,M286)</f>
        <v>1</v>
      </c>
      <c r="V286">
        <v>0</v>
      </c>
      <c r="W286">
        <f>COUNTIFS($H$4:$H$1201,Tabla213[[#Headers],[Alternaria]], $G$4:$G$1201,Tabla213[[#This Row],[Organo]], $B$4:$B$1201,M286)</f>
        <v>0</v>
      </c>
      <c r="X286">
        <f>COUNTIFS($H$4:$H$1201,Tabla213[[#Headers],[Botrytis]], $G$4:$G$1201,Tabla213[[#This Row],[Organo]], $B$4:$B$1201,M286)</f>
        <v>0</v>
      </c>
      <c r="Y286">
        <f>COUNTIFS($H$4:$H$1201,Tabla213[[#Headers],[Colletotrichum]], $G$4:$G$1201,Tabla213[[#This Row],[Organo]], $B$4:$B$1201,M286)</f>
        <v>0</v>
      </c>
      <c r="Z286">
        <f>COUNTIFS($H$4:$H$1201,Tabla213[[#Headers],[Aspergillus]], $G$4:$G$1201,Tabla213[[#This Row],[Organo]], $B$4:$B$1201,M286)</f>
        <v>0</v>
      </c>
      <c r="AA286">
        <f>COUNTIFS($H$4:$H$1201,Tabla213[[#Headers],[NO ID]], $G$4:$G$1201,Tabla213[[#This Row],[Organo]], $B$4:$B$1201,M286)</f>
        <v>0</v>
      </c>
      <c r="AB286">
        <f>COUNTIFS($H$4:$H$1201,Tabla213[[#Headers],[Trichoderma]], $G$4:$G$1201,Tabla213[[#This Row],[Organo]], $B$4:$B$1201,M286)</f>
        <v>0</v>
      </c>
      <c r="AC286">
        <f>COUNTIFS($H$4:$H$1201,Tabla213[[#Headers],[Rizophus]], $G$4:$G$1201,Tabla213[[#This Row],[Organo]], $B$4:$B$1201,M286)</f>
        <v>0</v>
      </c>
      <c r="AD286">
        <f>COUNTIFS($H$4:$H$1201,Tabla213[[#Headers],[FALTANTES]], $G$4:$G$1201,Tabla213[[#This Row],[Organo]], $B$4:$B$1201,M286)</f>
        <v>0</v>
      </c>
      <c r="AF286">
        <f t="shared" ref="AF286" si="288">SUM(Q285:AD286)</f>
        <v>7</v>
      </c>
      <c r="AG286">
        <f>COUNTIF($B$5:$B$1201, Tabla213[[#This Row],[Num. Parcela]])</f>
        <v>7</v>
      </c>
      <c r="AH286" t="b">
        <f t="shared" ref="AH286" si="289">IF(AF286=AG286, TRUE)</f>
        <v>1</v>
      </c>
      <c r="AK286">
        <v>110</v>
      </c>
      <c r="AL286" t="s">
        <v>95</v>
      </c>
      <c r="AM286" t="s">
        <v>126</v>
      </c>
      <c r="AN286" t="s">
        <v>476</v>
      </c>
    </row>
    <row r="287" spans="1:40" x14ac:dyDescent="0.2">
      <c r="A287" s="7">
        <v>353</v>
      </c>
      <c r="B287" s="7">
        <v>9.1</v>
      </c>
      <c r="C287" s="1" t="str">
        <f t="shared" si="262"/>
        <v>TIERRA DE POLLO 1</v>
      </c>
      <c r="D287" s="7" t="s">
        <v>108</v>
      </c>
      <c r="E287" s="1" t="str">
        <f t="shared" si="263"/>
        <v>GIDDINGS</v>
      </c>
      <c r="F287" s="7">
        <v>1</v>
      </c>
      <c r="G287" s="7" t="s">
        <v>477</v>
      </c>
      <c r="H287" s="7" t="s">
        <v>485</v>
      </c>
      <c r="I287" s="10" t="s">
        <v>485</v>
      </c>
      <c r="J287" s="10">
        <v>353</v>
      </c>
      <c r="K287" s="7"/>
      <c r="Q287">
        <f>SUM(Tabla213[Neopestalotiopsis])</f>
        <v>347</v>
      </c>
      <c r="R287">
        <f>SUM(Tabla213[Fusarium])</f>
        <v>384</v>
      </c>
      <c r="S287">
        <f>SUM(Tabla213[Cylindrocarpon])</f>
        <v>75</v>
      </c>
      <c r="T287">
        <f>SUM(Tabla213[Macrophomina])</f>
        <v>28</v>
      </c>
      <c r="U287">
        <f>SUM(Tabla213[Rhizoctonia])</f>
        <v>100</v>
      </c>
      <c r="V287">
        <f>SUM(Tabla213[Phytophthora])</f>
        <v>39</v>
      </c>
      <c r="W287">
        <f>SUM(Tabla213[Alternaria])</f>
        <v>29</v>
      </c>
      <c r="X287">
        <f>SUM(Tabla213[Botrytis])</f>
        <v>60</v>
      </c>
      <c r="Y287">
        <f>SUM(Tabla213[Colletotrichum])</f>
        <v>9</v>
      </c>
      <c r="Z287">
        <f>SUM(Tabla213[Aspergillus])</f>
        <v>3</v>
      </c>
      <c r="AA287">
        <f>SUM(Tabla213[NO ID])</f>
        <v>77</v>
      </c>
      <c r="AB287">
        <f>SUM(Tabla213[Trichoderma])</f>
        <v>28</v>
      </c>
      <c r="AC287">
        <f>SUM(Tabla213[Rizophus])</f>
        <v>2</v>
      </c>
      <c r="AD287">
        <f>SUM(Tabla213[FALTANTES])</f>
        <v>1</v>
      </c>
    </row>
    <row r="288" spans="1:40" x14ac:dyDescent="0.2">
      <c r="A288" s="7">
        <v>354</v>
      </c>
      <c r="B288" s="7">
        <v>9.1</v>
      </c>
      <c r="C288" s="1" t="str">
        <f t="shared" si="262"/>
        <v>TIERRA DE POLLO 1</v>
      </c>
      <c r="D288" s="7" t="s">
        <v>108</v>
      </c>
      <c r="E288" s="1" t="str">
        <f t="shared" si="263"/>
        <v>GIDDINGS</v>
      </c>
      <c r="F288" s="7">
        <v>2</v>
      </c>
      <c r="G288" s="7" t="s">
        <v>477</v>
      </c>
      <c r="H288" s="7" t="s">
        <v>149</v>
      </c>
      <c r="I288" s="7" t="s">
        <v>479</v>
      </c>
      <c r="J288" s="7">
        <v>354</v>
      </c>
      <c r="K288" s="7"/>
    </row>
    <row r="289" spans="1:38" x14ac:dyDescent="0.2">
      <c r="A289" s="7">
        <v>355</v>
      </c>
      <c r="B289" s="7">
        <v>9.1</v>
      </c>
      <c r="C289" s="1" t="str">
        <f t="shared" si="262"/>
        <v>TIERRA DE POLLO 1</v>
      </c>
      <c r="D289" s="7" t="s">
        <v>108</v>
      </c>
      <c r="E289" s="1" t="str">
        <f t="shared" si="263"/>
        <v>GIDDINGS</v>
      </c>
      <c r="F289" s="7">
        <v>2</v>
      </c>
      <c r="G289" s="7" t="s">
        <v>477</v>
      </c>
      <c r="H289" s="7" t="s">
        <v>149</v>
      </c>
      <c r="I289" s="7" t="s">
        <v>478</v>
      </c>
      <c r="J289" s="7">
        <v>355</v>
      </c>
      <c r="K289" s="7"/>
      <c r="L289">
        <f>SUM(L5:L286)</f>
        <v>42</v>
      </c>
      <c r="M289" t="s">
        <v>729</v>
      </c>
      <c r="Q289">
        <f>SUM(Q287:AD287)</f>
        <v>1182</v>
      </c>
      <c r="AF289">
        <f>SUM(AF2:AF286)</f>
        <v>1182</v>
      </c>
      <c r="AG289">
        <f>SUM(AG2:AG286)</f>
        <v>1197</v>
      </c>
    </row>
    <row r="290" spans="1:38" x14ac:dyDescent="0.2">
      <c r="A290" s="7">
        <v>326</v>
      </c>
      <c r="B290" s="7">
        <v>9.1999999999999993</v>
      </c>
      <c r="C290" s="1" t="str">
        <f t="shared" si="262"/>
        <v>TIERRA DE POLLO 2</v>
      </c>
      <c r="D290" s="7" t="s">
        <v>108</v>
      </c>
      <c r="E290" s="1" t="str">
        <f t="shared" si="263"/>
        <v>SANTA MARIA</v>
      </c>
      <c r="F290" s="7">
        <v>1</v>
      </c>
      <c r="G290" s="7" t="s">
        <v>476</v>
      </c>
      <c r="H290" s="7" t="s">
        <v>149</v>
      </c>
      <c r="I290" s="7" t="s">
        <v>480</v>
      </c>
      <c r="J290" s="7">
        <v>326</v>
      </c>
      <c r="K290" s="7"/>
      <c r="Q290">
        <f>1197-Q289</f>
        <v>15</v>
      </c>
    </row>
    <row r="291" spans="1:38" x14ac:dyDescent="0.2">
      <c r="A291" s="7">
        <v>327</v>
      </c>
      <c r="B291" s="7">
        <v>9.1999999999999993</v>
      </c>
      <c r="C291" s="1" t="str">
        <f t="shared" si="262"/>
        <v>TIERRA DE POLLO 2</v>
      </c>
      <c r="D291" s="7" t="s">
        <v>108</v>
      </c>
      <c r="E291" s="1" t="str">
        <f t="shared" si="263"/>
        <v>SANTA MARIA</v>
      </c>
      <c r="F291" s="7">
        <v>1</v>
      </c>
      <c r="G291" s="7" t="s">
        <v>476</v>
      </c>
      <c r="H291" s="7" t="s">
        <v>149</v>
      </c>
      <c r="I291" s="7" t="s">
        <v>480</v>
      </c>
      <c r="J291" s="7">
        <v>327</v>
      </c>
      <c r="K291" s="7"/>
    </row>
    <row r="292" spans="1:38" x14ac:dyDescent="0.2">
      <c r="A292" s="7">
        <v>328</v>
      </c>
      <c r="B292" s="7">
        <v>9.1999999999999993</v>
      </c>
      <c r="C292" s="1" t="str">
        <f t="shared" si="262"/>
        <v>TIERRA DE POLLO 2</v>
      </c>
      <c r="D292" s="7" t="s">
        <v>108</v>
      </c>
      <c r="E292" s="1" t="str">
        <f t="shared" si="263"/>
        <v>SANTA MARIA</v>
      </c>
      <c r="F292" s="7">
        <v>1</v>
      </c>
      <c r="G292" s="7" t="s">
        <v>476</v>
      </c>
      <c r="H292" s="7" t="s">
        <v>149</v>
      </c>
      <c r="I292" s="7" t="s">
        <v>480</v>
      </c>
      <c r="J292" s="7">
        <v>328</v>
      </c>
      <c r="K292" s="23" t="s">
        <v>638</v>
      </c>
    </row>
    <row r="293" spans="1:38" x14ac:dyDescent="0.2">
      <c r="A293" s="7">
        <v>329</v>
      </c>
      <c r="B293" s="7">
        <v>9.1999999999999993</v>
      </c>
      <c r="C293" s="1" t="str">
        <f t="shared" si="262"/>
        <v>TIERRA DE POLLO 2</v>
      </c>
      <c r="D293" s="7" t="s">
        <v>108</v>
      </c>
      <c r="E293" s="1" t="str">
        <f t="shared" si="263"/>
        <v>SANTA MARIA</v>
      </c>
      <c r="F293" s="7">
        <v>1</v>
      </c>
      <c r="G293" s="7" t="s">
        <v>476</v>
      </c>
      <c r="H293" s="7" t="s">
        <v>149</v>
      </c>
      <c r="I293" s="8" t="s">
        <v>478</v>
      </c>
      <c r="J293" s="7">
        <v>329</v>
      </c>
      <c r="K293" s="23" t="s">
        <v>638</v>
      </c>
    </row>
    <row r="294" spans="1:38" x14ac:dyDescent="0.2">
      <c r="A294" s="7">
        <v>330</v>
      </c>
      <c r="B294" s="7">
        <v>9.1999999999999993</v>
      </c>
      <c r="C294" s="1" t="str">
        <f t="shared" si="262"/>
        <v>TIERRA DE POLLO 2</v>
      </c>
      <c r="D294" s="7" t="s">
        <v>108</v>
      </c>
      <c r="E294" s="1" t="str">
        <f t="shared" si="263"/>
        <v>SANTA MARIA</v>
      </c>
      <c r="F294" s="7">
        <v>2</v>
      </c>
      <c r="G294" s="7" t="s">
        <v>476</v>
      </c>
      <c r="H294" s="7" t="s">
        <v>155</v>
      </c>
      <c r="I294" s="7" t="s">
        <v>155</v>
      </c>
      <c r="J294" s="7">
        <v>330</v>
      </c>
      <c r="K294" s="7"/>
      <c r="Q294" t="s">
        <v>155</v>
      </c>
      <c r="R294" t="s">
        <v>149</v>
      </c>
      <c r="S294" t="s">
        <v>473</v>
      </c>
      <c r="T294" t="s">
        <v>471</v>
      </c>
      <c r="U294" t="s">
        <v>228</v>
      </c>
      <c r="V294" t="s">
        <v>754</v>
      </c>
      <c r="W294" t="s">
        <v>475</v>
      </c>
      <c r="X294" t="s">
        <v>472</v>
      </c>
      <c r="Y294" t="s">
        <v>490</v>
      </c>
      <c r="Z294" t="s">
        <v>642</v>
      </c>
      <c r="AA294" t="s">
        <v>489</v>
      </c>
      <c r="AB294" t="s">
        <v>488</v>
      </c>
      <c r="AC294" t="s">
        <v>491</v>
      </c>
      <c r="AD294" t="s">
        <v>485</v>
      </c>
      <c r="AH294" t="s">
        <v>715</v>
      </c>
      <c r="AI294" t="s">
        <v>752</v>
      </c>
    </row>
    <row r="295" spans="1:38" x14ac:dyDescent="0.2">
      <c r="A295" s="7">
        <v>331</v>
      </c>
      <c r="B295" s="7">
        <v>9.1999999999999993</v>
      </c>
      <c r="C295" s="1" t="str">
        <f t="shared" si="262"/>
        <v>TIERRA DE POLLO 2</v>
      </c>
      <c r="D295" s="7" t="s">
        <v>108</v>
      </c>
      <c r="E295" s="1" t="str">
        <f t="shared" si="263"/>
        <v>SANTA MARIA</v>
      </c>
      <c r="F295" s="7">
        <v>2</v>
      </c>
      <c r="G295" s="7" t="s">
        <v>476</v>
      </c>
      <c r="H295" s="7" t="s">
        <v>149</v>
      </c>
      <c r="I295" s="7" t="s">
        <v>480</v>
      </c>
      <c r="J295" s="7">
        <v>331</v>
      </c>
      <c r="K295" s="7"/>
      <c r="Q295">
        <v>347</v>
      </c>
      <c r="R295">
        <v>384</v>
      </c>
      <c r="S295">
        <v>100</v>
      </c>
      <c r="T295">
        <v>75</v>
      </c>
      <c r="U295">
        <v>60</v>
      </c>
      <c r="V295">
        <v>39</v>
      </c>
      <c r="W295">
        <v>29</v>
      </c>
      <c r="X295">
        <v>28</v>
      </c>
      <c r="Y295">
        <v>28</v>
      </c>
      <c r="Z295">
        <v>9</v>
      </c>
      <c r="AA295">
        <v>3</v>
      </c>
      <c r="AB295">
        <v>2</v>
      </c>
      <c r="AC295">
        <v>1</v>
      </c>
      <c r="AD295">
        <v>77</v>
      </c>
      <c r="AH295" t="s">
        <v>149</v>
      </c>
      <c r="AI295">
        <v>384</v>
      </c>
      <c r="AK295" t="s">
        <v>149</v>
      </c>
      <c r="AL295">
        <v>384</v>
      </c>
    </row>
    <row r="296" spans="1:38" x14ac:dyDescent="0.2">
      <c r="A296" s="7">
        <v>332</v>
      </c>
      <c r="B296" s="7">
        <v>9.1999999999999993</v>
      </c>
      <c r="C296" s="1" t="str">
        <f t="shared" si="262"/>
        <v>TIERRA DE POLLO 2</v>
      </c>
      <c r="D296" s="7" t="s">
        <v>108</v>
      </c>
      <c r="E296" s="1" t="str">
        <f t="shared" si="263"/>
        <v>SANTA MARIA</v>
      </c>
      <c r="F296" s="7">
        <v>1</v>
      </c>
      <c r="G296" s="7" t="s">
        <v>477</v>
      </c>
      <c r="H296" s="7" t="s">
        <v>149</v>
      </c>
      <c r="I296" s="7" t="s">
        <v>480</v>
      </c>
      <c r="J296" s="7">
        <v>332</v>
      </c>
      <c r="K296" s="7"/>
      <c r="AH296" t="s">
        <v>155</v>
      </c>
      <c r="AI296">
        <v>347</v>
      </c>
      <c r="AK296" t="s">
        <v>155</v>
      </c>
      <c r="AL296">
        <v>347</v>
      </c>
    </row>
    <row r="297" spans="1:38" x14ac:dyDescent="0.2">
      <c r="A297" s="7">
        <v>333</v>
      </c>
      <c r="B297" s="7">
        <v>9.1999999999999993</v>
      </c>
      <c r="C297" s="1" t="str">
        <f t="shared" si="262"/>
        <v>TIERRA DE POLLO 2</v>
      </c>
      <c r="D297" s="7" t="s">
        <v>108</v>
      </c>
      <c r="E297" s="1" t="str">
        <f t="shared" si="263"/>
        <v>SANTA MARIA</v>
      </c>
      <c r="F297" s="7">
        <v>1</v>
      </c>
      <c r="G297" s="7" t="s">
        <v>477</v>
      </c>
      <c r="H297" s="7" t="s">
        <v>149</v>
      </c>
      <c r="I297" s="8" t="s">
        <v>478</v>
      </c>
      <c r="J297" s="7">
        <v>333</v>
      </c>
      <c r="K297" s="7"/>
      <c r="AH297" t="s">
        <v>473</v>
      </c>
      <c r="AI297">
        <v>100</v>
      </c>
      <c r="AK297" t="s">
        <v>473</v>
      </c>
      <c r="AL297">
        <v>100</v>
      </c>
    </row>
    <row r="298" spans="1:38" x14ac:dyDescent="0.2">
      <c r="A298" s="7">
        <v>334</v>
      </c>
      <c r="B298" s="7">
        <v>9.1999999999999993</v>
      </c>
      <c r="C298" s="1" t="str">
        <f t="shared" si="262"/>
        <v>TIERRA DE POLLO 2</v>
      </c>
      <c r="D298" s="7" t="s">
        <v>108</v>
      </c>
      <c r="E298" s="1" t="str">
        <f t="shared" si="263"/>
        <v>SANTA MARIA</v>
      </c>
      <c r="F298" s="7">
        <v>2</v>
      </c>
      <c r="G298" s="7" t="s">
        <v>477</v>
      </c>
      <c r="H298" s="7" t="s">
        <v>155</v>
      </c>
      <c r="I298" s="7" t="s">
        <v>155</v>
      </c>
      <c r="J298" s="7">
        <v>334</v>
      </c>
      <c r="K298" s="23" t="s">
        <v>638</v>
      </c>
      <c r="AH298" t="s">
        <v>485</v>
      </c>
      <c r="AI298">
        <v>77</v>
      </c>
      <c r="AK298" t="s">
        <v>485</v>
      </c>
      <c r="AL298">
        <v>77</v>
      </c>
    </row>
    <row r="299" spans="1:38" x14ac:dyDescent="0.2">
      <c r="A299" s="7">
        <v>335</v>
      </c>
      <c r="B299" s="7">
        <v>9.1999999999999993</v>
      </c>
      <c r="C299" s="1" t="str">
        <f t="shared" si="262"/>
        <v>TIERRA DE POLLO 2</v>
      </c>
      <c r="D299" s="7" t="s">
        <v>108</v>
      </c>
      <c r="E299" s="1" t="str">
        <f t="shared" si="263"/>
        <v>SANTA MARIA</v>
      </c>
      <c r="F299" s="7">
        <v>2</v>
      </c>
      <c r="G299" s="7" t="s">
        <v>477</v>
      </c>
      <c r="H299" s="7" t="s">
        <v>149</v>
      </c>
      <c r="I299" s="7" t="s">
        <v>480</v>
      </c>
      <c r="J299" s="7">
        <v>335</v>
      </c>
      <c r="K299" s="23" t="s">
        <v>638</v>
      </c>
      <c r="AH299" t="s">
        <v>471</v>
      </c>
      <c r="AI299">
        <v>75</v>
      </c>
      <c r="AK299" t="s">
        <v>471</v>
      </c>
      <c r="AL299">
        <v>75</v>
      </c>
    </row>
    <row r="300" spans="1:38" x14ac:dyDescent="0.2">
      <c r="A300" s="7">
        <v>336</v>
      </c>
      <c r="B300" s="7">
        <v>9.1999999999999993</v>
      </c>
      <c r="C300" s="1" t="str">
        <f t="shared" si="262"/>
        <v>TIERRA DE POLLO 2</v>
      </c>
      <c r="D300" s="7" t="s">
        <v>108</v>
      </c>
      <c r="E300" s="1" t="str">
        <f t="shared" si="263"/>
        <v>SANTA MARIA</v>
      </c>
      <c r="F300" s="7">
        <v>1</v>
      </c>
      <c r="G300" s="7" t="s">
        <v>477</v>
      </c>
      <c r="H300" s="7" t="s">
        <v>228</v>
      </c>
      <c r="I300" s="9" t="s">
        <v>487</v>
      </c>
      <c r="J300" s="9">
        <v>336</v>
      </c>
      <c r="K300" s="7"/>
      <c r="AH300" t="s">
        <v>228</v>
      </c>
      <c r="AI300">
        <v>60</v>
      </c>
      <c r="AK300" t="s">
        <v>228</v>
      </c>
      <c r="AL300">
        <v>60</v>
      </c>
    </row>
    <row r="301" spans="1:38" x14ac:dyDescent="0.2">
      <c r="A301" s="7">
        <v>337</v>
      </c>
      <c r="B301" s="7">
        <v>9.1999999999999993</v>
      </c>
      <c r="C301" s="1" t="str">
        <f t="shared" si="262"/>
        <v>TIERRA DE POLLO 2</v>
      </c>
      <c r="D301" s="7" t="s">
        <v>108</v>
      </c>
      <c r="E301" s="1" t="str">
        <f t="shared" si="263"/>
        <v>SANTA MARIA</v>
      </c>
      <c r="F301" s="7">
        <v>1</v>
      </c>
      <c r="G301" s="7" t="s">
        <v>477</v>
      </c>
      <c r="H301" s="7" t="s">
        <v>149</v>
      </c>
      <c r="I301" s="7" t="s">
        <v>480</v>
      </c>
      <c r="J301" s="7">
        <v>337</v>
      </c>
      <c r="K301" s="7"/>
      <c r="AH301" t="s">
        <v>474</v>
      </c>
      <c r="AI301">
        <v>39</v>
      </c>
      <c r="AK301" t="s">
        <v>474</v>
      </c>
      <c r="AL301">
        <v>39</v>
      </c>
    </row>
    <row r="302" spans="1:38" x14ac:dyDescent="0.2">
      <c r="A302" s="7">
        <v>338</v>
      </c>
      <c r="B302" s="7">
        <v>9.1999999999999993</v>
      </c>
      <c r="C302" s="1" t="str">
        <f t="shared" si="262"/>
        <v>TIERRA DE POLLO 2</v>
      </c>
      <c r="D302" s="7" t="s">
        <v>108</v>
      </c>
      <c r="E302" s="1" t="str">
        <f t="shared" si="263"/>
        <v>SANTA MARIA</v>
      </c>
      <c r="F302" s="7">
        <v>2</v>
      </c>
      <c r="G302" s="7" t="s">
        <v>477</v>
      </c>
      <c r="H302" s="7" t="s">
        <v>228</v>
      </c>
      <c r="I302" s="9" t="s">
        <v>487</v>
      </c>
      <c r="J302" s="9">
        <v>338</v>
      </c>
      <c r="K302" s="7"/>
      <c r="AH302" t="s">
        <v>475</v>
      </c>
      <c r="AI302">
        <v>29</v>
      </c>
      <c r="AK302" t="s">
        <v>475</v>
      </c>
      <c r="AL302">
        <v>29</v>
      </c>
    </row>
    <row r="303" spans="1:38" x14ac:dyDescent="0.2">
      <c r="A303" s="7">
        <v>339</v>
      </c>
      <c r="B303" s="7">
        <v>9.1999999999999993</v>
      </c>
      <c r="C303" s="1" t="str">
        <f t="shared" si="262"/>
        <v>TIERRA DE POLLO 2</v>
      </c>
      <c r="D303" s="7" t="s">
        <v>108</v>
      </c>
      <c r="E303" s="1" t="str">
        <f t="shared" si="263"/>
        <v>SANTA MARIA</v>
      </c>
      <c r="F303" s="7">
        <v>2</v>
      </c>
      <c r="G303" s="7" t="s">
        <v>477</v>
      </c>
      <c r="H303" s="7" t="s">
        <v>475</v>
      </c>
      <c r="I303" s="9" t="s">
        <v>475</v>
      </c>
      <c r="J303" s="9">
        <v>339</v>
      </c>
      <c r="K303" s="7"/>
      <c r="AH303" t="s">
        <v>472</v>
      </c>
      <c r="AI303">
        <v>28</v>
      </c>
      <c r="AK303" t="s">
        <v>472</v>
      </c>
      <c r="AL303">
        <v>28</v>
      </c>
    </row>
    <row r="304" spans="1:38" x14ac:dyDescent="0.2">
      <c r="A304" s="7">
        <v>340</v>
      </c>
      <c r="B304" s="7">
        <v>9.1999999999999993</v>
      </c>
      <c r="C304" s="1" t="str">
        <f t="shared" si="262"/>
        <v>TIERRA DE POLLO 2</v>
      </c>
      <c r="D304" s="7" t="s">
        <v>108</v>
      </c>
      <c r="E304" s="1" t="str">
        <f t="shared" si="263"/>
        <v>SANTA MARIA</v>
      </c>
      <c r="F304" s="7">
        <v>2</v>
      </c>
      <c r="G304" s="7" t="s">
        <v>477</v>
      </c>
      <c r="H304" s="7" t="s">
        <v>149</v>
      </c>
      <c r="I304" s="7" t="s">
        <v>479</v>
      </c>
      <c r="J304" s="7">
        <v>340</v>
      </c>
      <c r="K304" s="23" t="s">
        <v>638</v>
      </c>
      <c r="AH304" t="s">
        <v>490</v>
      </c>
      <c r="AI304">
        <v>28</v>
      </c>
      <c r="AK304" t="s">
        <v>490</v>
      </c>
      <c r="AL304">
        <v>28</v>
      </c>
    </row>
    <row r="305" spans="1:38" x14ac:dyDescent="0.2">
      <c r="A305" s="7">
        <v>341</v>
      </c>
      <c r="B305" s="7">
        <v>9.1999999999999993</v>
      </c>
      <c r="C305" s="1" t="str">
        <f t="shared" si="262"/>
        <v>TIERRA DE POLLO 2</v>
      </c>
      <c r="D305" s="7" t="s">
        <v>108</v>
      </c>
      <c r="E305" s="1" t="str">
        <f t="shared" si="263"/>
        <v>SANTA MARIA</v>
      </c>
      <c r="F305" s="7">
        <v>2</v>
      </c>
      <c r="G305" s="7" t="s">
        <v>477</v>
      </c>
      <c r="H305" s="7" t="s">
        <v>149</v>
      </c>
      <c r="I305" s="7" t="s">
        <v>480</v>
      </c>
      <c r="J305" s="7">
        <v>341</v>
      </c>
      <c r="K305" s="7"/>
      <c r="AH305" t="s">
        <v>642</v>
      </c>
      <c r="AI305">
        <v>9</v>
      </c>
      <c r="AK305" t="s">
        <v>642</v>
      </c>
      <c r="AL305">
        <v>9</v>
      </c>
    </row>
    <row r="306" spans="1:38" x14ac:dyDescent="0.2">
      <c r="A306" s="7">
        <v>356</v>
      </c>
      <c r="B306" s="7">
        <v>10</v>
      </c>
      <c r="C306" s="1" t="str">
        <f t="shared" si="262"/>
        <v>TIERRA DE GARCIA</v>
      </c>
      <c r="D306" s="7" t="s">
        <v>108</v>
      </c>
      <c r="E306" s="1" t="str">
        <f t="shared" si="263"/>
        <v>FORTUNA</v>
      </c>
      <c r="F306" s="7">
        <v>1</v>
      </c>
      <c r="G306" s="7" t="s">
        <v>476</v>
      </c>
      <c r="H306" s="7" t="s">
        <v>149</v>
      </c>
      <c r="I306" s="7" t="s">
        <v>479</v>
      </c>
      <c r="J306" s="7">
        <v>356</v>
      </c>
      <c r="K306" s="7"/>
      <c r="AH306" t="s">
        <v>489</v>
      </c>
      <c r="AI306">
        <v>3</v>
      </c>
      <c r="AK306" t="s">
        <v>489</v>
      </c>
      <c r="AL306">
        <v>3</v>
      </c>
    </row>
    <row r="307" spans="1:38" x14ac:dyDescent="0.2">
      <c r="A307" s="7">
        <v>357</v>
      </c>
      <c r="B307" s="7">
        <v>10</v>
      </c>
      <c r="C307" s="1" t="str">
        <f t="shared" si="262"/>
        <v>TIERRA DE GARCIA</v>
      </c>
      <c r="D307" s="7" t="s">
        <v>108</v>
      </c>
      <c r="E307" s="1" t="str">
        <f t="shared" si="263"/>
        <v>FORTUNA</v>
      </c>
      <c r="F307" s="7">
        <v>1</v>
      </c>
      <c r="G307" s="7" t="s">
        <v>476</v>
      </c>
      <c r="H307" s="7" t="s">
        <v>149</v>
      </c>
      <c r="I307" s="7" t="s">
        <v>480</v>
      </c>
      <c r="J307" s="7">
        <v>357</v>
      </c>
      <c r="K307" s="23" t="s">
        <v>638</v>
      </c>
      <c r="AH307" t="s">
        <v>488</v>
      </c>
      <c r="AI307">
        <v>2</v>
      </c>
      <c r="AK307" t="s">
        <v>488</v>
      </c>
      <c r="AL307">
        <v>2</v>
      </c>
    </row>
    <row r="308" spans="1:38" x14ac:dyDescent="0.2">
      <c r="A308" s="7">
        <v>358</v>
      </c>
      <c r="B308" s="7">
        <v>10</v>
      </c>
      <c r="C308" s="1" t="str">
        <f t="shared" si="262"/>
        <v>TIERRA DE GARCIA</v>
      </c>
      <c r="D308" s="7" t="s">
        <v>108</v>
      </c>
      <c r="E308" s="1" t="str">
        <f t="shared" si="263"/>
        <v>FORTUNA</v>
      </c>
      <c r="F308" s="7">
        <v>2</v>
      </c>
      <c r="G308" s="7" t="s">
        <v>476</v>
      </c>
      <c r="H308" s="7" t="s">
        <v>149</v>
      </c>
      <c r="I308" s="7" t="s">
        <v>479</v>
      </c>
      <c r="J308" s="7">
        <v>358</v>
      </c>
      <c r="K308" s="7"/>
      <c r="AH308" t="s">
        <v>491</v>
      </c>
      <c r="AI308">
        <v>1</v>
      </c>
      <c r="AK308" t="s">
        <v>491</v>
      </c>
      <c r="AL308">
        <v>1</v>
      </c>
    </row>
    <row r="309" spans="1:38" x14ac:dyDescent="0.2">
      <c r="A309" s="7">
        <v>359</v>
      </c>
      <c r="B309" s="7">
        <v>10</v>
      </c>
      <c r="C309" s="1" t="str">
        <f t="shared" si="262"/>
        <v>TIERRA DE GARCIA</v>
      </c>
      <c r="D309" s="7" t="s">
        <v>108</v>
      </c>
      <c r="E309" s="1" t="str">
        <f t="shared" si="263"/>
        <v>FORTUNA</v>
      </c>
      <c r="F309" s="7">
        <v>2</v>
      </c>
      <c r="G309" s="7" t="s">
        <v>476</v>
      </c>
      <c r="H309" s="7" t="s">
        <v>149</v>
      </c>
      <c r="I309" s="7" t="s">
        <v>479</v>
      </c>
      <c r="J309" s="7">
        <v>359</v>
      </c>
      <c r="K309" s="23" t="s">
        <v>638</v>
      </c>
    </row>
    <row r="310" spans="1:38" x14ac:dyDescent="0.2">
      <c r="A310" s="7">
        <v>360</v>
      </c>
      <c r="B310" s="7">
        <v>10</v>
      </c>
      <c r="C310" s="1" t="str">
        <f t="shared" si="262"/>
        <v>TIERRA DE GARCIA</v>
      </c>
      <c r="D310" s="7" t="s">
        <v>108</v>
      </c>
      <c r="E310" s="1" t="str">
        <f t="shared" si="263"/>
        <v>FORTUNA</v>
      </c>
      <c r="F310" s="7">
        <v>1</v>
      </c>
      <c r="G310" s="7" t="s">
        <v>477</v>
      </c>
      <c r="H310" s="7" t="s">
        <v>149</v>
      </c>
      <c r="I310" s="7" t="s">
        <v>480</v>
      </c>
      <c r="J310" s="7">
        <v>360</v>
      </c>
      <c r="K310" s="7"/>
    </row>
    <row r="311" spans="1:38" x14ac:dyDescent="0.2">
      <c r="A311" s="7">
        <v>361</v>
      </c>
      <c r="B311" s="7">
        <v>10</v>
      </c>
      <c r="C311" s="1" t="str">
        <f t="shared" si="262"/>
        <v>TIERRA DE GARCIA</v>
      </c>
      <c r="D311" s="7" t="s">
        <v>108</v>
      </c>
      <c r="E311" s="1" t="str">
        <f t="shared" si="263"/>
        <v>FORTUNA</v>
      </c>
      <c r="F311" s="7">
        <v>1</v>
      </c>
      <c r="G311" s="7" t="s">
        <v>477</v>
      </c>
      <c r="H311" s="7" t="s">
        <v>149</v>
      </c>
      <c r="I311" s="7" t="s">
        <v>480</v>
      </c>
      <c r="J311" s="7">
        <v>361</v>
      </c>
      <c r="K311" s="7"/>
    </row>
    <row r="312" spans="1:38" x14ac:dyDescent="0.2">
      <c r="A312" s="7">
        <v>362</v>
      </c>
      <c r="B312" s="7">
        <v>10</v>
      </c>
      <c r="C312" s="1" t="str">
        <f t="shared" si="262"/>
        <v>TIERRA DE GARCIA</v>
      </c>
      <c r="D312" s="7" t="s">
        <v>108</v>
      </c>
      <c r="E312" s="1" t="str">
        <f t="shared" si="263"/>
        <v>FORTUNA</v>
      </c>
      <c r="F312" s="7">
        <v>2</v>
      </c>
      <c r="G312" s="7" t="s">
        <v>477</v>
      </c>
      <c r="H312" s="7" t="s">
        <v>485</v>
      </c>
      <c r="I312" s="10" t="s">
        <v>485</v>
      </c>
      <c r="J312" s="10">
        <v>362</v>
      </c>
      <c r="K312" s="7"/>
    </row>
    <row r="313" spans="1:38" x14ac:dyDescent="0.2">
      <c r="A313" s="7">
        <v>363</v>
      </c>
      <c r="B313" s="7">
        <v>10</v>
      </c>
      <c r="C313" s="1" t="str">
        <f t="shared" si="262"/>
        <v>TIERRA DE GARCIA</v>
      </c>
      <c r="D313" s="7" t="s">
        <v>108</v>
      </c>
      <c r="E313" s="1" t="str">
        <f t="shared" si="263"/>
        <v>FORTUNA</v>
      </c>
      <c r="F313" s="7">
        <v>2</v>
      </c>
      <c r="G313" s="7" t="s">
        <v>477</v>
      </c>
      <c r="H313" s="7" t="s">
        <v>228</v>
      </c>
      <c r="I313" s="9" t="s">
        <v>487</v>
      </c>
      <c r="J313" s="9">
        <v>363</v>
      </c>
      <c r="K313" s="7"/>
    </row>
    <row r="314" spans="1:38" x14ac:dyDescent="0.2">
      <c r="A314" s="7">
        <v>364</v>
      </c>
      <c r="B314" s="7">
        <v>10</v>
      </c>
      <c r="C314" s="1" t="str">
        <f t="shared" si="262"/>
        <v>TIERRA DE GARCIA</v>
      </c>
      <c r="D314" s="7" t="s">
        <v>108</v>
      </c>
      <c r="E314" s="1" t="str">
        <f t="shared" si="263"/>
        <v>FORTUNA</v>
      </c>
      <c r="F314" s="7">
        <v>1</v>
      </c>
      <c r="G314" s="7" t="s">
        <v>477</v>
      </c>
      <c r="H314" s="7" t="s">
        <v>149</v>
      </c>
      <c r="I314" s="7" t="s">
        <v>480</v>
      </c>
      <c r="J314" s="7">
        <v>364</v>
      </c>
      <c r="K314" s="7"/>
    </row>
    <row r="315" spans="1:38" x14ac:dyDescent="0.2">
      <c r="A315" s="7">
        <v>365</v>
      </c>
      <c r="B315" s="7">
        <v>10</v>
      </c>
      <c r="C315" s="1" t="str">
        <f t="shared" si="262"/>
        <v>TIERRA DE GARCIA</v>
      </c>
      <c r="D315" s="7" t="s">
        <v>108</v>
      </c>
      <c r="E315" s="1" t="str">
        <f t="shared" si="263"/>
        <v>FORTUNA</v>
      </c>
      <c r="F315" s="7">
        <v>1</v>
      </c>
      <c r="G315" s="7" t="s">
        <v>477</v>
      </c>
      <c r="H315" s="7" t="s">
        <v>471</v>
      </c>
      <c r="I315" s="7" t="s">
        <v>471</v>
      </c>
      <c r="J315" s="7">
        <v>365</v>
      </c>
      <c r="K315" s="23" t="s">
        <v>638</v>
      </c>
    </row>
    <row r="316" spans="1:38" x14ac:dyDescent="0.2">
      <c r="A316" s="7">
        <v>366</v>
      </c>
      <c r="B316" s="7">
        <v>10</v>
      </c>
      <c r="C316" s="1" t="str">
        <f t="shared" si="262"/>
        <v>TIERRA DE GARCIA</v>
      </c>
      <c r="D316" s="7" t="s">
        <v>108</v>
      </c>
      <c r="E316" s="1" t="str">
        <f t="shared" si="263"/>
        <v>FORTUNA</v>
      </c>
      <c r="F316" s="7">
        <v>1</v>
      </c>
      <c r="G316" s="7" t="s">
        <v>477</v>
      </c>
      <c r="H316" s="7" t="s">
        <v>149</v>
      </c>
      <c r="I316" s="7" t="s">
        <v>480</v>
      </c>
      <c r="J316" s="7">
        <v>366</v>
      </c>
      <c r="K316" s="7"/>
    </row>
    <row r="317" spans="1:38" x14ac:dyDescent="0.2">
      <c r="A317" s="7">
        <v>367</v>
      </c>
      <c r="B317" s="7">
        <v>10</v>
      </c>
      <c r="C317" s="1" t="str">
        <f t="shared" si="262"/>
        <v>TIERRA DE GARCIA</v>
      </c>
      <c r="D317" s="7" t="s">
        <v>108</v>
      </c>
      <c r="E317" s="1" t="str">
        <f t="shared" si="263"/>
        <v>FORTUNA</v>
      </c>
      <c r="F317" s="7">
        <v>2</v>
      </c>
      <c r="G317" s="7" t="s">
        <v>477</v>
      </c>
      <c r="H317" s="7" t="s">
        <v>471</v>
      </c>
      <c r="I317" s="7" t="s">
        <v>471</v>
      </c>
      <c r="J317" s="7">
        <v>367</v>
      </c>
      <c r="K317" s="23" t="s">
        <v>638</v>
      </c>
    </row>
    <row r="318" spans="1:38" x14ac:dyDescent="0.2">
      <c r="A318" s="7">
        <v>368</v>
      </c>
      <c r="B318" s="7">
        <v>10</v>
      </c>
      <c r="C318" s="1" t="str">
        <f t="shared" si="262"/>
        <v>TIERRA DE GARCIA</v>
      </c>
      <c r="D318" s="7" t="s">
        <v>108</v>
      </c>
      <c r="E318" s="1" t="str">
        <f t="shared" si="263"/>
        <v>FORTUNA</v>
      </c>
      <c r="F318" s="7">
        <v>2</v>
      </c>
      <c r="G318" s="7" t="s">
        <v>477</v>
      </c>
      <c r="H318" s="7" t="s">
        <v>491</v>
      </c>
      <c r="I318" s="8" t="s">
        <v>491</v>
      </c>
      <c r="J318" s="8">
        <v>368</v>
      </c>
      <c r="K318" s="7"/>
    </row>
    <row r="319" spans="1:38" x14ac:dyDescent="0.2">
      <c r="A319" s="7">
        <v>239</v>
      </c>
      <c r="B319" s="7">
        <v>11</v>
      </c>
      <c r="C319" s="1" t="str">
        <f t="shared" si="262"/>
        <v>LA GALERA 1</v>
      </c>
      <c r="D319" s="7" t="s">
        <v>108</v>
      </c>
      <c r="E319" s="1" t="str">
        <f t="shared" si="263"/>
        <v>SENSATION</v>
      </c>
      <c r="F319" s="7">
        <v>1</v>
      </c>
      <c r="G319" s="7" t="s">
        <v>476</v>
      </c>
      <c r="H319" s="7" t="s">
        <v>149</v>
      </c>
      <c r="I319" s="7" t="s">
        <v>480</v>
      </c>
      <c r="J319" s="7">
        <v>239</v>
      </c>
      <c r="K319" s="19" t="s">
        <v>638</v>
      </c>
    </row>
    <row r="320" spans="1:38" x14ac:dyDescent="0.2">
      <c r="A320" s="7">
        <v>240</v>
      </c>
      <c r="B320" s="7">
        <v>11</v>
      </c>
      <c r="C320" s="1" t="str">
        <f t="shared" si="262"/>
        <v>LA GALERA 1</v>
      </c>
      <c r="D320" s="7" t="s">
        <v>108</v>
      </c>
      <c r="E320" s="1" t="str">
        <f t="shared" si="263"/>
        <v>SENSATION</v>
      </c>
      <c r="F320" s="7">
        <v>2</v>
      </c>
      <c r="G320" s="7" t="s">
        <v>476</v>
      </c>
      <c r="H320" s="7" t="s">
        <v>149</v>
      </c>
      <c r="I320" s="7" t="s">
        <v>479</v>
      </c>
      <c r="J320" s="7">
        <v>240</v>
      </c>
      <c r="K320" s="7"/>
    </row>
    <row r="321" spans="1:11" x14ac:dyDescent="0.2">
      <c r="A321" s="7">
        <v>241</v>
      </c>
      <c r="B321" s="7">
        <v>11</v>
      </c>
      <c r="C321" s="1" t="str">
        <f t="shared" si="262"/>
        <v>LA GALERA 1</v>
      </c>
      <c r="D321" s="7" t="s">
        <v>108</v>
      </c>
      <c r="E321" s="1" t="str">
        <f t="shared" si="263"/>
        <v>SENSATION</v>
      </c>
      <c r="F321" s="7">
        <v>2</v>
      </c>
      <c r="G321" s="7" t="s">
        <v>477</v>
      </c>
      <c r="H321" s="7" t="s">
        <v>149</v>
      </c>
      <c r="I321" s="7" t="s">
        <v>479</v>
      </c>
      <c r="J321" s="7">
        <v>241</v>
      </c>
      <c r="K321" s="19" t="s">
        <v>638</v>
      </c>
    </row>
    <row r="322" spans="1:11" x14ac:dyDescent="0.2">
      <c r="A322" s="7">
        <v>242</v>
      </c>
      <c r="B322" s="7">
        <v>11</v>
      </c>
      <c r="C322" s="1" t="str">
        <f t="shared" si="262"/>
        <v>LA GALERA 1</v>
      </c>
      <c r="D322" s="7" t="s">
        <v>108</v>
      </c>
      <c r="E322" s="1" t="str">
        <f t="shared" si="263"/>
        <v>SENSATION</v>
      </c>
      <c r="F322" s="7">
        <v>2</v>
      </c>
      <c r="G322" s="7" t="s">
        <v>477</v>
      </c>
      <c r="H322" s="7" t="s">
        <v>149</v>
      </c>
      <c r="I322" s="7" t="s">
        <v>484</v>
      </c>
      <c r="J322" s="7">
        <v>242</v>
      </c>
      <c r="K322" s="19" t="s">
        <v>638</v>
      </c>
    </row>
    <row r="323" spans="1:11" x14ac:dyDescent="0.2">
      <c r="A323" s="7">
        <v>243</v>
      </c>
      <c r="B323" s="7">
        <v>11</v>
      </c>
      <c r="C323" s="1" t="str">
        <f t="shared" si="262"/>
        <v>LA GALERA 1</v>
      </c>
      <c r="D323" s="7" t="s">
        <v>108</v>
      </c>
      <c r="E323" s="1" t="str">
        <f t="shared" si="263"/>
        <v>SENSATION</v>
      </c>
      <c r="F323" s="7">
        <v>3</v>
      </c>
      <c r="G323" s="7" t="s">
        <v>477</v>
      </c>
      <c r="H323" s="7" t="s">
        <v>149</v>
      </c>
      <c r="I323" s="7" t="s">
        <v>479</v>
      </c>
      <c r="J323" s="7">
        <v>243</v>
      </c>
      <c r="K323" s="7"/>
    </row>
    <row r="324" spans="1:11" x14ac:dyDescent="0.2">
      <c r="A324" s="7">
        <v>244</v>
      </c>
      <c r="B324" s="7">
        <v>11</v>
      </c>
      <c r="C324" s="1" t="str">
        <f t="shared" si="262"/>
        <v>LA GALERA 1</v>
      </c>
      <c r="D324" s="7" t="s">
        <v>108</v>
      </c>
      <c r="E324" s="1" t="str">
        <f t="shared" si="263"/>
        <v>SENSATION</v>
      </c>
      <c r="F324" s="7">
        <v>4</v>
      </c>
      <c r="G324" s="7" t="s">
        <v>477</v>
      </c>
      <c r="H324" s="7" t="s">
        <v>149</v>
      </c>
      <c r="I324" s="7" t="s">
        <v>479</v>
      </c>
      <c r="J324" s="7">
        <v>244</v>
      </c>
      <c r="K324" s="7"/>
    </row>
    <row r="325" spans="1:11" x14ac:dyDescent="0.2">
      <c r="A325" s="7">
        <v>245</v>
      </c>
      <c r="B325" s="7">
        <v>11</v>
      </c>
      <c r="C325" s="1" t="str">
        <f t="shared" ref="C325:C388" si="290">IF(B325=1.1,"EL PEJO 1",IF(B325=1.2,"EL PEJO 2",IF(B325=1.3,"EL PEJO 3",IF(B325=1.4,"EL PEJO 4",IF(B325=2,"LA MAGUELLERA",IF(B325=3,"RANCHO ALVAREZ",IF(B325=4.1,"CANINDO 2",IF(B325=4.2,"CANINDO 3",IF(B325=4.3,"CANINDO 1",IF(B325=5.1,"CIRILLO 2",IF(B325=5.2,"CIRILLO 1",IF(B325=6,"PANTANO MEDIO",IF(B325=7,"PANTABAJO",IF(B325=8.1,"CHAVA MARTINEZ 1",IF(B325=8.2,"CHAVA MARTINEZ 2",IF(B325=9.1,"TIERRA DE POLLO 1",IF(B325=9.2,"TIERRA DE POLLO 2",IF(B325=10,"TIERRA DE GARCIA",IF(B325=11,"LA GALERA 1",IF(B325=12,"GALERA 2",IF(B325=13,"GALERA 3",IF(B325=14.1,"EL TRIANGULO 1",IF(B325=14.2,"EL TRIANGULO 2",IF(B325=15.1,"LA CRUZ 1",IF(B325=15.2,"LA CRUZ 2",IF(B325=16.1,"LUIS ROMERO 1",IF(B325=16.2,"LUIS ROMERO 2",IF(B325=17,"MAURILIO 1",IF(B325=18,"HUGO NAVARRO 1",)))))))))))))))))))))))))))))</f>
        <v>LA GALERA 1</v>
      </c>
      <c r="D325" s="7" t="s">
        <v>108</v>
      </c>
      <c r="E325" s="1" t="str">
        <f t="shared" ref="E325:E364" si="291">IF(B325=1.1,"SENSATION",IF(B325=1.2,"VICTOR",IF(B325=1.3,"SANTA MARIA",IF(B325=1.4,"WARRIOR",IF(B325=2,"SAYULA",IF(B325=3,"SAYULA",IF(B325=4.1,"SAYULA",IF(B325=4.2,"SANTA MARIA",IF(B325=4.3,"NIÑA",IF(B325=5.1,"SAYULA",IF(B325=5.2,"SENSATION",IF(B325=6,"FORTUNA",IF(B325=7,"SENSATION",IF(B325=8.1,"FORTUNA",IF(B325=8.2,"ADELANTO",IF(B325=9.1,"GIDDINGS",IF(B325=9.2,"SANTA MARIA",IF(B325=10,"FORTUNA",IF(B325=11,"SENSATION",IF(B325=12,"SENSATION",IF(B325=13,"FRONTERA",IF(B325=14.1,"SENSATION",IF(B325=14.2,"CODIGO",IF(B325=15.1,"FRONTERA",IF(B325=15.2,"SAYULA",IF(B325=16.1,"SANTA MARIA &amp; FRONTERA",IF(B325=16.2,"SAYULA",IF(B325=17,"NO DOCUMENTADO",IF(B325=18,"NO DOCUMENTADO",IF(B325=19,"NO DOCUMENTADO"))))))))))))))))))))))))))))))</f>
        <v>SENSATION</v>
      </c>
      <c r="F325" s="7">
        <v>4</v>
      </c>
      <c r="G325" s="7" t="s">
        <v>477</v>
      </c>
      <c r="H325" s="7" t="s">
        <v>149</v>
      </c>
      <c r="I325" s="7" t="s">
        <v>480</v>
      </c>
      <c r="J325" s="7">
        <v>245</v>
      </c>
      <c r="K325" s="7"/>
    </row>
    <row r="326" spans="1:11" x14ac:dyDescent="0.2">
      <c r="A326" s="7">
        <v>246</v>
      </c>
      <c r="B326" s="7">
        <v>11</v>
      </c>
      <c r="C326" s="1" t="str">
        <f t="shared" si="290"/>
        <v>LA GALERA 1</v>
      </c>
      <c r="D326" s="7" t="s">
        <v>108</v>
      </c>
      <c r="E326" s="1" t="str">
        <f t="shared" si="291"/>
        <v>SENSATION</v>
      </c>
      <c r="F326" s="7">
        <v>4</v>
      </c>
      <c r="G326" s="7" t="s">
        <v>476</v>
      </c>
      <c r="H326" s="7" t="s">
        <v>155</v>
      </c>
      <c r="I326" s="7" t="s">
        <v>223</v>
      </c>
      <c r="J326" s="8">
        <v>246</v>
      </c>
      <c r="K326" s="7"/>
    </row>
    <row r="327" spans="1:11" x14ac:dyDescent="0.2">
      <c r="A327" s="7">
        <v>247</v>
      </c>
      <c r="B327" s="7">
        <v>12</v>
      </c>
      <c r="C327" s="1" t="str">
        <f t="shared" si="290"/>
        <v>GALERA 2</v>
      </c>
      <c r="D327" s="7" t="s">
        <v>108</v>
      </c>
      <c r="E327" s="1" t="str">
        <f t="shared" si="291"/>
        <v>SENSATION</v>
      </c>
      <c r="F327" s="7">
        <v>1</v>
      </c>
      <c r="G327" s="7" t="s">
        <v>476</v>
      </c>
      <c r="H327" s="7" t="s">
        <v>149</v>
      </c>
      <c r="I327" s="7" t="s">
        <v>479</v>
      </c>
      <c r="J327" s="8">
        <v>247</v>
      </c>
      <c r="K327" s="7"/>
    </row>
    <row r="328" spans="1:11" x14ac:dyDescent="0.2">
      <c r="A328" s="7">
        <v>248</v>
      </c>
      <c r="B328" s="7">
        <v>12</v>
      </c>
      <c r="C328" s="1" t="str">
        <f t="shared" si="290"/>
        <v>GALERA 2</v>
      </c>
      <c r="D328" s="7" t="s">
        <v>108</v>
      </c>
      <c r="E328" s="1" t="str">
        <f t="shared" si="291"/>
        <v>SENSATION</v>
      </c>
      <c r="F328" s="7">
        <v>2</v>
      </c>
      <c r="G328" s="7" t="s">
        <v>476</v>
      </c>
      <c r="H328" s="7" t="s">
        <v>155</v>
      </c>
      <c r="I328" s="7" t="s">
        <v>155</v>
      </c>
      <c r="J328" s="7">
        <v>248</v>
      </c>
      <c r="K328" s="19" t="s">
        <v>638</v>
      </c>
    </row>
    <row r="329" spans="1:11" x14ac:dyDescent="0.2">
      <c r="A329" s="7">
        <v>249</v>
      </c>
      <c r="B329" s="7">
        <v>12</v>
      </c>
      <c r="C329" s="1" t="str">
        <f t="shared" si="290"/>
        <v>GALERA 2</v>
      </c>
      <c r="D329" s="7" t="s">
        <v>108</v>
      </c>
      <c r="E329" s="1" t="str">
        <f t="shared" si="291"/>
        <v>SENSATION</v>
      </c>
      <c r="F329" s="7">
        <v>2</v>
      </c>
      <c r="G329" s="7" t="s">
        <v>476</v>
      </c>
      <c r="H329" s="7" t="s">
        <v>155</v>
      </c>
      <c r="I329" s="7" t="s">
        <v>155</v>
      </c>
      <c r="J329" s="7">
        <v>249</v>
      </c>
      <c r="K329" s="7"/>
    </row>
    <row r="330" spans="1:11" x14ac:dyDescent="0.2">
      <c r="A330" s="7">
        <v>250</v>
      </c>
      <c r="B330" s="7">
        <v>12</v>
      </c>
      <c r="C330" s="1" t="str">
        <f t="shared" si="290"/>
        <v>GALERA 2</v>
      </c>
      <c r="D330" s="7" t="s">
        <v>108</v>
      </c>
      <c r="E330" s="1" t="str">
        <f t="shared" si="291"/>
        <v>SENSATION</v>
      </c>
      <c r="F330" s="7">
        <v>2</v>
      </c>
      <c r="G330" s="7" t="s">
        <v>476</v>
      </c>
      <c r="H330" s="7" t="s">
        <v>155</v>
      </c>
      <c r="I330" s="7" t="s">
        <v>155</v>
      </c>
      <c r="J330" s="7">
        <v>250</v>
      </c>
      <c r="K330" s="7"/>
    </row>
    <row r="331" spans="1:11" x14ac:dyDescent="0.2">
      <c r="A331" s="7">
        <v>251</v>
      </c>
      <c r="B331" s="7">
        <v>12</v>
      </c>
      <c r="C331" s="1" t="str">
        <f t="shared" si="290"/>
        <v>GALERA 2</v>
      </c>
      <c r="D331" s="7" t="s">
        <v>108</v>
      </c>
      <c r="E331" s="1" t="str">
        <f t="shared" si="291"/>
        <v>SENSATION</v>
      </c>
      <c r="F331" s="7">
        <v>2</v>
      </c>
      <c r="G331" s="7" t="s">
        <v>476</v>
      </c>
      <c r="H331" s="7" t="s">
        <v>228</v>
      </c>
      <c r="I331" s="9" t="s">
        <v>487</v>
      </c>
      <c r="J331" s="9">
        <v>251</v>
      </c>
      <c r="K331" s="7"/>
    </row>
    <row r="332" spans="1:11" x14ac:dyDescent="0.2">
      <c r="A332" s="7">
        <v>252</v>
      </c>
      <c r="B332" s="7">
        <v>12</v>
      </c>
      <c r="C332" s="1" t="str">
        <f t="shared" si="290"/>
        <v>GALERA 2</v>
      </c>
      <c r="D332" s="7" t="s">
        <v>108</v>
      </c>
      <c r="E332" s="1" t="str">
        <f t="shared" si="291"/>
        <v>SENSATION</v>
      </c>
      <c r="F332" s="7">
        <v>3</v>
      </c>
      <c r="G332" s="7" t="s">
        <v>476</v>
      </c>
      <c r="H332" s="7" t="s">
        <v>149</v>
      </c>
      <c r="I332" s="8" t="s">
        <v>478</v>
      </c>
      <c r="J332" s="7">
        <v>252</v>
      </c>
      <c r="K332" s="19" t="s">
        <v>638</v>
      </c>
    </row>
    <row r="333" spans="1:11" x14ac:dyDescent="0.2">
      <c r="A333" s="7">
        <v>253</v>
      </c>
      <c r="B333" s="7">
        <v>12</v>
      </c>
      <c r="C333" s="1" t="str">
        <f t="shared" si="290"/>
        <v>GALERA 2</v>
      </c>
      <c r="D333" s="7" t="s">
        <v>108</v>
      </c>
      <c r="E333" s="1" t="str">
        <f t="shared" si="291"/>
        <v>SENSATION</v>
      </c>
      <c r="F333" s="7">
        <v>3</v>
      </c>
      <c r="G333" s="7" t="s">
        <v>476</v>
      </c>
      <c r="H333" s="7" t="s">
        <v>155</v>
      </c>
      <c r="I333" s="7" t="s">
        <v>155</v>
      </c>
      <c r="J333" s="7">
        <v>253</v>
      </c>
      <c r="K333" s="7" t="s">
        <v>638</v>
      </c>
    </row>
    <row r="334" spans="1:11" x14ac:dyDescent="0.2">
      <c r="A334" s="7">
        <v>254</v>
      </c>
      <c r="B334" s="7">
        <v>12</v>
      </c>
      <c r="C334" s="1" t="str">
        <f t="shared" si="290"/>
        <v>GALERA 2</v>
      </c>
      <c r="D334" s="7" t="s">
        <v>108</v>
      </c>
      <c r="E334" s="1" t="str">
        <f t="shared" si="291"/>
        <v>SENSATION</v>
      </c>
      <c r="F334" s="7">
        <v>3</v>
      </c>
      <c r="G334" s="7" t="s">
        <v>476</v>
      </c>
      <c r="H334" s="7" t="s">
        <v>149</v>
      </c>
      <c r="I334" s="8" t="s">
        <v>478</v>
      </c>
      <c r="J334" s="7">
        <v>254</v>
      </c>
      <c r="K334" s="7"/>
    </row>
    <row r="335" spans="1:11" x14ac:dyDescent="0.2">
      <c r="A335" s="7">
        <v>255</v>
      </c>
      <c r="B335" s="7">
        <v>12</v>
      </c>
      <c r="C335" s="1" t="str">
        <f t="shared" si="290"/>
        <v>GALERA 2</v>
      </c>
      <c r="D335" s="7" t="s">
        <v>108</v>
      </c>
      <c r="E335" s="1" t="str">
        <f t="shared" si="291"/>
        <v>SENSATION</v>
      </c>
      <c r="F335" s="7">
        <v>1</v>
      </c>
      <c r="G335" s="7" t="s">
        <v>477</v>
      </c>
      <c r="H335" s="7" t="s">
        <v>149</v>
      </c>
      <c r="I335" s="7" t="s">
        <v>479</v>
      </c>
      <c r="J335" s="8">
        <v>255</v>
      </c>
      <c r="K335" s="7"/>
    </row>
    <row r="336" spans="1:11" x14ac:dyDescent="0.2">
      <c r="A336" s="7">
        <v>256</v>
      </c>
      <c r="B336" s="7">
        <v>12</v>
      </c>
      <c r="C336" s="1" t="str">
        <f t="shared" si="290"/>
        <v>GALERA 2</v>
      </c>
      <c r="D336" s="7" t="s">
        <v>108</v>
      </c>
      <c r="E336" s="1" t="str">
        <f t="shared" si="291"/>
        <v>SENSATION</v>
      </c>
      <c r="F336" s="7">
        <v>2</v>
      </c>
      <c r="G336" s="7" t="s">
        <v>477</v>
      </c>
      <c r="H336" s="7" t="s">
        <v>155</v>
      </c>
      <c r="I336" s="7" t="s">
        <v>155</v>
      </c>
      <c r="J336" s="7">
        <v>256</v>
      </c>
      <c r="K336" s="7"/>
    </row>
    <row r="337" spans="1:11" x14ac:dyDescent="0.2">
      <c r="A337" s="7">
        <v>257</v>
      </c>
      <c r="B337" s="7">
        <v>12</v>
      </c>
      <c r="C337" s="1" t="str">
        <f t="shared" si="290"/>
        <v>GALERA 2</v>
      </c>
      <c r="D337" s="7" t="s">
        <v>108</v>
      </c>
      <c r="E337" s="1" t="str">
        <f t="shared" si="291"/>
        <v>SENSATION</v>
      </c>
      <c r="F337" s="7">
        <v>3</v>
      </c>
      <c r="G337" s="7" t="s">
        <v>477</v>
      </c>
      <c r="H337" s="7" t="s">
        <v>149</v>
      </c>
      <c r="I337" s="7" t="s">
        <v>480</v>
      </c>
      <c r="J337" s="7">
        <v>257</v>
      </c>
      <c r="K337" s="7" t="s">
        <v>638</v>
      </c>
    </row>
    <row r="338" spans="1:11" x14ac:dyDescent="0.2">
      <c r="A338" s="7">
        <v>258</v>
      </c>
      <c r="B338" s="7">
        <v>13</v>
      </c>
      <c r="C338" s="1" t="str">
        <f t="shared" si="290"/>
        <v>GALERA 3</v>
      </c>
      <c r="D338" s="7" t="s">
        <v>108</v>
      </c>
      <c r="E338" s="1" t="str">
        <f t="shared" si="291"/>
        <v>FRONTERA</v>
      </c>
      <c r="F338" s="7">
        <v>1</v>
      </c>
      <c r="G338" s="7" t="s">
        <v>476</v>
      </c>
      <c r="H338" s="7" t="s">
        <v>472</v>
      </c>
      <c r="I338" s="7" t="s">
        <v>472</v>
      </c>
      <c r="J338" s="7">
        <v>258</v>
      </c>
      <c r="K338" s="19" t="s">
        <v>638</v>
      </c>
    </row>
    <row r="339" spans="1:11" x14ac:dyDescent="0.2">
      <c r="A339" s="7">
        <v>259</v>
      </c>
      <c r="B339" s="7">
        <v>13</v>
      </c>
      <c r="C339" s="1" t="str">
        <f t="shared" si="290"/>
        <v>GALERA 3</v>
      </c>
      <c r="D339" s="7" t="s">
        <v>108</v>
      </c>
      <c r="E339" s="1" t="str">
        <f t="shared" si="291"/>
        <v>FRONTERA</v>
      </c>
      <c r="F339" s="7">
        <v>2</v>
      </c>
      <c r="G339" s="7" t="s">
        <v>476</v>
      </c>
      <c r="H339" s="7" t="s">
        <v>149</v>
      </c>
      <c r="I339" s="7" t="s">
        <v>479</v>
      </c>
      <c r="J339" s="8">
        <v>259</v>
      </c>
      <c r="K339" s="7"/>
    </row>
    <row r="340" spans="1:11" x14ac:dyDescent="0.2">
      <c r="A340" s="7">
        <v>260</v>
      </c>
      <c r="B340" s="7">
        <v>13</v>
      </c>
      <c r="C340" s="1" t="str">
        <f t="shared" si="290"/>
        <v>GALERA 3</v>
      </c>
      <c r="D340" s="7" t="s">
        <v>108</v>
      </c>
      <c r="E340" s="1" t="str">
        <f t="shared" si="291"/>
        <v>FRONTERA</v>
      </c>
      <c r="F340" s="7">
        <v>3</v>
      </c>
      <c r="G340" s="7" t="s">
        <v>477</v>
      </c>
      <c r="H340" s="7" t="s">
        <v>155</v>
      </c>
      <c r="I340" s="7" t="s">
        <v>155</v>
      </c>
      <c r="J340" s="7">
        <v>260</v>
      </c>
      <c r="K340" s="7"/>
    </row>
    <row r="341" spans="1:11" x14ac:dyDescent="0.2">
      <c r="A341" s="7">
        <v>261</v>
      </c>
      <c r="B341" s="7">
        <v>13</v>
      </c>
      <c r="C341" s="1" t="str">
        <f t="shared" si="290"/>
        <v>GALERA 3</v>
      </c>
      <c r="D341" s="7" t="s">
        <v>108</v>
      </c>
      <c r="E341" s="1" t="str">
        <f t="shared" si="291"/>
        <v>FRONTERA</v>
      </c>
      <c r="F341" s="7">
        <v>2</v>
      </c>
      <c r="G341" s="7" t="s">
        <v>477</v>
      </c>
      <c r="H341" s="7" t="s">
        <v>155</v>
      </c>
      <c r="I341" s="7" t="s">
        <v>155</v>
      </c>
      <c r="J341" s="7">
        <v>261</v>
      </c>
      <c r="K341" s="19" t="s">
        <v>638</v>
      </c>
    </row>
    <row r="342" spans="1:11" x14ac:dyDescent="0.2">
      <c r="A342" s="7">
        <v>262</v>
      </c>
      <c r="B342" s="7">
        <v>13</v>
      </c>
      <c r="C342" s="1" t="str">
        <f t="shared" si="290"/>
        <v>GALERA 3</v>
      </c>
      <c r="D342" s="7" t="s">
        <v>108</v>
      </c>
      <c r="E342" s="1" t="str">
        <f t="shared" si="291"/>
        <v>FRONTERA</v>
      </c>
      <c r="F342" s="7">
        <v>3</v>
      </c>
      <c r="G342" s="7" t="s">
        <v>476</v>
      </c>
      <c r="H342" s="7" t="s">
        <v>155</v>
      </c>
      <c r="I342" s="7" t="s">
        <v>155</v>
      </c>
      <c r="J342" s="7">
        <v>262</v>
      </c>
      <c r="K342" s="7"/>
    </row>
    <row r="343" spans="1:11" x14ac:dyDescent="0.2">
      <c r="A343" s="7">
        <v>263</v>
      </c>
      <c r="B343" s="7">
        <v>13</v>
      </c>
      <c r="C343" s="1" t="str">
        <f t="shared" si="290"/>
        <v>GALERA 3</v>
      </c>
      <c r="D343" s="7" t="s">
        <v>108</v>
      </c>
      <c r="E343" s="1" t="str">
        <f t="shared" si="291"/>
        <v>FRONTERA</v>
      </c>
      <c r="F343" s="7">
        <v>3</v>
      </c>
      <c r="G343" s="7" t="s">
        <v>476</v>
      </c>
      <c r="H343" s="7" t="s">
        <v>149</v>
      </c>
      <c r="I343" s="8" t="s">
        <v>478</v>
      </c>
      <c r="J343" s="7">
        <v>263</v>
      </c>
      <c r="K343" s="7"/>
    </row>
    <row r="344" spans="1:11" x14ac:dyDescent="0.2">
      <c r="A344" s="7">
        <v>264</v>
      </c>
      <c r="B344" s="7">
        <v>13</v>
      </c>
      <c r="C344" s="1" t="str">
        <f t="shared" si="290"/>
        <v>GALERA 3</v>
      </c>
      <c r="D344" s="7" t="s">
        <v>108</v>
      </c>
      <c r="E344" s="1" t="str">
        <f t="shared" si="291"/>
        <v>FRONTERA</v>
      </c>
      <c r="F344" s="7">
        <v>1</v>
      </c>
      <c r="G344" s="7" t="s">
        <v>477</v>
      </c>
      <c r="H344" s="7" t="s">
        <v>149</v>
      </c>
      <c r="I344" s="8" t="s">
        <v>478</v>
      </c>
      <c r="J344" s="7">
        <v>264</v>
      </c>
      <c r="K344" s="19" t="s">
        <v>638</v>
      </c>
    </row>
    <row r="345" spans="1:11" x14ac:dyDescent="0.2">
      <c r="A345" s="7">
        <v>265</v>
      </c>
      <c r="B345" s="7">
        <v>13</v>
      </c>
      <c r="C345" s="1" t="str">
        <f t="shared" si="290"/>
        <v>GALERA 3</v>
      </c>
      <c r="D345" s="7" t="s">
        <v>108</v>
      </c>
      <c r="E345" s="1" t="str">
        <f t="shared" si="291"/>
        <v>FRONTERA</v>
      </c>
      <c r="F345" s="7">
        <v>1</v>
      </c>
      <c r="G345" s="7" t="s">
        <v>477</v>
      </c>
      <c r="H345" s="7" t="s">
        <v>472</v>
      </c>
      <c r="I345" s="7" t="s">
        <v>472</v>
      </c>
      <c r="J345" s="7">
        <v>265</v>
      </c>
      <c r="K345" s="19" t="s">
        <v>638</v>
      </c>
    </row>
    <row r="346" spans="1:11" x14ac:dyDescent="0.2">
      <c r="A346" s="7">
        <v>266</v>
      </c>
      <c r="B346" s="7">
        <v>13</v>
      </c>
      <c r="C346" s="1" t="str">
        <f t="shared" si="290"/>
        <v>GALERA 3</v>
      </c>
      <c r="D346" s="7" t="s">
        <v>108</v>
      </c>
      <c r="E346" s="1" t="str">
        <f t="shared" si="291"/>
        <v>FRONTERA</v>
      </c>
      <c r="F346" s="7">
        <v>1</v>
      </c>
      <c r="G346" s="7" t="s">
        <v>477</v>
      </c>
      <c r="H346" s="7" t="s">
        <v>155</v>
      </c>
      <c r="I346" s="7" t="s">
        <v>155</v>
      </c>
      <c r="J346" s="7">
        <v>266</v>
      </c>
      <c r="K346" s="7"/>
    </row>
    <row r="347" spans="1:11" x14ac:dyDescent="0.2">
      <c r="A347" s="7">
        <v>267</v>
      </c>
      <c r="B347" s="7">
        <v>13</v>
      </c>
      <c r="C347" s="1" t="str">
        <f t="shared" si="290"/>
        <v>GALERA 3</v>
      </c>
      <c r="D347" s="7" t="s">
        <v>108</v>
      </c>
      <c r="E347" s="1" t="str">
        <f t="shared" si="291"/>
        <v>FRONTERA</v>
      </c>
      <c r="F347" s="7">
        <v>2</v>
      </c>
      <c r="G347" s="7" t="s">
        <v>477</v>
      </c>
      <c r="H347" s="7" t="s">
        <v>155</v>
      </c>
      <c r="I347" s="7" t="s">
        <v>155</v>
      </c>
      <c r="J347" s="7">
        <v>267</v>
      </c>
      <c r="K347" s="7"/>
    </row>
    <row r="348" spans="1:11" x14ac:dyDescent="0.2">
      <c r="A348" s="7">
        <v>268</v>
      </c>
      <c r="B348" s="7">
        <v>13</v>
      </c>
      <c r="C348" s="1" t="str">
        <f t="shared" si="290"/>
        <v>GALERA 3</v>
      </c>
      <c r="D348" s="7" t="s">
        <v>108</v>
      </c>
      <c r="E348" s="1" t="str">
        <f t="shared" si="291"/>
        <v>FRONTERA</v>
      </c>
      <c r="F348" s="7">
        <v>2</v>
      </c>
      <c r="G348" s="7" t="s">
        <v>477</v>
      </c>
      <c r="H348" s="7" t="s">
        <v>228</v>
      </c>
      <c r="I348" s="9" t="s">
        <v>487</v>
      </c>
      <c r="J348" s="9">
        <v>268</v>
      </c>
      <c r="K348" s="7"/>
    </row>
    <row r="349" spans="1:11" x14ac:dyDescent="0.2">
      <c r="A349" s="7">
        <v>269</v>
      </c>
      <c r="B349" s="7">
        <v>13</v>
      </c>
      <c r="C349" s="1" t="str">
        <f t="shared" si="290"/>
        <v>GALERA 3</v>
      </c>
      <c r="D349" s="7" t="s">
        <v>108</v>
      </c>
      <c r="E349" s="1" t="str">
        <f t="shared" si="291"/>
        <v>FRONTERA</v>
      </c>
      <c r="F349" s="7">
        <v>2</v>
      </c>
      <c r="G349" s="7" t="s">
        <v>477</v>
      </c>
      <c r="H349" s="7" t="s">
        <v>471</v>
      </c>
      <c r="I349" s="7" t="s">
        <v>471</v>
      </c>
      <c r="J349" s="7">
        <v>269</v>
      </c>
      <c r="K349" s="7"/>
    </row>
    <row r="350" spans="1:11" x14ac:dyDescent="0.2">
      <c r="A350" s="7">
        <v>270</v>
      </c>
      <c r="B350" s="7">
        <v>13</v>
      </c>
      <c r="C350" s="1" t="str">
        <f t="shared" si="290"/>
        <v>GALERA 3</v>
      </c>
      <c r="D350" s="7" t="s">
        <v>108</v>
      </c>
      <c r="E350" s="1" t="str">
        <f t="shared" si="291"/>
        <v>FRONTERA</v>
      </c>
      <c r="F350" s="7">
        <v>2</v>
      </c>
      <c r="G350" s="7" t="s">
        <v>477</v>
      </c>
      <c r="H350" s="7" t="s">
        <v>485</v>
      </c>
      <c r="I350" s="10" t="s">
        <v>485</v>
      </c>
      <c r="J350" s="10">
        <v>270</v>
      </c>
      <c r="K350" s="7"/>
    </row>
    <row r="351" spans="1:11" x14ac:dyDescent="0.2">
      <c r="A351" s="7">
        <v>271</v>
      </c>
      <c r="B351" s="7">
        <v>13</v>
      </c>
      <c r="C351" s="1" t="str">
        <f t="shared" si="290"/>
        <v>GALERA 3</v>
      </c>
      <c r="D351" s="7" t="s">
        <v>108</v>
      </c>
      <c r="E351" s="1" t="str">
        <f t="shared" si="291"/>
        <v>FRONTERA</v>
      </c>
      <c r="F351" s="7">
        <v>2</v>
      </c>
      <c r="G351" s="7" t="s">
        <v>477</v>
      </c>
      <c r="H351" s="7" t="s">
        <v>471</v>
      </c>
      <c r="I351" s="7" t="s">
        <v>471</v>
      </c>
      <c r="J351" s="7">
        <v>271</v>
      </c>
      <c r="K351" s="19" t="s">
        <v>638</v>
      </c>
    </row>
    <row r="352" spans="1:11" x14ac:dyDescent="0.2">
      <c r="A352" s="7">
        <v>272</v>
      </c>
      <c r="B352" s="7">
        <v>13</v>
      </c>
      <c r="C352" s="1" t="str">
        <f t="shared" si="290"/>
        <v>GALERA 3</v>
      </c>
      <c r="D352" s="7" t="s">
        <v>108</v>
      </c>
      <c r="E352" s="1" t="str">
        <f t="shared" si="291"/>
        <v>FRONTERA</v>
      </c>
      <c r="F352" s="7">
        <v>3</v>
      </c>
      <c r="G352" s="7" t="s">
        <v>477</v>
      </c>
      <c r="H352" s="7" t="s">
        <v>471</v>
      </c>
      <c r="I352" s="7" t="s">
        <v>471</v>
      </c>
      <c r="J352" s="7">
        <v>272</v>
      </c>
      <c r="K352" s="19" t="s">
        <v>638</v>
      </c>
    </row>
    <row r="353" spans="1:11" x14ac:dyDescent="0.2">
      <c r="A353" s="7">
        <v>273</v>
      </c>
      <c r="B353" s="7">
        <v>13</v>
      </c>
      <c r="C353" s="1" t="str">
        <f t="shared" si="290"/>
        <v>GALERA 3</v>
      </c>
      <c r="D353" s="7" t="s">
        <v>108</v>
      </c>
      <c r="E353" s="1" t="str">
        <f t="shared" si="291"/>
        <v>FRONTERA</v>
      </c>
      <c r="F353" s="7">
        <v>3</v>
      </c>
      <c r="G353" s="7" t="s">
        <v>477</v>
      </c>
      <c r="H353" s="7" t="s">
        <v>485</v>
      </c>
      <c r="I353" s="10" t="s">
        <v>485</v>
      </c>
      <c r="J353" s="10">
        <v>273</v>
      </c>
      <c r="K353" s="7"/>
    </row>
    <row r="354" spans="1:11" x14ac:dyDescent="0.2">
      <c r="A354" s="7">
        <v>274</v>
      </c>
      <c r="B354" s="7">
        <v>13</v>
      </c>
      <c r="C354" s="1" t="str">
        <f t="shared" si="290"/>
        <v>GALERA 3</v>
      </c>
      <c r="D354" s="7" t="s">
        <v>108</v>
      </c>
      <c r="E354" s="1" t="str">
        <f t="shared" si="291"/>
        <v>FRONTERA</v>
      </c>
      <c r="F354" s="7">
        <v>3</v>
      </c>
      <c r="G354" s="7" t="s">
        <v>477</v>
      </c>
      <c r="H354" s="7" t="s">
        <v>471</v>
      </c>
      <c r="I354" s="7" t="s">
        <v>471</v>
      </c>
      <c r="J354" s="7">
        <v>274</v>
      </c>
      <c r="K354" s="19" t="s">
        <v>638</v>
      </c>
    </row>
    <row r="355" spans="1:11" x14ac:dyDescent="0.2">
      <c r="A355" s="7">
        <v>275</v>
      </c>
      <c r="B355" s="7">
        <v>14.1</v>
      </c>
      <c r="C355" s="1" t="str">
        <f t="shared" si="290"/>
        <v>EL TRIANGULO 1</v>
      </c>
      <c r="D355" s="7" t="s">
        <v>108</v>
      </c>
      <c r="E355" s="1" t="str">
        <f t="shared" si="291"/>
        <v>SENSATION</v>
      </c>
      <c r="F355" s="7">
        <v>1</v>
      </c>
      <c r="G355" s="7" t="s">
        <v>477</v>
      </c>
      <c r="H355" s="7" t="s">
        <v>155</v>
      </c>
      <c r="I355" s="7" t="s">
        <v>155</v>
      </c>
      <c r="J355" s="7">
        <v>275</v>
      </c>
      <c r="K355" s="19" t="s">
        <v>638</v>
      </c>
    </row>
    <row r="356" spans="1:11" x14ac:dyDescent="0.2">
      <c r="A356" s="7">
        <v>276</v>
      </c>
      <c r="B356" s="7">
        <v>14.1</v>
      </c>
      <c r="C356" s="1" t="str">
        <f t="shared" si="290"/>
        <v>EL TRIANGULO 1</v>
      </c>
      <c r="D356" s="7" t="s">
        <v>108</v>
      </c>
      <c r="E356" s="1" t="str">
        <f t="shared" si="291"/>
        <v>SENSATION</v>
      </c>
      <c r="F356" s="7">
        <v>1</v>
      </c>
      <c r="G356" s="7" t="s">
        <v>477</v>
      </c>
      <c r="H356" s="7" t="s">
        <v>149</v>
      </c>
      <c r="I356" s="8" t="s">
        <v>478</v>
      </c>
      <c r="J356" s="8">
        <v>276</v>
      </c>
      <c r="K356" s="7"/>
    </row>
    <row r="357" spans="1:11" x14ac:dyDescent="0.2">
      <c r="A357" s="7">
        <v>277</v>
      </c>
      <c r="B357" s="7">
        <v>14.1</v>
      </c>
      <c r="C357" s="1" t="str">
        <f t="shared" si="290"/>
        <v>EL TRIANGULO 1</v>
      </c>
      <c r="D357" s="7" t="s">
        <v>108</v>
      </c>
      <c r="E357" s="1" t="str">
        <f t="shared" si="291"/>
        <v>SENSATION</v>
      </c>
      <c r="F357" s="7">
        <v>2</v>
      </c>
      <c r="G357" s="7" t="s">
        <v>477</v>
      </c>
      <c r="H357" s="7" t="s">
        <v>149</v>
      </c>
      <c r="I357" s="7" t="s">
        <v>480</v>
      </c>
      <c r="J357" s="7">
        <v>277</v>
      </c>
      <c r="K357" s="19" t="s">
        <v>638</v>
      </c>
    </row>
    <row r="358" spans="1:11" x14ac:dyDescent="0.2">
      <c r="A358" s="7">
        <v>278</v>
      </c>
      <c r="B358" s="7">
        <v>14.1</v>
      </c>
      <c r="C358" s="1" t="str">
        <f t="shared" si="290"/>
        <v>EL TRIANGULO 1</v>
      </c>
      <c r="D358" s="7" t="s">
        <v>108</v>
      </c>
      <c r="E358" s="1" t="str">
        <f t="shared" si="291"/>
        <v>SENSATION</v>
      </c>
      <c r="F358" s="7">
        <v>2</v>
      </c>
      <c r="G358" s="7" t="s">
        <v>477</v>
      </c>
      <c r="H358" s="7" t="s">
        <v>149</v>
      </c>
      <c r="I358" s="7" t="s">
        <v>480</v>
      </c>
      <c r="J358" s="7">
        <v>278</v>
      </c>
      <c r="K358" s="7"/>
    </row>
    <row r="359" spans="1:11" x14ac:dyDescent="0.2">
      <c r="A359" s="7">
        <v>279</v>
      </c>
      <c r="B359" s="7">
        <v>14.1</v>
      </c>
      <c r="C359" s="1" t="str">
        <f t="shared" si="290"/>
        <v>EL TRIANGULO 1</v>
      </c>
      <c r="D359" s="7" t="s">
        <v>108</v>
      </c>
      <c r="E359" s="1" t="str">
        <f t="shared" si="291"/>
        <v>SENSATION</v>
      </c>
      <c r="F359" s="7">
        <v>2</v>
      </c>
      <c r="G359" s="7" t="s">
        <v>477</v>
      </c>
      <c r="H359" s="7" t="s">
        <v>149</v>
      </c>
      <c r="I359" s="7" t="s">
        <v>480</v>
      </c>
      <c r="J359" s="8">
        <v>279</v>
      </c>
      <c r="K359" s="7"/>
    </row>
    <row r="360" spans="1:11" x14ac:dyDescent="0.2">
      <c r="A360" s="7">
        <v>280</v>
      </c>
      <c r="B360" s="7">
        <v>14.1</v>
      </c>
      <c r="C360" s="1" t="str">
        <f t="shared" si="290"/>
        <v>EL TRIANGULO 1</v>
      </c>
      <c r="D360" s="7" t="s">
        <v>108</v>
      </c>
      <c r="E360" s="1" t="str">
        <f t="shared" si="291"/>
        <v>SENSATION</v>
      </c>
      <c r="F360" s="7">
        <v>2</v>
      </c>
      <c r="G360" s="7" t="s">
        <v>477</v>
      </c>
      <c r="H360" s="7" t="s">
        <v>149</v>
      </c>
      <c r="I360" s="7" t="s">
        <v>480</v>
      </c>
      <c r="J360" s="7">
        <v>280</v>
      </c>
      <c r="K360" s="7"/>
    </row>
    <row r="361" spans="1:11" x14ac:dyDescent="0.2">
      <c r="A361" s="7">
        <v>281</v>
      </c>
      <c r="B361" s="7">
        <v>14.1</v>
      </c>
      <c r="C361" s="1" t="str">
        <f t="shared" si="290"/>
        <v>EL TRIANGULO 1</v>
      </c>
      <c r="D361" s="7" t="s">
        <v>108</v>
      </c>
      <c r="E361" s="1" t="str">
        <f t="shared" si="291"/>
        <v>SENSATION</v>
      </c>
      <c r="F361" s="7">
        <v>2</v>
      </c>
      <c r="G361" s="7" t="s">
        <v>477</v>
      </c>
      <c r="H361" s="7" t="s">
        <v>485</v>
      </c>
      <c r="I361" s="10" t="s">
        <v>485</v>
      </c>
      <c r="J361" s="10">
        <v>281</v>
      </c>
      <c r="K361" s="7"/>
    </row>
    <row r="362" spans="1:11" x14ac:dyDescent="0.2">
      <c r="A362" s="7">
        <v>282</v>
      </c>
      <c r="B362" s="7">
        <v>14.1</v>
      </c>
      <c r="C362" s="1" t="str">
        <f t="shared" si="290"/>
        <v>EL TRIANGULO 1</v>
      </c>
      <c r="D362" s="7" t="s">
        <v>108</v>
      </c>
      <c r="E362" s="1" t="str">
        <f t="shared" si="291"/>
        <v>SENSATION</v>
      </c>
      <c r="F362" s="7">
        <v>2</v>
      </c>
      <c r="G362" s="7" t="s">
        <v>477</v>
      </c>
      <c r="H362" s="7" t="s">
        <v>149</v>
      </c>
      <c r="I362" s="7" t="s">
        <v>478</v>
      </c>
      <c r="J362" s="7">
        <v>282</v>
      </c>
      <c r="K362" s="19" t="s">
        <v>638</v>
      </c>
    </row>
    <row r="363" spans="1:11" x14ac:dyDescent="0.2">
      <c r="A363" s="7">
        <v>283</v>
      </c>
      <c r="B363" s="7">
        <v>14.1</v>
      </c>
      <c r="C363" s="1" t="str">
        <f t="shared" si="290"/>
        <v>EL TRIANGULO 1</v>
      </c>
      <c r="D363" s="7" t="s">
        <v>108</v>
      </c>
      <c r="E363" s="1" t="str">
        <f t="shared" si="291"/>
        <v>SENSATION</v>
      </c>
      <c r="F363" s="7">
        <v>2</v>
      </c>
      <c r="G363" s="7" t="s">
        <v>477</v>
      </c>
      <c r="H363" s="7" t="s">
        <v>149</v>
      </c>
      <c r="I363" s="7" t="s">
        <v>480</v>
      </c>
      <c r="J363" s="7">
        <v>283</v>
      </c>
      <c r="K363" s="7"/>
    </row>
    <row r="364" spans="1:11" x14ac:dyDescent="0.2">
      <c r="A364" s="7">
        <v>284</v>
      </c>
      <c r="B364" s="7">
        <v>14.1</v>
      </c>
      <c r="C364" s="1" t="str">
        <f t="shared" si="290"/>
        <v>EL TRIANGULO 1</v>
      </c>
      <c r="D364" s="7" t="s">
        <v>108</v>
      </c>
      <c r="E364" s="1" t="str">
        <f t="shared" si="291"/>
        <v>SENSATION</v>
      </c>
      <c r="F364" s="7">
        <v>2</v>
      </c>
      <c r="G364" s="7" t="s">
        <v>477</v>
      </c>
      <c r="H364" s="7" t="s">
        <v>149</v>
      </c>
      <c r="I364" s="7" t="s">
        <v>479</v>
      </c>
      <c r="J364" s="7">
        <v>284</v>
      </c>
      <c r="K364" s="19" t="s">
        <v>638</v>
      </c>
    </row>
    <row r="365" spans="1:11" x14ac:dyDescent="0.2">
      <c r="A365" s="7">
        <v>285</v>
      </c>
      <c r="B365" s="7">
        <v>14.2</v>
      </c>
      <c r="C365" s="1" t="str">
        <f t="shared" si="290"/>
        <v>EL TRIANGULO 2</v>
      </c>
      <c r="D365" s="7" t="s">
        <v>108</v>
      </c>
      <c r="E365" s="1" t="s">
        <v>115</v>
      </c>
      <c r="F365" s="7">
        <v>2</v>
      </c>
      <c r="G365" s="7" t="s">
        <v>476</v>
      </c>
      <c r="H365" s="7" t="s">
        <v>149</v>
      </c>
      <c r="I365" s="7" t="s">
        <v>484</v>
      </c>
      <c r="J365" s="7">
        <v>285</v>
      </c>
      <c r="K365" s="19" t="s">
        <v>638</v>
      </c>
    </row>
    <row r="366" spans="1:11" x14ac:dyDescent="0.2">
      <c r="A366" s="7">
        <v>286</v>
      </c>
      <c r="B366" s="7">
        <v>14.2</v>
      </c>
      <c r="C366" s="1" t="str">
        <f t="shared" si="290"/>
        <v>EL TRIANGULO 2</v>
      </c>
      <c r="D366" s="7" t="s">
        <v>108</v>
      </c>
      <c r="E366" s="1" t="s">
        <v>115</v>
      </c>
      <c r="F366" s="7">
        <v>2</v>
      </c>
      <c r="G366" s="7" t="s">
        <v>476</v>
      </c>
      <c r="H366" s="7" t="s">
        <v>149</v>
      </c>
      <c r="I366" s="8" t="s">
        <v>478</v>
      </c>
      <c r="J366" s="7">
        <v>286</v>
      </c>
      <c r="K366" s="7"/>
    </row>
    <row r="367" spans="1:11" x14ac:dyDescent="0.2">
      <c r="A367" s="7">
        <v>287</v>
      </c>
      <c r="B367" s="7">
        <v>14.2</v>
      </c>
      <c r="C367" s="1" t="str">
        <f t="shared" si="290"/>
        <v>EL TRIANGULO 2</v>
      </c>
      <c r="D367" s="7" t="s">
        <v>108</v>
      </c>
      <c r="E367" s="1" t="s">
        <v>115</v>
      </c>
      <c r="F367" s="7">
        <v>1</v>
      </c>
      <c r="G367" s="7" t="s">
        <v>476</v>
      </c>
      <c r="H367" s="7" t="s">
        <v>472</v>
      </c>
      <c r="I367" s="7" t="s">
        <v>472</v>
      </c>
      <c r="J367" s="7">
        <v>287</v>
      </c>
      <c r="K367" s="20" t="s">
        <v>638</v>
      </c>
    </row>
    <row r="368" spans="1:11" x14ac:dyDescent="0.2">
      <c r="A368" s="7">
        <v>288</v>
      </c>
      <c r="B368" s="7">
        <v>14.2</v>
      </c>
      <c r="C368" s="1" t="str">
        <f t="shared" si="290"/>
        <v>EL TRIANGULO 2</v>
      </c>
      <c r="D368" s="7" t="s">
        <v>108</v>
      </c>
      <c r="E368" s="1" t="s">
        <v>115</v>
      </c>
      <c r="F368" s="7">
        <v>2</v>
      </c>
      <c r="G368" s="7" t="s">
        <v>477</v>
      </c>
      <c r="H368" s="7" t="s">
        <v>472</v>
      </c>
      <c r="I368" s="7" t="s">
        <v>472</v>
      </c>
      <c r="J368" s="7">
        <v>288</v>
      </c>
      <c r="K368" s="7"/>
    </row>
    <row r="369" spans="1:11" x14ac:dyDescent="0.2">
      <c r="A369" s="7">
        <v>289</v>
      </c>
      <c r="B369" s="7">
        <v>14.2</v>
      </c>
      <c r="C369" s="1" t="str">
        <f t="shared" si="290"/>
        <v>EL TRIANGULO 2</v>
      </c>
      <c r="D369" s="7" t="s">
        <v>108</v>
      </c>
      <c r="E369" s="1" t="s">
        <v>115</v>
      </c>
      <c r="F369" s="7">
        <v>2</v>
      </c>
      <c r="G369" s="7" t="s">
        <v>476</v>
      </c>
      <c r="H369" s="7" t="s">
        <v>149</v>
      </c>
      <c r="I369" s="7" t="s">
        <v>479</v>
      </c>
      <c r="J369" s="7">
        <v>289</v>
      </c>
      <c r="K369" s="7"/>
    </row>
    <row r="370" spans="1:11" x14ac:dyDescent="0.2">
      <c r="A370" s="7">
        <v>290</v>
      </c>
      <c r="B370" s="7">
        <v>14.2</v>
      </c>
      <c r="C370" s="1" t="str">
        <f t="shared" si="290"/>
        <v>EL TRIANGULO 2</v>
      </c>
      <c r="D370" s="7" t="s">
        <v>108</v>
      </c>
      <c r="E370" s="1" t="s">
        <v>115</v>
      </c>
      <c r="F370" s="7">
        <v>2</v>
      </c>
      <c r="G370" s="7" t="s">
        <v>476</v>
      </c>
      <c r="H370" s="7" t="s">
        <v>155</v>
      </c>
      <c r="I370" s="7" t="s">
        <v>155</v>
      </c>
      <c r="J370" s="7">
        <v>290</v>
      </c>
      <c r="K370" s="19" t="s">
        <v>638</v>
      </c>
    </row>
    <row r="371" spans="1:11" x14ac:dyDescent="0.2">
      <c r="A371" s="7">
        <v>291</v>
      </c>
      <c r="B371" s="7">
        <v>14.2</v>
      </c>
      <c r="C371" s="1" t="str">
        <f t="shared" si="290"/>
        <v>EL TRIANGULO 2</v>
      </c>
      <c r="D371" s="7" t="s">
        <v>108</v>
      </c>
      <c r="E371" s="1" t="s">
        <v>115</v>
      </c>
      <c r="F371" s="7">
        <v>2</v>
      </c>
      <c r="G371" s="7" t="s">
        <v>476</v>
      </c>
      <c r="H371" s="7" t="s">
        <v>155</v>
      </c>
      <c r="I371" s="7" t="s">
        <v>155</v>
      </c>
      <c r="J371" s="7">
        <v>291</v>
      </c>
      <c r="K371" s="7"/>
    </row>
    <row r="372" spans="1:11" x14ac:dyDescent="0.2">
      <c r="A372" s="7">
        <v>292</v>
      </c>
      <c r="B372" s="7">
        <v>14.2</v>
      </c>
      <c r="C372" s="1" t="str">
        <f t="shared" si="290"/>
        <v>EL TRIANGULO 2</v>
      </c>
      <c r="D372" s="7" t="s">
        <v>108</v>
      </c>
      <c r="E372" s="1" t="s">
        <v>115</v>
      </c>
      <c r="F372" s="7">
        <v>1</v>
      </c>
      <c r="G372" s="7" t="s">
        <v>476</v>
      </c>
      <c r="H372" s="7" t="s">
        <v>149</v>
      </c>
      <c r="I372" s="7" t="s">
        <v>484</v>
      </c>
      <c r="J372" s="7">
        <v>292</v>
      </c>
      <c r="K372" s="7"/>
    </row>
    <row r="373" spans="1:11" x14ac:dyDescent="0.2">
      <c r="A373" s="7">
        <v>293</v>
      </c>
      <c r="B373" s="7">
        <v>14.2</v>
      </c>
      <c r="C373" s="1" t="str">
        <f t="shared" si="290"/>
        <v>EL TRIANGULO 2</v>
      </c>
      <c r="D373" s="7" t="s">
        <v>108</v>
      </c>
      <c r="E373" s="1" t="s">
        <v>115</v>
      </c>
      <c r="F373" s="7">
        <v>1</v>
      </c>
      <c r="G373" s="7" t="s">
        <v>476</v>
      </c>
      <c r="H373" s="7" t="s">
        <v>474</v>
      </c>
      <c r="I373" s="11" t="s">
        <v>474</v>
      </c>
      <c r="J373" s="9">
        <v>293</v>
      </c>
      <c r="K373" s="7"/>
    </row>
    <row r="374" spans="1:11" x14ac:dyDescent="0.2">
      <c r="A374" s="7">
        <v>294</v>
      </c>
      <c r="B374" s="7">
        <v>14.2</v>
      </c>
      <c r="C374" s="1" t="str">
        <f t="shared" si="290"/>
        <v>EL TRIANGULO 2</v>
      </c>
      <c r="D374" s="7" t="s">
        <v>108</v>
      </c>
      <c r="E374" s="1" t="s">
        <v>115</v>
      </c>
      <c r="F374" s="7">
        <v>1</v>
      </c>
      <c r="G374" s="7" t="s">
        <v>476</v>
      </c>
      <c r="H374" s="7" t="s">
        <v>149</v>
      </c>
      <c r="I374" s="7" t="s">
        <v>479</v>
      </c>
      <c r="J374" s="7">
        <v>294</v>
      </c>
      <c r="K374" s="7"/>
    </row>
    <row r="375" spans="1:11" x14ac:dyDescent="0.2">
      <c r="A375" s="7">
        <v>371</v>
      </c>
      <c r="B375" s="7">
        <v>15.1</v>
      </c>
      <c r="C375" s="1" t="str">
        <f t="shared" si="290"/>
        <v>LA CRUZ 1</v>
      </c>
      <c r="D375" s="7" t="s">
        <v>108</v>
      </c>
      <c r="E375" s="1" t="str">
        <f t="shared" ref="E375:E380" si="292">IF(B375=1.1,"SENSATION",IF(B375=1.2,"VICTOR",IF(B375=1.3,"SANTA MARIA",IF(B375=1.4,"WARRIOR",IF(B375=2,"SAYULA",IF(B375=3,"SAYULA",IF(B375=4.1,"SAYULA",IF(B375=4.2,"SANTA MARIA",IF(B375=4.3,"NIÑA",IF(B375=5.1,"SAYULA",IF(B375=5.2,"SENSATION",IF(B375=6,"FORTUNA",IF(B375=7,"SENSATION",IF(B375=8.1,"FORTUNA",IF(B375=8.2,"ADELANTO",IF(B375=9.1,"GIDDINGS",IF(B375=9.2,"SANTA MARIA",IF(B375=10,"FORTUNA",IF(B375=11,"SENSATION",IF(B375=12,"SENSATION",IF(B375=13,"FRONTERA",IF(B375=14.1,"SENSATION",IF(B375=14.2,"CODIGO",IF(B375=15.1,"FRONTERA",IF(B375=15.2,"SAYULA",IF(B375=16.1,"SANTA MARIA &amp; FRONTERA",IF(B375=16.2,"SAYULA",IF(B375=17,"NO DOCUMENTADO",IF(B375=18,"NO DOCUMENTADO",IF(B375=19,"NO DOCUMENTADO"))))))))))))))))))))))))))))))</f>
        <v>FRONTERA</v>
      </c>
      <c r="F375" s="7">
        <v>2</v>
      </c>
      <c r="G375" s="7" t="s">
        <v>476</v>
      </c>
      <c r="H375" s="7" t="s">
        <v>149</v>
      </c>
      <c r="I375" s="7" t="s">
        <v>478</v>
      </c>
      <c r="J375" s="7">
        <v>371</v>
      </c>
      <c r="K375" s="23" t="s">
        <v>638</v>
      </c>
    </row>
    <row r="376" spans="1:11" x14ac:dyDescent="0.2">
      <c r="A376" s="7">
        <v>372</v>
      </c>
      <c r="B376" s="7">
        <v>15.1</v>
      </c>
      <c r="C376" s="1" t="str">
        <f t="shared" si="290"/>
        <v>LA CRUZ 1</v>
      </c>
      <c r="D376" s="7" t="s">
        <v>108</v>
      </c>
      <c r="E376" s="1" t="str">
        <f t="shared" si="292"/>
        <v>FRONTERA</v>
      </c>
      <c r="F376" s="7">
        <v>2</v>
      </c>
      <c r="G376" s="7" t="s">
        <v>476</v>
      </c>
      <c r="H376" s="7" t="s">
        <v>149</v>
      </c>
      <c r="I376" s="7" t="s">
        <v>478</v>
      </c>
      <c r="J376" s="7">
        <v>372</v>
      </c>
      <c r="K376" s="7"/>
    </row>
    <row r="377" spans="1:11" x14ac:dyDescent="0.2">
      <c r="A377" s="7">
        <v>373</v>
      </c>
      <c r="B377" s="7">
        <v>15.1</v>
      </c>
      <c r="C377" s="1" t="str">
        <f t="shared" si="290"/>
        <v>LA CRUZ 1</v>
      </c>
      <c r="D377" s="7" t="s">
        <v>108</v>
      </c>
      <c r="E377" s="1" t="str">
        <f t="shared" si="292"/>
        <v>FRONTERA</v>
      </c>
      <c r="F377" s="7">
        <v>1</v>
      </c>
      <c r="G377" s="7" t="s">
        <v>477</v>
      </c>
      <c r="H377" s="7" t="s">
        <v>155</v>
      </c>
      <c r="I377" s="7" t="s">
        <v>155</v>
      </c>
      <c r="J377" s="7">
        <v>373</v>
      </c>
      <c r="K377" s="24"/>
    </row>
    <row r="378" spans="1:11" x14ac:dyDescent="0.2">
      <c r="A378" s="7">
        <v>374</v>
      </c>
      <c r="B378" s="7">
        <v>15.1</v>
      </c>
      <c r="C378" s="1" t="str">
        <f t="shared" si="290"/>
        <v>LA CRUZ 1</v>
      </c>
      <c r="D378" s="7" t="s">
        <v>108</v>
      </c>
      <c r="E378" s="1" t="str">
        <f t="shared" si="292"/>
        <v>FRONTERA</v>
      </c>
      <c r="F378" s="7">
        <v>1</v>
      </c>
      <c r="G378" s="7" t="s">
        <v>477</v>
      </c>
      <c r="H378" s="7" t="s">
        <v>149</v>
      </c>
      <c r="I378" s="7" t="s">
        <v>480</v>
      </c>
      <c r="J378" s="7">
        <v>374</v>
      </c>
      <c r="K378" s="23" t="s">
        <v>638</v>
      </c>
    </row>
    <row r="379" spans="1:11" x14ac:dyDescent="0.2">
      <c r="A379" s="7">
        <v>459</v>
      </c>
      <c r="B379" s="7">
        <v>15.1</v>
      </c>
      <c r="C379" s="1" t="str">
        <f t="shared" si="290"/>
        <v>LA CRUZ 1</v>
      </c>
      <c r="D379" s="7" t="s">
        <v>108</v>
      </c>
      <c r="E379" s="1" t="str">
        <f t="shared" si="292"/>
        <v>FRONTERA</v>
      </c>
      <c r="F379" s="7">
        <v>1</v>
      </c>
      <c r="G379" s="7" t="s">
        <v>477</v>
      </c>
      <c r="H379" s="7" t="s">
        <v>485</v>
      </c>
      <c r="I379" s="10" t="s">
        <v>485</v>
      </c>
      <c r="J379" s="10">
        <v>459</v>
      </c>
      <c r="K379" s="7"/>
    </row>
    <row r="380" spans="1:11" x14ac:dyDescent="0.2">
      <c r="A380" s="7">
        <v>460</v>
      </c>
      <c r="B380" s="7">
        <v>15.1</v>
      </c>
      <c r="C380" s="1" t="str">
        <f t="shared" si="290"/>
        <v>LA CRUZ 1</v>
      </c>
      <c r="D380" s="7" t="s">
        <v>108</v>
      </c>
      <c r="E380" s="1" t="str">
        <f t="shared" si="292"/>
        <v>FRONTERA</v>
      </c>
      <c r="F380" s="7">
        <v>2</v>
      </c>
      <c r="G380" s="7" t="s">
        <v>477</v>
      </c>
      <c r="H380" s="7" t="s">
        <v>149</v>
      </c>
      <c r="I380" s="7" t="s">
        <v>480</v>
      </c>
      <c r="J380" s="7">
        <v>460</v>
      </c>
      <c r="K380" s="23"/>
    </row>
    <row r="381" spans="1:11" x14ac:dyDescent="0.2">
      <c r="A381" s="7">
        <v>375</v>
      </c>
      <c r="B381" s="7">
        <v>16.100000000000001</v>
      </c>
      <c r="C381" s="1" t="str">
        <f t="shared" si="290"/>
        <v>LUIS ROMERO 1</v>
      </c>
      <c r="D381" s="7" t="s">
        <v>108</v>
      </c>
      <c r="E381" s="1" t="s">
        <v>83</v>
      </c>
      <c r="F381" s="7">
        <v>1</v>
      </c>
      <c r="G381" s="7" t="s">
        <v>476</v>
      </c>
      <c r="H381" s="7" t="s">
        <v>485</v>
      </c>
      <c r="I381" s="10" t="s">
        <v>485</v>
      </c>
      <c r="J381" s="10">
        <v>375</v>
      </c>
      <c r="K381" s="7"/>
    </row>
    <row r="382" spans="1:11" x14ac:dyDescent="0.2">
      <c r="A382" s="7">
        <v>376</v>
      </c>
      <c r="B382" s="7">
        <v>16.100000000000001</v>
      </c>
      <c r="C382" s="1" t="str">
        <f t="shared" si="290"/>
        <v>LUIS ROMERO 1</v>
      </c>
      <c r="D382" s="7" t="s">
        <v>108</v>
      </c>
      <c r="E382" s="1" t="s">
        <v>83</v>
      </c>
      <c r="F382" s="7">
        <v>1</v>
      </c>
      <c r="G382" s="7" t="s">
        <v>477</v>
      </c>
      <c r="H382" s="7" t="s">
        <v>490</v>
      </c>
      <c r="I382" s="9" t="s">
        <v>490</v>
      </c>
      <c r="J382" s="9">
        <v>376</v>
      </c>
      <c r="K382" s="7"/>
    </row>
    <row r="383" spans="1:11" x14ac:dyDescent="0.2">
      <c r="A383" s="7">
        <v>377</v>
      </c>
      <c r="B383" s="7">
        <v>16.100000000000001</v>
      </c>
      <c r="C383" s="1" t="str">
        <f t="shared" si="290"/>
        <v>LUIS ROMERO 1</v>
      </c>
      <c r="D383" s="7" t="s">
        <v>108</v>
      </c>
      <c r="E383" s="1" t="s">
        <v>83</v>
      </c>
      <c r="F383" s="7">
        <v>1</v>
      </c>
      <c r="G383" s="7" t="s">
        <v>477</v>
      </c>
      <c r="H383" s="7" t="s">
        <v>149</v>
      </c>
      <c r="I383" s="7" t="s">
        <v>480</v>
      </c>
      <c r="J383" s="7">
        <v>377</v>
      </c>
      <c r="K383" s="7"/>
    </row>
    <row r="384" spans="1:11" x14ac:dyDescent="0.2">
      <c r="A384" s="7">
        <v>461</v>
      </c>
      <c r="B384" s="7">
        <v>16.100000000000001</v>
      </c>
      <c r="C384" s="1" t="str">
        <f t="shared" si="290"/>
        <v>LUIS ROMERO 1</v>
      </c>
      <c r="D384" s="7" t="s">
        <v>108</v>
      </c>
      <c r="E384" s="1" t="s">
        <v>83</v>
      </c>
      <c r="F384" s="7">
        <v>1</v>
      </c>
      <c r="G384" s="7" t="s">
        <v>477</v>
      </c>
      <c r="H384" s="7" t="s">
        <v>149</v>
      </c>
      <c r="I384" s="7" t="s">
        <v>478</v>
      </c>
      <c r="J384" s="7">
        <v>461</v>
      </c>
      <c r="K384" s="23"/>
    </row>
    <row r="385" spans="1:11" x14ac:dyDescent="0.2">
      <c r="A385" s="7">
        <v>378</v>
      </c>
      <c r="B385" s="7">
        <v>17</v>
      </c>
      <c r="C385" s="1" t="str">
        <f t="shared" si="290"/>
        <v>MAURILIO 1</v>
      </c>
      <c r="D385" s="7" t="s">
        <v>108</v>
      </c>
      <c r="E385" s="1" t="str">
        <f t="shared" ref="E385:E416" si="293">IF(B385=1.1,"SENSATION",IF(B385=1.2,"VICTOR",IF(B385=1.3,"SANTA MARIA",IF(B385=1.4,"WARRIOR",IF(B385=2,"SAYULA",IF(B385=3,"SAYULA",IF(B385=4.1,"SAYULA",IF(B385=4.2,"SANTA MARIA",IF(B385=4.3,"NIÑA",IF(B385=5.1,"SAYULA",IF(B385=5.2,"SENSATION",IF(B385=6,"FORTUNA",IF(B385=7,"SENSATION",IF(B385=8.1,"FORTUNA",IF(B385=8.2,"ADELANTO",IF(B385=9.1,"GIDDINGS",IF(B385=9.2,"SANTA MARIA",IF(B385=10,"FORTUNA",IF(B385=11,"SENSATION",IF(B385=12,"SENSATION",IF(B385=13,"FRONTERA",IF(B385=14.1,"SENSATION",IF(B385=14.2,"CODIGO",IF(B385=15.1,"FRONTERA",IF(B385=15.2,"SAYULA",IF(B385=16.1,"SANTA MARIA &amp; FRONTERA",IF(B385=16.2,"SAYULA",IF(B385=17,"NO DOCUMENTADO",IF(B385=18,"NO DOCUMENTADO",IF(B385=19,"NO DOCUMENTADO"))))))))))))))))))))))))))))))</f>
        <v>NO DOCUMENTADO</v>
      </c>
      <c r="F385" s="7">
        <v>1</v>
      </c>
      <c r="G385" s="7" t="s">
        <v>476</v>
      </c>
      <c r="H385" s="7" t="s">
        <v>472</v>
      </c>
      <c r="I385" s="7" t="s">
        <v>472</v>
      </c>
      <c r="J385" s="7">
        <v>378</v>
      </c>
      <c r="K385" s="7" t="s">
        <v>638</v>
      </c>
    </row>
    <row r="386" spans="1:11" x14ac:dyDescent="0.2">
      <c r="A386" s="7">
        <v>379</v>
      </c>
      <c r="B386" s="7">
        <v>17</v>
      </c>
      <c r="C386" s="1" t="str">
        <f t="shared" si="290"/>
        <v>MAURILIO 1</v>
      </c>
      <c r="D386" s="7" t="s">
        <v>108</v>
      </c>
      <c r="E386" s="1" t="str">
        <f t="shared" si="293"/>
        <v>NO DOCUMENTADO</v>
      </c>
      <c r="F386" s="7">
        <v>1</v>
      </c>
      <c r="G386" s="7" t="s">
        <v>476</v>
      </c>
      <c r="H386" s="7" t="s">
        <v>472</v>
      </c>
      <c r="I386" s="7" t="s">
        <v>472</v>
      </c>
      <c r="J386" s="7">
        <v>379</v>
      </c>
      <c r="K386" s="23"/>
    </row>
    <row r="387" spans="1:11" x14ac:dyDescent="0.2">
      <c r="A387" s="7">
        <v>380</v>
      </c>
      <c r="B387" s="7">
        <v>17</v>
      </c>
      <c r="C387" s="1" t="str">
        <f t="shared" si="290"/>
        <v>MAURILIO 1</v>
      </c>
      <c r="D387" s="7" t="s">
        <v>108</v>
      </c>
      <c r="E387" s="1" t="str">
        <f t="shared" si="293"/>
        <v>NO DOCUMENTADO</v>
      </c>
      <c r="F387" s="7">
        <v>1</v>
      </c>
      <c r="G387" s="7" t="s">
        <v>476</v>
      </c>
      <c r="H387" s="7" t="s">
        <v>472</v>
      </c>
      <c r="I387" s="7" t="s">
        <v>472</v>
      </c>
      <c r="J387" s="7">
        <v>380</v>
      </c>
      <c r="K387" s="7"/>
    </row>
    <row r="388" spans="1:11" x14ac:dyDescent="0.2">
      <c r="A388" s="7">
        <v>381</v>
      </c>
      <c r="B388" s="7">
        <v>17</v>
      </c>
      <c r="C388" s="1" t="str">
        <f t="shared" si="290"/>
        <v>MAURILIO 1</v>
      </c>
      <c r="D388" s="7" t="s">
        <v>108</v>
      </c>
      <c r="E388" s="1" t="str">
        <f t="shared" si="293"/>
        <v>NO DOCUMENTADO</v>
      </c>
      <c r="F388" s="7">
        <v>1</v>
      </c>
      <c r="G388" s="7" t="s">
        <v>477</v>
      </c>
      <c r="H388" s="7" t="s">
        <v>228</v>
      </c>
      <c r="I388" s="9" t="s">
        <v>493</v>
      </c>
      <c r="J388" s="9">
        <v>381</v>
      </c>
      <c r="K388" s="7"/>
    </row>
    <row r="389" spans="1:11" x14ac:dyDescent="0.2">
      <c r="A389" s="7">
        <v>382</v>
      </c>
      <c r="B389" s="7">
        <v>17</v>
      </c>
      <c r="C389" s="1" t="str">
        <f t="shared" ref="C389:C425" si="294">IF(B389=1.1,"EL PEJO 1",IF(B389=1.2,"EL PEJO 2",IF(B389=1.3,"EL PEJO 3",IF(B389=1.4,"EL PEJO 4",IF(B389=2,"LA MAGUELLERA",IF(B389=3,"RANCHO ALVAREZ",IF(B389=4.1,"CANINDO 2",IF(B389=4.2,"CANINDO 3",IF(B389=4.3,"CANINDO 1",IF(B389=5.1,"CIRILLO 2",IF(B389=5.2,"CIRILLO 1",IF(B389=6,"PANTANO MEDIO",IF(B389=7,"PANTABAJO",IF(B389=8.1,"CHAVA MARTINEZ 1",IF(B389=8.2,"CHAVA MARTINEZ 2",IF(B389=9.1,"TIERRA DE POLLO 1",IF(B389=9.2,"TIERRA DE POLLO 2",IF(B389=10,"TIERRA DE GARCIA",IF(B389=11,"LA GALERA 1",IF(B389=12,"GALERA 2",IF(B389=13,"GALERA 3",IF(B389=14.1,"EL TRIANGULO 1",IF(B389=14.2,"EL TRIANGULO 2",IF(B389=15.1,"LA CRUZ 1",IF(B389=15.2,"LA CRUZ 2",IF(B389=16.1,"LUIS ROMERO 1",IF(B389=16.2,"LUIS ROMERO 2",IF(B389=17,"MAURILIO 1",IF(B389=18,"HUGO NAVARRO 1",)))))))))))))))))))))))))))))</f>
        <v>MAURILIO 1</v>
      </c>
      <c r="D389" s="7" t="s">
        <v>108</v>
      </c>
      <c r="E389" s="1" t="str">
        <f t="shared" si="293"/>
        <v>NO DOCUMENTADO</v>
      </c>
      <c r="F389" s="7">
        <v>1</v>
      </c>
      <c r="G389" s="7" t="s">
        <v>477</v>
      </c>
      <c r="H389" s="7" t="s">
        <v>472</v>
      </c>
      <c r="I389" s="7" t="s">
        <v>472</v>
      </c>
      <c r="J389" s="7">
        <v>382</v>
      </c>
      <c r="K389" s="23" t="s">
        <v>638</v>
      </c>
    </row>
    <row r="390" spans="1:11" x14ac:dyDescent="0.2">
      <c r="A390" s="7">
        <v>383</v>
      </c>
      <c r="B390" s="7">
        <v>17</v>
      </c>
      <c r="C390" s="1" t="str">
        <f t="shared" si="294"/>
        <v>MAURILIO 1</v>
      </c>
      <c r="D390" s="7" t="s">
        <v>108</v>
      </c>
      <c r="E390" s="1" t="str">
        <f t="shared" si="293"/>
        <v>NO DOCUMENTADO</v>
      </c>
      <c r="F390" s="7">
        <v>1</v>
      </c>
      <c r="G390" s="7" t="s">
        <v>476</v>
      </c>
      <c r="H390" s="7" t="s">
        <v>149</v>
      </c>
      <c r="I390" s="7" t="s">
        <v>480</v>
      </c>
      <c r="J390" s="7">
        <v>383</v>
      </c>
      <c r="K390" s="23" t="s">
        <v>638</v>
      </c>
    </row>
    <row r="391" spans="1:11" x14ac:dyDescent="0.2">
      <c r="A391" s="7">
        <v>384</v>
      </c>
      <c r="B391" s="7">
        <v>17</v>
      </c>
      <c r="C391" s="1" t="str">
        <f t="shared" si="294"/>
        <v>MAURILIO 1</v>
      </c>
      <c r="D391" s="7" t="s">
        <v>108</v>
      </c>
      <c r="E391" s="1" t="str">
        <f t="shared" si="293"/>
        <v>NO DOCUMENTADO</v>
      </c>
      <c r="F391" s="7">
        <v>1</v>
      </c>
      <c r="G391" s="7" t="s">
        <v>476</v>
      </c>
      <c r="H391" s="7" t="s">
        <v>149</v>
      </c>
      <c r="I391" s="7" t="s">
        <v>480</v>
      </c>
      <c r="J391" s="7">
        <v>384</v>
      </c>
      <c r="K391" s="7"/>
    </row>
    <row r="392" spans="1:11" x14ac:dyDescent="0.2">
      <c r="A392" s="7">
        <v>462</v>
      </c>
      <c r="B392" s="7">
        <v>17</v>
      </c>
      <c r="C392" s="1" t="str">
        <f t="shared" si="294"/>
        <v>MAURILIO 1</v>
      </c>
      <c r="D392" s="7" t="s">
        <v>108</v>
      </c>
      <c r="E392" s="1" t="str">
        <f t="shared" si="293"/>
        <v>NO DOCUMENTADO</v>
      </c>
      <c r="F392" s="7">
        <v>1</v>
      </c>
      <c r="G392" s="7" t="s">
        <v>477</v>
      </c>
      <c r="H392" s="7" t="s">
        <v>149</v>
      </c>
      <c r="I392" s="7" t="s">
        <v>480</v>
      </c>
      <c r="J392" s="7">
        <v>462</v>
      </c>
      <c r="K392" s="23"/>
    </row>
    <row r="393" spans="1:11" x14ac:dyDescent="0.2">
      <c r="A393" s="7">
        <v>463</v>
      </c>
      <c r="B393" s="7">
        <v>17</v>
      </c>
      <c r="C393" s="1" t="str">
        <f t="shared" si="294"/>
        <v>MAURILIO 1</v>
      </c>
      <c r="D393" s="7" t="s">
        <v>108</v>
      </c>
      <c r="E393" s="1" t="str">
        <f t="shared" si="293"/>
        <v>NO DOCUMENTADO</v>
      </c>
      <c r="F393" s="7">
        <v>1</v>
      </c>
      <c r="G393" s="7" t="s">
        <v>477</v>
      </c>
      <c r="H393" s="7" t="s">
        <v>485</v>
      </c>
      <c r="I393" s="10" t="s">
        <v>485</v>
      </c>
      <c r="J393" s="10">
        <v>463</v>
      </c>
      <c r="K393" s="7"/>
    </row>
    <row r="394" spans="1:11" x14ac:dyDescent="0.2">
      <c r="A394" s="7">
        <v>464</v>
      </c>
      <c r="B394" s="7">
        <v>17</v>
      </c>
      <c r="C394" s="1" t="str">
        <f t="shared" si="294"/>
        <v>MAURILIO 1</v>
      </c>
      <c r="D394" s="7" t="s">
        <v>108</v>
      </c>
      <c r="E394" s="1" t="str">
        <f t="shared" si="293"/>
        <v>NO DOCUMENTADO</v>
      </c>
      <c r="F394" s="7">
        <v>1</v>
      </c>
      <c r="G394" s="7" t="s">
        <v>477</v>
      </c>
      <c r="H394" s="7" t="s">
        <v>485</v>
      </c>
      <c r="I394" s="10" t="s">
        <v>485</v>
      </c>
      <c r="J394" s="10">
        <v>464</v>
      </c>
      <c r="K394" s="7"/>
    </row>
    <row r="395" spans="1:11" x14ac:dyDescent="0.2">
      <c r="A395" s="7">
        <v>465</v>
      </c>
      <c r="B395" s="7">
        <v>17</v>
      </c>
      <c r="C395" s="1" t="str">
        <f t="shared" si="294"/>
        <v>MAURILIO 1</v>
      </c>
      <c r="D395" s="7" t="s">
        <v>108</v>
      </c>
      <c r="E395" s="1" t="str">
        <f t="shared" si="293"/>
        <v>NO DOCUMENTADO</v>
      </c>
      <c r="F395" s="7">
        <v>2</v>
      </c>
      <c r="G395" s="7" t="s">
        <v>477</v>
      </c>
      <c r="H395" s="7" t="s">
        <v>474</v>
      </c>
      <c r="I395" s="9" t="s">
        <v>474</v>
      </c>
      <c r="J395" s="9">
        <v>465</v>
      </c>
      <c r="K395" s="7"/>
    </row>
    <row r="396" spans="1:11" x14ac:dyDescent="0.2">
      <c r="A396" s="7">
        <v>466</v>
      </c>
      <c r="B396" s="7">
        <v>17</v>
      </c>
      <c r="C396" s="1" t="str">
        <f t="shared" si="294"/>
        <v>MAURILIO 1</v>
      </c>
      <c r="D396" s="7" t="s">
        <v>108</v>
      </c>
      <c r="E396" s="1" t="str">
        <f t="shared" si="293"/>
        <v>NO DOCUMENTADO</v>
      </c>
      <c r="F396" s="7">
        <v>2</v>
      </c>
      <c r="G396" s="7" t="s">
        <v>477</v>
      </c>
      <c r="H396" s="7" t="s">
        <v>474</v>
      </c>
      <c r="I396" s="9" t="s">
        <v>474</v>
      </c>
      <c r="J396" s="9">
        <v>466</v>
      </c>
      <c r="K396" s="7"/>
    </row>
    <row r="397" spans="1:11" x14ac:dyDescent="0.2">
      <c r="A397" s="7">
        <v>497</v>
      </c>
      <c r="B397" s="7">
        <v>17</v>
      </c>
      <c r="C397" s="1" t="str">
        <f t="shared" si="294"/>
        <v>MAURILIO 1</v>
      </c>
      <c r="D397" s="7" t="s">
        <v>108</v>
      </c>
      <c r="E397" s="1" t="str">
        <f t="shared" si="293"/>
        <v>NO DOCUMENTADO</v>
      </c>
      <c r="F397" s="7">
        <v>1</v>
      </c>
      <c r="G397" s="7" t="s">
        <v>476</v>
      </c>
      <c r="H397" s="7" t="s">
        <v>472</v>
      </c>
      <c r="I397" s="7" t="s">
        <v>472</v>
      </c>
      <c r="J397" s="7">
        <v>497</v>
      </c>
      <c r="K397" s="23"/>
    </row>
    <row r="398" spans="1:11" x14ac:dyDescent="0.2">
      <c r="A398" s="7">
        <v>498</v>
      </c>
      <c r="B398" s="7">
        <v>17</v>
      </c>
      <c r="C398" s="1" t="str">
        <f t="shared" si="294"/>
        <v>MAURILIO 1</v>
      </c>
      <c r="D398" s="7" t="s">
        <v>108</v>
      </c>
      <c r="E398" s="1" t="str">
        <f t="shared" si="293"/>
        <v>NO DOCUMENTADO</v>
      </c>
      <c r="F398" s="7">
        <v>1</v>
      </c>
      <c r="G398" s="7" t="s">
        <v>476</v>
      </c>
      <c r="H398" s="7" t="s">
        <v>490</v>
      </c>
      <c r="I398" s="9" t="s">
        <v>490</v>
      </c>
      <c r="J398" s="9">
        <v>498</v>
      </c>
      <c r="K398" s="7"/>
    </row>
    <row r="399" spans="1:11" x14ac:dyDescent="0.2">
      <c r="A399" s="7">
        <v>499</v>
      </c>
      <c r="B399" s="7">
        <v>17</v>
      </c>
      <c r="C399" s="1" t="str">
        <f t="shared" si="294"/>
        <v>MAURILIO 1</v>
      </c>
      <c r="D399" s="7" t="s">
        <v>108</v>
      </c>
      <c r="E399" s="1" t="str">
        <f t="shared" si="293"/>
        <v>NO DOCUMENTADO</v>
      </c>
      <c r="F399" s="7">
        <v>2</v>
      </c>
      <c r="G399" s="7" t="s">
        <v>476</v>
      </c>
      <c r="H399" s="7" t="s">
        <v>490</v>
      </c>
      <c r="I399" s="9" t="s">
        <v>490</v>
      </c>
      <c r="J399" s="9">
        <v>498</v>
      </c>
      <c r="K399" s="7"/>
    </row>
    <row r="400" spans="1:11" x14ac:dyDescent="0.2">
      <c r="A400" s="7">
        <v>500</v>
      </c>
      <c r="B400" s="7">
        <v>17</v>
      </c>
      <c r="C400" s="1" t="str">
        <f t="shared" si="294"/>
        <v>MAURILIO 1</v>
      </c>
      <c r="D400" s="7" t="s">
        <v>108</v>
      </c>
      <c r="E400" s="1" t="str">
        <f t="shared" si="293"/>
        <v>NO DOCUMENTADO</v>
      </c>
      <c r="F400" s="7">
        <v>2</v>
      </c>
      <c r="G400" s="7" t="s">
        <v>476</v>
      </c>
      <c r="H400" s="7" t="s">
        <v>472</v>
      </c>
      <c r="I400" s="7" t="s">
        <v>472</v>
      </c>
      <c r="J400" s="7">
        <v>499</v>
      </c>
      <c r="K400" s="23"/>
    </row>
    <row r="401" spans="1:11" x14ac:dyDescent="0.2">
      <c r="A401" s="7">
        <v>501</v>
      </c>
      <c r="B401" s="7">
        <v>17</v>
      </c>
      <c r="C401" s="1" t="str">
        <f t="shared" si="294"/>
        <v>MAURILIO 1</v>
      </c>
      <c r="D401" s="7" t="s">
        <v>108</v>
      </c>
      <c r="E401" s="1" t="str">
        <f t="shared" si="293"/>
        <v>NO DOCUMENTADO</v>
      </c>
      <c r="F401" s="7">
        <v>1</v>
      </c>
      <c r="G401" s="7" t="s">
        <v>477</v>
      </c>
      <c r="H401" s="7" t="s">
        <v>472</v>
      </c>
      <c r="I401" s="7" t="s">
        <v>472</v>
      </c>
      <c r="J401" s="7">
        <v>500</v>
      </c>
      <c r="K401" s="23"/>
    </row>
    <row r="402" spans="1:11" x14ac:dyDescent="0.2">
      <c r="A402" s="7">
        <v>502</v>
      </c>
      <c r="B402" s="7">
        <v>17</v>
      </c>
      <c r="C402" s="1" t="str">
        <f t="shared" si="294"/>
        <v>MAURILIO 1</v>
      </c>
      <c r="D402" s="7" t="s">
        <v>108</v>
      </c>
      <c r="E402" s="1" t="str">
        <f t="shared" si="293"/>
        <v>NO DOCUMENTADO</v>
      </c>
      <c r="F402" s="7">
        <v>2</v>
      </c>
      <c r="G402" s="7" t="s">
        <v>477</v>
      </c>
      <c r="H402" s="7" t="s">
        <v>155</v>
      </c>
      <c r="I402" s="7" t="s">
        <v>155</v>
      </c>
      <c r="J402" s="7">
        <v>501</v>
      </c>
      <c r="K402" s="23"/>
    </row>
    <row r="403" spans="1:11" x14ac:dyDescent="0.2">
      <c r="A403" s="7">
        <v>503</v>
      </c>
      <c r="B403" s="7">
        <v>17</v>
      </c>
      <c r="C403" s="1" t="str">
        <f t="shared" si="294"/>
        <v>MAURILIO 1</v>
      </c>
      <c r="D403" s="7" t="s">
        <v>108</v>
      </c>
      <c r="E403" s="1" t="str">
        <f t="shared" si="293"/>
        <v>NO DOCUMENTADO</v>
      </c>
      <c r="F403" s="7">
        <v>2</v>
      </c>
      <c r="G403" s="7" t="s">
        <v>477</v>
      </c>
      <c r="H403" s="7" t="s">
        <v>485</v>
      </c>
      <c r="I403" s="10" t="s">
        <v>485</v>
      </c>
      <c r="J403" s="10">
        <v>502</v>
      </c>
      <c r="K403" s="7"/>
    </row>
    <row r="404" spans="1:11" x14ac:dyDescent="0.2">
      <c r="A404" s="7">
        <v>504</v>
      </c>
      <c r="B404" s="7">
        <v>17</v>
      </c>
      <c r="C404" s="1" t="str">
        <f t="shared" si="294"/>
        <v>MAURILIO 1</v>
      </c>
      <c r="D404" s="7" t="s">
        <v>108</v>
      </c>
      <c r="E404" s="1" t="str">
        <f t="shared" si="293"/>
        <v>NO DOCUMENTADO</v>
      </c>
      <c r="F404" s="7">
        <v>2</v>
      </c>
      <c r="G404" s="7" t="s">
        <v>477</v>
      </c>
      <c r="H404" s="7" t="s">
        <v>485</v>
      </c>
      <c r="I404" s="10" t="s">
        <v>485</v>
      </c>
      <c r="J404" s="10">
        <v>503</v>
      </c>
      <c r="K404" s="7"/>
    </row>
    <row r="405" spans="1:11" x14ac:dyDescent="0.2">
      <c r="A405" s="7">
        <v>505</v>
      </c>
      <c r="B405" s="7">
        <v>17</v>
      </c>
      <c r="C405" s="1" t="str">
        <f t="shared" si="294"/>
        <v>MAURILIO 1</v>
      </c>
      <c r="D405" s="7" t="s">
        <v>108</v>
      </c>
      <c r="E405" s="1" t="str">
        <f t="shared" si="293"/>
        <v>NO DOCUMENTADO</v>
      </c>
      <c r="F405" s="7">
        <v>1</v>
      </c>
      <c r="G405" s="7" t="s">
        <v>477</v>
      </c>
      <c r="H405" s="7" t="s">
        <v>485</v>
      </c>
      <c r="I405" s="10" t="s">
        <v>485</v>
      </c>
      <c r="J405" s="10">
        <v>504</v>
      </c>
      <c r="K405" s="7"/>
    </row>
    <row r="406" spans="1:11" x14ac:dyDescent="0.2">
      <c r="A406" s="7">
        <v>506</v>
      </c>
      <c r="B406" s="7">
        <v>17</v>
      </c>
      <c r="C406" s="1" t="str">
        <f t="shared" si="294"/>
        <v>MAURILIO 1</v>
      </c>
      <c r="D406" s="7" t="s">
        <v>108</v>
      </c>
      <c r="E406" s="1" t="str">
        <f t="shared" si="293"/>
        <v>NO DOCUMENTADO</v>
      </c>
      <c r="F406" s="7">
        <v>1</v>
      </c>
      <c r="G406" s="7" t="s">
        <v>477</v>
      </c>
      <c r="H406" s="7" t="s">
        <v>471</v>
      </c>
      <c r="I406" s="7" t="s">
        <v>471</v>
      </c>
      <c r="J406" s="7">
        <v>505</v>
      </c>
      <c r="K406" s="23"/>
    </row>
    <row r="407" spans="1:11" x14ac:dyDescent="0.2">
      <c r="A407" s="7">
        <v>507</v>
      </c>
      <c r="B407" s="7">
        <v>17</v>
      </c>
      <c r="C407" s="1" t="str">
        <f t="shared" si="294"/>
        <v>MAURILIO 1</v>
      </c>
      <c r="D407" s="7" t="s">
        <v>108</v>
      </c>
      <c r="E407" s="1" t="str">
        <f t="shared" si="293"/>
        <v>NO DOCUMENTADO</v>
      </c>
      <c r="F407" s="7">
        <v>1</v>
      </c>
      <c r="G407" s="7" t="s">
        <v>477</v>
      </c>
      <c r="H407" s="7" t="s">
        <v>149</v>
      </c>
      <c r="I407" s="7" t="s">
        <v>480</v>
      </c>
      <c r="J407" s="7">
        <v>506</v>
      </c>
      <c r="K407" s="23" t="s">
        <v>638</v>
      </c>
    </row>
    <row r="408" spans="1:11" x14ac:dyDescent="0.2">
      <c r="A408" s="7">
        <v>508</v>
      </c>
      <c r="B408" s="7">
        <v>17</v>
      </c>
      <c r="C408" s="1" t="str">
        <f t="shared" si="294"/>
        <v>MAURILIO 1</v>
      </c>
      <c r="D408" s="7" t="s">
        <v>108</v>
      </c>
      <c r="E408" s="1" t="str">
        <f t="shared" si="293"/>
        <v>NO DOCUMENTADO</v>
      </c>
      <c r="F408" s="7">
        <v>2</v>
      </c>
      <c r="G408" s="7" t="s">
        <v>477</v>
      </c>
      <c r="H408" s="7" t="s">
        <v>471</v>
      </c>
      <c r="I408" s="7" t="s">
        <v>471</v>
      </c>
      <c r="J408" s="7">
        <v>508</v>
      </c>
      <c r="K408" s="23"/>
    </row>
    <row r="409" spans="1:11" x14ac:dyDescent="0.2">
      <c r="A409" s="7">
        <v>509</v>
      </c>
      <c r="B409" s="7">
        <v>17</v>
      </c>
      <c r="C409" s="1" t="str">
        <f t="shared" si="294"/>
        <v>MAURILIO 1</v>
      </c>
      <c r="D409" s="7" t="s">
        <v>108</v>
      </c>
      <c r="E409" s="1" t="str">
        <f t="shared" si="293"/>
        <v>NO DOCUMENTADO</v>
      </c>
      <c r="F409" s="7">
        <v>2</v>
      </c>
      <c r="G409" s="7" t="s">
        <v>477</v>
      </c>
      <c r="H409" s="7" t="s">
        <v>149</v>
      </c>
      <c r="I409" s="7" t="s">
        <v>480</v>
      </c>
      <c r="J409" s="7">
        <v>508</v>
      </c>
      <c r="K409" s="7"/>
    </row>
    <row r="410" spans="1:11" x14ac:dyDescent="0.2">
      <c r="A410" s="7">
        <v>510</v>
      </c>
      <c r="B410" s="7">
        <v>18</v>
      </c>
      <c r="C410" s="1" t="str">
        <f t="shared" si="294"/>
        <v>HUGO NAVARRO 1</v>
      </c>
      <c r="D410" s="7" t="s">
        <v>108</v>
      </c>
      <c r="E410" s="1" t="str">
        <f t="shared" si="293"/>
        <v>NO DOCUMENTADO</v>
      </c>
      <c r="F410" s="7">
        <v>1</v>
      </c>
      <c r="G410" s="7" t="s">
        <v>476</v>
      </c>
      <c r="H410" s="7" t="s">
        <v>471</v>
      </c>
      <c r="I410" s="7" t="s">
        <v>471</v>
      </c>
      <c r="J410" s="7">
        <v>509</v>
      </c>
      <c r="K410" s="23" t="s">
        <v>638</v>
      </c>
    </row>
    <row r="411" spans="1:11" x14ac:dyDescent="0.2">
      <c r="A411" s="7">
        <v>511</v>
      </c>
      <c r="B411" s="7">
        <v>18</v>
      </c>
      <c r="C411" s="1" t="str">
        <f t="shared" si="294"/>
        <v>HUGO NAVARRO 1</v>
      </c>
      <c r="D411" s="7" t="s">
        <v>108</v>
      </c>
      <c r="E411" s="1" t="str">
        <f t="shared" si="293"/>
        <v>NO DOCUMENTADO</v>
      </c>
      <c r="F411" s="7">
        <v>1</v>
      </c>
      <c r="G411" s="7" t="s">
        <v>476</v>
      </c>
      <c r="H411" s="7" t="s">
        <v>485</v>
      </c>
      <c r="I411" s="10" t="s">
        <v>485</v>
      </c>
      <c r="J411" s="10">
        <v>510</v>
      </c>
      <c r="K411" s="7"/>
    </row>
    <row r="412" spans="1:11" x14ac:dyDescent="0.2">
      <c r="A412" s="7">
        <v>512</v>
      </c>
      <c r="B412" s="7">
        <v>18</v>
      </c>
      <c r="C412" s="1" t="str">
        <f t="shared" si="294"/>
        <v>HUGO NAVARRO 1</v>
      </c>
      <c r="D412" s="7" t="s">
        <v>108</v>
      </c>
      <c r="E412" s="1" t="str">
        <f t="shared" si="293"/>
        <v>NO DOCUMENTADO</v>
      </c>
      <c r="F412" s="7">
        <v>1</v>
      </c>
      <c r="G412" s="7" t="s">
        <v>476</v>
      </c>
      <c r="H412" s="7" t="s">
        <v>155</v>
      </c>
      <c r="I412" s="7" t="s">
        <v>155</v>
      </c>
      <c r="J412" s="7">
        <v>511</v>
      </c>
      <c r="K412" s="7"/>
    </row>
    <row r="413" spans="1:11" x14ac:dyDescent="0.2">
      <c r="A413" s="7">
        <v>513</v>
      </c>
      <c r="B413" s="7">
        <v>18</v>
      </c>
      <c r="C413" s="1" t="str">
        <f t="shared" si="294"/>
        <v>HUGO NAVARRO 1</v>
      </c>
      <c r="D413" s="7" t="s">
        <v>108</v>
      </c>
      <c r="E413" s="1" t="str">
        <f t="shared" si="293"/>
        <v>NO DOCUMENTADO</v>
      </c>
      <c r="F413" s="7">
        <v>1</v>
      </c>
      <c r="G413" s="7" t="s">
        <v>476</v>
      </c>
      <c r="H413" s="7" t="s">
        <v>155</v>
      </c>
      <c r="I413" s="7" t="s">
        <v>155</v>
      </c>
      <c r="J413" s="7">
        <v>512</v>
      </c>
      <c r="K413" s="23" t="s">
        <v>638</v>
      </c>
    </row>
    <row r="414" spans="1:11" x14ac:dyDescent="0.2">
      <c r="A414" s="7">
        <v>514</v>
      </c>
      <c r="B414" s="7">
        <v>18</v>
      </c>
      <c r="C414" s="1" t="str">
        <f t="shared" si="294"/>
        <v>HUGO NAVARRO 1</v>
      </c>
      <c r="D414" s="7" t="s">
        <v>108</v>
      </c>
      <c r="E414" s="1" t="str">
        <f t="shared" si="293"/>
        <v>NO DOCUMENTADO</v>
      </c>
      <c r="F414" s="7">
        <v>2</v>
      </c>
      <c r="G414" s="7" t="s">
        <v>476</v>
      </c>
      <c r="H414" s="7" t="s">
        <v>155</v>
      </c>
      <c r="I414" s="7" t="s">
        <v>155</v>
      </c>
      <c r="J414" s="7">
        <v>513</v>
      </c>
      <c r="K414" s="7"/>
    </row>
    <row r="415" spans="1:11" x14ac:dyDescent="0.2">
      <c r="A415" s="7">
        <v>515</v>
      </c>
      <c r="B415" s="7">
        <v>18</v>
      </c>
      <c r="C415" s="1" t="str">
        <f t="shared" si="294"/>
        <v>HUGO NAVARRO 1</v>
      </c>
      <c r="D415" s="7" t="s">
        <v>108</v>
      </c>
      <c r="E415" s="1" t="str">
        <f t="shared" si="293"/>
        <v>NO DOCUMENTADO</v>
      </c>
      <c r="F415" s="7">
        <v>2</v>
      </c>
      <c r="G415" s="7" t="s">
        <v>476</v>
      </c>
      <c r="H415" s="7" t="s">
        <v>472</v>
      </c>
      <c r="I415" s="7" t="s">
        <v>472</v>
      </c>
      <c r="J415" s="7">
        <v>514</v>
      </c>
      <c r="K415" s="23"/>
    </row>
    <row r="416" spans="1:11" x14ac:dyDescent="0.2">
      <c r="A416" s="7">
        <v>516</v>
      </c>
      <c r="B416" s="7">
        <v>18</v>
      </c>
      <c r="C416" s="1" t="str">
        <f t="shared" si="294"/>
        <v>HUGO NAVARRO 1</v>
      </c>
      <c r="D416" s="7" t="s">
        <v>108</v>
      </c>
      <c r="E416" s="1" t="str">
        <f t="shared" si="293"/>
        <v>NO DOCUMENTADO</v>
      </c>
      <c r="F416" s="7">
        <v>2</v>
      </c>
      <c r="G416" s="7" t="s">
        <v>476</v>
      </c>
      <c r="H416" s="7" t="s">
        <v>155</v>
      </c>
      <c r="I416" s="7" t="s">
        <v>155</v>
      </c>
      <c r="J416" s="7">
        <v>515</v>
      </c>
      <c r="K416" s="7"/>
    </row>
    <row r="417" spans="1:11" x14ac:dyDescent="0.2">
      <c r="A417" s="7">
        <v>517</v>
      </c>
      <c r="B417" s="7">
        <v>18</v>
      </c>
      <c r="C417" s="1" t="str">
        <f t="shared" si="294"/>
        <v>HUGO NAVARRO 1</v>
      </c>
      <c r="D417" s="7" t="s">
        <v>108</v>
      </c>
      <c r="E417" s="1" t="str">
        <f t="shared" ref="E417:E434" si="295">IF(B417=1.1,"SENSATION",IF(B417=1.2,"VICTOR",IF(B417=1.3,"SANTA MARIA",IF(B417=1.4,"WARRIOR",IF(B417=2,"SAYULA",IF(B417=3,"SAYULA",IF(B417=4.1,"SAYULA",IF(B417=4.2,"SANTA MARIA",IF(B417=4.3,"NIÑA",IF(B417=5.1,"SAYULA",IF(B417=5.2,"SENSATION",IF(B417=6,"FORTUNA",IF(B417=7,"SENSATION",IF(B417=8.1,"FORTUNA",IF(B417=8.2,"ADELANTO",IF(B417=9.1,"GIDDINGS",IF(B417=9.2,"SANTA MARIA",IF(B417=10,"FORTUNA",IF(B417=11,"SENSATION",IF(B417=12,"SENSATION",IF(B417=13,"FRONTERA",IF(B417=14.1,"SENSATION",IF(B417=14.2,"CODIGO",IF(B417=15.1,"FRONTERA",IF(B417=15.2,"SAYULA",IF(B417=16.1,"SANTA MARIA &amp; FRONTERA",IF(B417=16.2,"SAYULA",IF(B417=17,"NO DOCUMENTADO",IF(B417=18,"NO DOCUMENTADO",IF(B417=19,"NO DOCUMENTADO"))))))))))))))))))))))))))))))</f>
        <v>NO DOCUMENTADO</v>
      </c>
      <c r="F417" s="7">
        <v>1</v>
      </c>
      <c r="G417" s="7" t="s">
        <v>477</v>
      </c>
      <c r="H417" s="7" t="s">
        <v>155</v>
      </c>
      <c r="I417" s="7" t="s">
        <v>155</v>
      </c>
      <c r="J417" s="7">
        <v>516</v>
      </c>
      <c r="K417" s="23" t="s">
        <v>638</v>
      </c>
    </row>
    <row r="418" spans="1:11" x14ac:dyDescent="0.2">
      <c r="A418" s="7">
        <v>518</v>
      </c>
      <c r="B418" s="7">
        <v>18</v>
      </c>
      <c r="C418" s="1" t="str">
        <f t="shared" si="294"/>
        <v>HUGO NAVARRO 1</v>
      </c>
      <c r="D418" s="7" t="s">
        <v>108</v>
      </c>
      <c r="E418" s="1" t="str">
        <f t="shared" si="295"/>
        <v>NO DOCUMENTADO</v>
      </c>
      <c r="F418" s="7">
        <v>1</v>
      </c>
      <c r="G418" s="7" t="s">
        <v>477</v>
      </c>
      <c r="H418" s="7" t="s">
        <v>485</v>
      </c>
      <c r="I418" s="10" t="s">
        <v>485</v>
      </c>
      <c r="J418" s="10">
        <v>517</v>
      </c>
      <c r="K418" s="7"/>
    </row>
    <row r="419" spans="1:11" x14ac:dyDescent="0.2">
      <c r="A419" s="7">
        <v>519</v>
      </c>
      <c r="B419" s="7">
        <v>18</v>
      </c>
      <c r="C419" s="1" t="str">
        <f t="shared" si="294"/>
        <v>HUGO NAVARRO 1</v>
      </c>
      <c r="D419" s="7" t="s">
        <v>108</v>
      </c>
      <c r="E419" s="1" t="str">
        <f t="shared" si="295"/>
        <v>NO DOCUMENTADO</v>
      </c>
      <c r="F419" s="7">
        <v>1</v>
      </c>
      <c r="G419" s="7" t="s">
        <v>477</v>
      </c>
      <c r="H419" s="7" t="s">
        <v>473</v>
      </c>
      <c r="I419" s="26" t="s">
        <v>473</v>
      </c>
      <c r="J419" s="26">
        <v>518</v>
      </c>
      <c r="K419" s="7"/>
    </row>
    <row r="420" spans="1:11" x14ac:dyDescent="0.2">
      <c r="A420" s="7">
        <v>520</v>
      </c>
      <c r="B420" s="7">
        <v>18</v>
      </c>
      <c r="C420" s="1" t="str">
        <f t="shared" si="294"/>
        <v>HUGO NAVARRO 1</v>
      </c>
      <c r="D420" s="7" t="s">
        <v>108</v>
      </c>
      <c r="E420" s="1" t="str">
        <f t="shared" si="295"/>
        <v>NO DOCUMENTADO</v>
      </c>
      <c r="F420" s="7">
        <v>2</v>
      </c>
      <c r="G420" s="7" t="s">
        <v>477</v>
      </c>
      <c r="H420" s="7" t="s">
        <v>473</v>
      </c>
      <c r="I420" s="26" t="s">
        <v>473</v>
      </c>
      <c r="J420" s="26">
        <v>519</v>
      </c>
      <c r="K420" s="7"/>
    </row>
    <row r="421" spans="1:11" x14ac:dyDescent="0.2">
      <c r="A421" s="7">
        <v>521</v>
      </c>
      <c r="B421" s="7">
        <v>18</v>
      </c>
      <c r="C421" s="1" t="str">
        <f t="shared" si="294"/>
        <v>HUGO NAVARRO 1</v>
      </c>
      <c r="D421" s="7" t="s">
        <v>108</v>
      </c>
      <c r="E421" s="1" t="str">
        <f t="shared" si="295"/>
        <v>NO DOCUMENTADO</v>
      </c>
      <c r="F421" s="7">
        <v>2</v>
      </c>
      <c r="G421" s="7" t="s">
        <v>477</v>
      </c>
      <c r="H421" s="7" t="s">
        <v>471</v>
      </c>
      <c r="I421" s="7" t="s">
        <v>471</v>
      </c>
      <c r="J421" s="7">
        <v>520</v>
      </c>
      <c r="K421" s="7"/>
    </row>
    <row r="422" spans="1:11" x14ac:dyDescent="0.2">
      <c r="A422" s="7">
        <v>522</v>
      </c>
      <c r="B422" s="7">
        <v>18</v>
      </c>
      <c r="C422" s="1" t="str">
        <f t="shared" si="294"/>
        <v>HUGO NAVARRO 1</v>
      </c>
      <c r="D422" s="7" t="s">
        <v>108</v>
      </c>
      <c r="E422" s="1" t="str">
        <f t="shared" si="295"/>
        <v>NO DOCUMENTADO</v>
      </c>
      <c r="F422" s="7">
        <v>1</v>
      </c>
      <c r="G422" s="7" t="s">
        <v>477</v>
      </c>
      <c r="H422" s="7" t="s">
        <v>473</v>
      </c>
      <c r="I422" s="26" t="s">
        <v>473</v>
      </c>
      <c r="J422" s="26">
        <v>521</v>
      </c>
      <c r="K422" s="7"/>
    </row>
    <row r="423" spans="1:11" x14ac:dyDescent="0.2">
      <c r="A423" s="7">
        <v>523</v>
      </c>
      <c r="B423" s="7">
        <v>18</v>
      </c>
      <c r="C423" s="1" t="str">
        <f t="shared" si="294"/>
        <v>HUGO NAVARRO 1</v>
      </c>
      <c r="D423" s="7" t="s">
        <v>108</v>
      </c>
      <c r="E423" s="1" t="str">
        <f t="shared" si="295"/>
        <v>NO DOCUMENTADO</v>
      </c>
      <c r="F423" s="7">
        <v>1</v>
      </c>
      <c r="G423" s="7" t="s">
        <v>477</v>
      </c>
      <c r="H423" s="7" t="s">
        <v>471</v>
      </c>
      <c r="I423" s="7" t="s">
        <v>471</v>
      </c>
      <c r="J423" s="7">
        <v>522</v>
      </c>
      <c r="K423" s="7"/>
    </row>
    <row r="424" spans="1:11" x14ac:dyDescent="0.2">
      <c r="A424" s="7">
        <v>524</v>
      </c>
      <c r="B424" s="7">
        <v>18</v>
      </c>
      <c r="C424" s="1" t="str">
        <f t="shared" si="294"/>
        <v>HUGO NAVARRO 1</v>
      </c>
      <c r="D424" s="7" t="s">
        <v>108</v>
      </c>
      <c r="E424" s="1" t="str">
        <f t="shared" si="295"/>
        <v>NO DOCUMENTADO</v>
      </c>
      <c r="F424" s="7">
        <v>2</v>
      </c>
      <c r="G424" s="7" t="s">
        <v>477</v>
      </c>
      <c r="H424" s="7" t="s">
        <v>149</v>
      </c>
      <c r="I424" s="7" t="s">
        <v>480</v>
      </c>
      <c r="J424" s="7">
        <v>523</v>
      </c>
      <c r="K424" s="23"/>
    </row>
    <row r="425" spans="1:11" x14ac:dyDescent="0.2">
      <c r="A425" s="7">
        <v>525</v>
      </c>
      <c r="B425" s="7">
        <v>18</v>
      </c>
      <c r="C425" s="1" t="str">
        <f t="shared" si="294"/>
        <v>HUGO NAVARRO 1</v>
      </c>
      <c r="D425" s="7" t="s">
        <v>108</v>
      </c>
      <c r="E425" s="1" t="str">
        <f t="shared" si="295"/>
        <v>NO DOCUMENTADO</v>
      </c>
      <c r="F425" s="7">
        <v>2</v>
      </c>
      <c r="G425" s="7" t="s">
        <v>477</v>
      </c>
      <c r="H425" s="7" t="s">
        <v>485</v>
      </c>
      <c r="I425" s="10" t="s">
        <v>485</v>
      </c>
      <c r="J425" s="10">
        <v>524</v>
      </c>
      <c r="K425" s="7"/>
    </row>
    <row r="426" spans="1:11" x14ac:dyDescent="0.2">
      <c r="A426" s="7">
        <v>526</v>
      </c>
      <c r="B426" s="7">
        <v>19</v>
      </c>
      <c r="C426" s="1" t="str">
        <f t="shared" ref="C426:C489" si="296">IF(B426=19,"HUGO NAVARRO 2",IF(B426=20,"HUGO NAVARRO 3",IF(B426=21.1,"LA ESTANCIA 1",IF(B426=21.2,"LA ESTANCIA 2",IF(B426=22,"DRISCOLLS",IF(B426=23,"GERARDO ALFARO 1",IF(B426=24,"GERARDO ALFARO 2",IF(B426=25,"JAVIER ZAVALA",IF(B426=26,"PARCELA 26",IF(B426=27,"PARCELA 27",IF(B426=28,"PARCELA 28",IF(B426=29,"VIVERO DE GUADALUPE",IF(B426=30,"FRANCISCO GARCIA RIVERA",IF(B426=31,"J REYES HERNANDEZ ZAVALA",IF(B426=32,"VIVERO PLANTA MADRE",IF(B426=33,"ALBERTO HAZA",IF(B426=34,"PARCELA 34",IF(B426=35.1,"EL MIRADOR 1",IF(B426=35.2,"EL MIRADOR 2",IF(B426=36.1,"CHELIS FARM 1",IF(B426=36.2,"CHELIS FARM 2",IF(B426=36.3,"CHELIS FARM 3",IF(B426=37.1,"EL AEROPUERTO 1",IF(B426=37.2,"EL AEROPUERTO 2",IF(B426=37.3,"EL AEROPUERTO 3",IF(B426=38.1,"PITUFO 1",IF(B426=38.2,"PITUFO 3",IF(B426=38.3,"PITUFO 2",IF(B426=39,"EL CUISILLO",IF(B426=40.1,"RANCHO AVENTURA 1"))))))))))))))))))))))))))))))</f>
        <v>HUGO NAVARRO 2</v>
      </c>
      <c r="D426" s="7" t="s">
        <v>108</v>
      </c>
      <c r="E426" s="1" t="str">
        <f t="shared" si="295"/>
        <v>NO DOCUMENTADO</v>
      </c>
      <c r="F426" s="7">
        <v>1</v>
      </c>
      <c r="G426" s="7" t="s">
        <v>476</v>
      </c>
      <c r="H426" s="7" t="s">
        <v>473</v>
      </c>
      <c r="I426" s="26" t="s">
        <v>473</v>
      </c>
      <c r="J426" s="26">
        <v>525</v>
      </c>
      <c r="K426" s="7"/>
    </row>
    <row r="427" spans="1:11" x14ac:dyDescent="0.2">
      <c r="A427" s="7">
        <v>527</v>
      </c>
      <c r="B427" s="7">
        <v>19</v>
      </c>
      <c r="C427" s="1" t="str">
        <f t="shared" si="296"/>
        <v>HUGO NAVARRO 2</v>
      </c>
      <c r="D427" s="7" t="s">
        <v>108</v>
      </c>
      <c r="E427" s="1" t="str">
        <f t="shared" si="295"/>
        <v>NO DOCUMENTADO</v>
      </c>
      <c r="F427" s="7">
        <v>1</v>
      </c>
      <c r="G427" s="7" t="s">
        <v>476</v>
      </c>
      <c r="H427" s="7" t="s">
        <v>471</v>
      </c>
      <c r="I427" s="7" t="s">
        <v>471</v>
      </c>
      <c r="J427" s="7">
        <v>526</v>
      </c>
      <c r="K427" s="7"/>
    </row>
    <row r="428" spans="1:11" x14ac:dyDescent="0.2">
      <c r="A428" s="7">
        <v>528</v>
      </c>
      <c r="B428" s="7">
        <v>19</v>
      </c>
      <c r="C428" s="1" t="str">
        <f t="shared" si="296"/>
        <v>HUGO NAVARRO 2</v>
      </c>
      <c r="D428" s="7" t="s">
        <v>108</v>
      </c>
      <c r="E428" s="1" t="str">
        <f t="shared" si="295"/>
        <v>NO DOCUMENTADO</v>
      </c>
      <c r="F428" s="7">
        <v>2</v>
      </c>
      <c r="G428" s="7" t="s">
        <v>476</v>
      </c>
      <c r="H428" s="7" t="s">
        <v>471</v>
      </c>
      <c r="I428" s="7" t="s">
        <v>471</v>
      </c>
      <c r="J428" s="7">
        <v>527</v>
      </c>
      <c r="K428" s="7"/>
    </row>
    <row r="429" spans="1:11" x14ac:dyDescent="0.2">
      <c r="A429" s="7">
        <v>529</v>
      </c>
      <c r="B429" s="7">
        <v>19</v>
      </c>
      <c r="C429" s="1" t="str">
        <f t="shared" si="296"/>
        <v>HUGO NAVARRO 2</v>
      </c>
      <c r="D429" s="7" t="s">
        <v>108</v>
      </c>
      <c r="E429" s="1" t="str">
        <f t="shared" si="295"/>
        <v>NO DOCUMENTADO</v>
      </c>
      <c r="F429" s="7">
        <v>2</v>
      </c>
      <c r="G429" s="7" t="s">
        <v>476</v>
      </c>
      <c r="H429" s="7" t="s">
        <v>149</v>
      </c>
      <c r="I429" s="7" t="s">
        <v>480</v>
      </c>
      <c r="J429" s="7">
        <v>528</v>
      </c>
      <c r="K429" s="7"/>
    </row>
    <row r="430" spans="1:11" x14ac:dyDescent="0.2">
      <c r="A430" s="7">
        <v>530</v>
      </c>
      <c r="B430" s="7">
        <v>19</v>
      </c>
      <c r="C430" s="1" t="str">
        <f t="shared" si="296"/>
        <v>HUGO NAVARRO 2</v>
      </c>
      <c r="D430" s="7" t="s">
        <v>108</v>
      </c>
      <c r="E430" s="1" t="str">
        <f t="shared" si="295"/>
        <v>NO DOCUMENTADO</v>
      </c>
      <c r="F430" s="7">
        <v>2</v>
      </c>
      <c r="G430" s="7" t="s">
        <v>476</v>
      </c>
      <c r="H430" s="7" t="s">
        <v>155</v>
      </c>
      <c r="I430" s="7" t="s">
        <v>155</v>
      </c>
      <c r="J430" s="7">
        <v>529</v>
      </c>
      <c r="K430" s="7"/>
    </row>
    <row r="431" spans="1:11" x14ac:dyDescent="0.2">
      <c r="A431" s="7">
        <v>531</v>
      </c>
      <c r="B431" s="7">
        <v>19</v>
      </c>
      <c r="C431" s="1" t="str">
        <f t="shared" si="296"/>
        <v>HUGO NAVARRO 2</v>
      </c>
      <c r="D431" s="7" t="s">
        <v>108</v>
      </c>
      <c r="E431" s="1" t="str">
        <f t="shared" si="295"/>
        <v>NO DOCUMENTADO</v>
      </c>
      <c r="F431" s="7">
        <v>1</v>
      </c>
      <c r="G431" s="7" t="s">
        <v>477</v>
      </c>
      <c r="H431" s="7" t="s">
        <v>155</v>
      </c>
      <c r="I431" s="7" t="s">
        <v>155</v>
      </c>
      <c r="J431" s="7">
        <v>530</v>
      </c>
      <c r="K431" s="23" t="s">
        <v>638</v>
      </c>
    </row>
    <row r="432" spans="1:11" x14ac:dyDescent="0.2">
      <c r="A432" s="7">
        <v>532</v>
      </c>
      <c r="B432" s="7">
        <v>19</v>
      </c>
      <c r="C432" s="1" t="str">
        <f t="shared" si="296"/>
        <v>HUGO NAVARRO 2</v>
      </c>
      <c r="D432" s="7" t="s">
        <v>108</v>
      </c>
      <c r="E432" s="1" t="str">
        <f t="shared" si="295"/>
        <v>NO DOCUMENTADO</v>
      </c>
      <c r="F432" s="7">
        <v>2</v>
      </c>
      <c r="G432" s="7" t="s">
        <v>477</v>
      </c>
      <c r="H432" s="7" t="s">
        <v>473</v>
      </c>
      <c r="I432" s="26" t="s">
        <v>473</v>
      </c>
      <c r="J432" s="26">
        <v>532</v>
      </c>
      <c r="K432" s="7"/>
    </row>
    <row r="433" spans="1:11" x14ac:dyDescent="0.2">
      <c r="A433" s="7">
        <v>533</v>
      </c>
      <c r="B433" s="7">
        <v>19</v>
      </c>
      <c r="C433" s="1" t="str">
        <f t="shared" si="296"/>
        <v>HUGO NAVARRO 2</v>
      </c>
      <c r="D433" s="7" t="s">
        <v>108</v>
      </c>
      <c r="E433" s="1" t="str">
        <f t="shared" si="295"/>
        <v>NO DOCUMENTADO</v>
      </c>
      <c r="F433" s="7">
        <v>1</v>
      </c>
      <c r="G433" s="7" t="s">
        <v>477</v>
      </c>
      <c r="H433" s="7" t="s">
        <v>473</v>
      </c>
      <c r="I433" s="26" t="s">
        <v>473</v>
      </c>
      <c r="J433" s="26">
        <v>533</v>
      </c>
      <c r="K433" s="7"/>
    </row>
    <row r="434" spans="1:11" x14ac:dyDescent="0.2">
      <c r="A434" s="7">
        <v>534</v>
      </c>
      <c r="B434" s="7">
        <v>19</v>
      </c>
      <c r="C434" s="1" t="str">
        <f t="shared" si="296"/>
        <v>HUGO NAVARRO 2</v>
      </c>
      <c r="D434" s="7" t="s">
        <v>108</v>
      </c>
      <c r="E434" s="1" t="str">
        <f t="shared" si="295"/>
        <v>NO DOCUMENTADO</v>
      </c>
      <c r="F434" s="7">
        <v>2</v>
      </c>
      <c r="G434" s="7" t="s">
        <v>477</v>
      </c>
      <c r="H434" s="7" t="s">
        <v>473</v>
      </c>
      <c r="I434" s="26" t="s">
        <v>473</v>
      </c>
      <c r="J434" s="26">
        <v>534</v>
      </c>
      <c r="K434" s="7"/>
    </row>
    <row r="435" spans="1:11" x14ac:dyDescent="0.2">
      <c r="A435" s="7">
        <v>535</v>
      </c>
      <c r="B435" s="7">
        <v>20</v>
      </c>
      <c r="C435" s="1" t="str">
        <f t="shared" si="296"/>
        <v>HUGO NAVARRO 3</v>
      </c>
      <c r="D435" s="7" t="s">
        <v>108</v>
      </c>
      <c r="E435" s="1" t="str">
        <f t="shared" ref="E435:E479" si="297">IF(B435=20,"NO DOCUMENTADO",IF(B435=21.1,"CAMINO",IF(B435=21.2,"VICTOR",IF(B435=22,"VERONICA",IF(B435=23,"SANTA MARIA",IF(B435=24,"FORTUNA",IF(B435=25,"CAMINO REAL",IF(B435=26,"ALBION",IF(B435=27,"CAMINO REAL",IF(B435=28,"SAN ANDREAS",IF(B435=29,"MONTERREY",IF(B435=30,"CAMINO REAL",IF(B435=31,"CAMINO REAL",IF(B435=32,"CABRILLO",IF(B435=33,"CAMINO REAL",IF(B435=34,"CAMINO REAL",IF(B435=35.1,"CAMINO",IF(B435=35.2,"FRONTERA",IF(B435=36.1,"SANTA MARIA",IF(B435=36.2,"NIÑA",IF(B435=36.3,"CODIGO",IF(B435=37.1,"VICTOR",IF(B435=37.2,"CODIGO 1",IF(B435=37.3,"CODIGO 2",IF(B435=38.1,"SAYULA",IF(B435=38.2,"FRONTERA",IF(B435=38.3,"VICTOR",IF(B435=39,"CODIGO",IF(B435=40.1,"CAMINO")))))))))))))))))))))))))))))</f>
        <v>NO DOCUMENTADO</v>
      </c>
      <c r="F435" s="7">
        <v>1</v>
      </c>
      <c r="G435" s="7" t="s">
        <v>476</v>
      </c>
      <c r="H435" s="7" t="s">
        <v>472</v>
      </c>
      <c r="I435" s="7" t="s">
        <v>472</v>
      </c>
      <c r="J435" s="7">
        <v>535</v>
      </c>
      <c r="K435" s="23" t="s">
        <v>638</v>
      </c>
    </row>
    <row r="436" spans="1:11" x14ac:dyDescent="0.2">
      <c r="A436" s="7">
        <v>536</v>
      </c>
      <c r="B436" s="7">
        <v>20</v>
      </c>
      <c r="C436" s="1" t="str">
        <f t="shared" si="296"/>
        <v>HUGO NAVARRO 3</v>
      </c>
      <c r="D436" s="7" t="s">
        <v>108</v>
      </c>
      <c r="E436" s="1" t="str">
        <f t="shared" si="297"/>
        <v>NO DOCUMENTADO</v>
      </c>
      <c r="F436" s="7">
        <v>1</v>
      </c>
      <c r="G436" s="7" t="s">
        <v>476</v>
      </c>
      <c r="H436" s="7" t="s">
        <v>149</v>
      </c>
      <c r="I436" s="7" t="s">
        <v>480</v>
      </c>
      <c r="J436" s="7">
        <v>536</v>
      </c>
      <c r="K436" s="7"/>
    </row>
    <row r="437" spans="1:11" x14ac:dyDescent="0.2">
      <c r="A437" s="7">
        <v>537</v>
      </c>
      <c r="B437" s="7">
        <v>20</v>
      </c>
      <c r="C437" s="1" t="str">
        <f t="shared" si="296"/>
        <v>HUGO NAVARRO 3</v>
      </c>
      <c r="D437" s="7" t="s">
        <v>108</v>
      </c>
      <c r="E437" s="1" t="str">
        <f t="shared" si="297"/>
        <v>NO DOCUMENTADO</v>
      </c>
      <c r="F437" s="7">
        <v>2</v>
      </c>
      <c r="G437" s="7" t="s">
        <v>476</v>
      </c>
      <c r="H437" s="7" t="s">
        <v>155</v>
      </c>
      <c r="I437" s="7" t="s">
        <v>155</v>
      </c>
      <c r="J437" s="7">
        <v>537</v>
      </c>
      <c r="K437" s="7"/>
    </row>
    <row r="438" spans="1:11" x14ac:dyDescent="0.2">
      <c r="A438" s="7">
        <v>538</v>
      </c>
      <c r="B438" s="7">
        <v>20</v>
      </c>
      <c r="C438" s="1" t="str">
        <f t="shared" si="296"/>
        <v>HUGO NAVARRO 3</v>
      </c>
      <c r="D438" s="7" t="s">
        <v>108</v>
      </c>
      <c r="E438" s="1" t="str">
        <f t="shared" si="297"/>
        <v>NO DOCUMENTADO</v>
      </c>
      <c r="F438" s="7">
        <v>2</v>
      </c>
      <c r="G438" s="7" t="s">
        <v>476</v>
      </c>
      <c r="H438" s="7" t="s">
        <v>155</v>
      </c>
      <c r="I438" s="7" t="s">
        <v>155</v>
      </c>
      <c r="J438" s="7">
        <v>538</v>
      </c>
      <c r="K438" s="7"/>
    </row>
    <row r="439" spans="1:11" x14ac:dyDescent="0.2">
      <c r="A439" s="7">
        <v>539</v>
      </c>
      <c r="B439" s="7">
        <v>20</v>
      </c>
      <c r="C439" s="1" t="str">
        <f t="shared" si="296"/>
        <v>HUGO NAVARRO 3</v>
      </c>
      <c r="D439" s="7" t="s">
        <v>108</v>
      </c>
      <c r="E439" s="1" t="str">
        <f t="shared" si="297"/>
        <v>NO DOCUMENTADO</v>
      </c>
      <c r="F439" s="7">
        <v>1</v>
      </c>
      <c r="G439" s="7" t="s">
        <v>477</v>
      </c>
      <c r="H439" s="7" t="s">
        <v>485</v>
      </c>
      <c r="I439" s="10" t="s">
        <v>485</v>
      </c>
      <c r="J439" s="10">
        <v>539</v>
      </c>
      <c r="K439" s="7"/>
    </row>
    <row r="440" spans="1:11" x14ac:dyDescent="0.2">
      <c r="A440" s="7">
        <v>540</v>
      </c>
      <c r="B440" s="7">
        <v>20</v>
      </c>
      <c r="C440" s="1" t="str">
        <f t="shared" si="296"/>
        <v>HUGO NAVARRO 3</v>
      </c>
      <c r="D440" s="7" t="s">
        <v>108</v>
      </c>
      <c r="E440" s="1" t="str">
        <f t="shared" si="297"/>
        <v>NO DOCUMENTADO</v>
      </c>
      <c r="F440" s="7">
        <v>1</v>
      </c>
      <c r="G440" s="7" t="s">
        <v>477</v>
      </c>
      <c r="H440" s="7" t="s">
        <v>485</v>
      </c>
      <c r="I440" s="10" t="s">
        <v>485</v>
      </c>
      <c r="J440" s="10">
        <v>540</v>
      </c>
      <c r="K440" s="7"/>
    </row>
    <row r="441" spans="1:11" x14ac:dyDescent="0.2">
      <c r="A441" s="7">
        <v>541</v>
      </c>
      <c r="B441" s="7">
        <v>20</v>
      </c>
      <c r="C441" s="1" t="str">
        <f t="shared" si="296"/>
        <v>HUGO NAVARRO 3</v>
      </c>
      <c r="D441" s="7" t="s">
        <v>108</v>
      </c>
      <c r="E441" s="1" t="str">
        <f t="shared" si="297"/>
        <v>NO DOCUMENTADO</v>
      </c>
      <c r="F441" s="7">
        <v>2</v>
      </c>
      <c r="G441" s="7" t="s">
        <v>477</v>
      </c>
      <c r="H441" s="7" t="s">
        <v>149</v>
      </c>
      <c r="I441" s="7" t="s">
        <v>480</v>
      </c>
      <c r="J441" s="7">
        <v>541</v>
      </c>
      <c r="K441" s="7"/>
    </row>
    <row r="442" spans="1:11" x14ac:dyDescent="0.2">
      <c r="A442" s="7">
        <v>542</v>
      </c>
      <c r="B442" s="7">
        <v>20</v>
      </c>
      <c r="C442" s="1" t="str">
        <f t="shared" si="296"/>
        <v>HUGO NAVARRO 3</v>
      </c>
      <c r="D442" s="7" t="s">
        <v>108</v>
      </c>
      <c r="E442" s="1" t="str">
        <f t="shared" si="297"/>
        <v>NO DOCUMENTADO</v>
      </c>
      <c r="F442" s="7">
        <v>2</v>
      </c>
      <c r="G442" s="7" t="s">
        <v>477</v>
      </c>
      <c r="H442" s="7" t="s">
        <v>149</v>
      </c>
      <c r="I442" s="7" t="s">
        <v>478</v>
      </c>
      <c r="J442" s="7">
        <v>542</v>
      </c>
      <c r="K442" s="23"/>
    </row>
    <row r="443" spans="1:11" x14ac:dyDescent="0.2">
      <c r="A443" s="7">
        <v>543</v>
      </c>
      <c r="B443" s="7">
        <v>20</v>
      </c>
      <c r="C443" s="1" t="str">
        <f t="shared" si="296"/>
        <v>HUGO NAVARRO 3</v>
      </c>
      <c r="D443" s="7" t="s">
        <v>108</v>
      </c>
      <c r="E443" s="1" t="str">
        <f t="shared" si="297"/>
        <v>NO DOCUMENTADO</v>
      </c>
      <c r="F443" s="7">
        <v>2</v>
      </c>
      <c r="G443" s="7" t="s">
        <v>477</v>
      </c>
      <c r="H443" s="7" t="s">
        <v>155</v>
      </c>
      <c r="I443" s="7" t="s">
        <v>155</v>
      </c>
      <c r="J443" s="7">
        <v>543</v>
      </c>
      <c r="K443" s="7"/>
    </row>
    <row r="444" spans="1:11" x14ac:dyDescent="0.2">
      <c r="A444" s="7">
        <v>544</v>
      </c>
      <c r="B444" s="7">
        <v>20</v>
      </c>
      <c r="C444" s="1" t="str">
        <f t="shared" si="296"/>
        <v>HUGO NAVARRO 3</v>
      </c>
      <c r="D444" s="7" t="s">
        <v>108</v>
      </c>
      <c r="E444" s="1" t="str">
        <f t="shared" si="297"/>
        <v>NO DOCUMENTADO</v>
      </c>
      <c r="F444" s="7">
        <v>1</v>
      </c>
      <c r="G444" s="7" t="s">
        <v>477</v>
      </c>
      <c r="H444" s="7" t="s">
        <v>149</v>
      </c>
      <c r="I444" s="7" t="s">
        <v>480</v>
      </c>
      <c r="J444" s="7">
        <v>544</v>
      </c>
      <c r="K444" s="23"/>
    </row>
    <row r="445" spans="1:11" x14ac:dyDescent="0.2">
      <c r="A445" s="7">
        <v>545</v>
      </c>
      <c r="B445" s="7">
        <v>20</v>
      </c>
      <c r="C445" s="1" t="str">
        <f t="shared" si="296"/>
        <v>HUGO NAVARRO 3</v>
      </c>
      <c r="D445" s="7" t="s">
        <v>108</v>
      </c>
      <c r="E445" s="1" t="str">
        <f t="shared" si="297"/>
        <v>NO DOCUMENTADO</v>
      </c>
      <c r="F445" s="7">
        <v>1</v>
      </c>
      <c r="G445" s="7" t="s">
        <v>477</v>
      </c>
      <c r="H445" s="7" t="s">
        <v>149</v>
      </c>
      <c r="I445" s="7" t="s">
        <v>478</v>
      </c>
      <c r="J445" s="7">
        <v>545</v>
      </c>
      <c r="K445" s="7"/>
    </row>
    <row r="446" spans="1:11" x14ac:dyDescent="0.2">
      <c r="A446" s="7">
        <v>546</v>
      </c>
      <c r="B446" s="7">
        <v>20</v>
      </c>
      <c r="C446" s="1" t="str">
        <f t="shared" si="296"/>
        <v>HUGO NAVARRO 3</v>
      </c>
      <c r="D446" s="7" t="s">
        <v>108</v>
      </c>
      <c r="E446" s="1" t="str">
        <f t="shared" si="297"/>
        <v>NO DOCUMENTADO</v>
      </c>
      <c r="F446" s="7">
        <v>1</v>
      </c>
      <c r="G446" s="7" t="s">
        <v>477</v>
      </c>
      <c r="H446" s="7" t="s">
        <v>149</v>
      </c>
      <c r="I446" s="7" t="s">
        <v>478</v>
      </c>
      <c r="J446" s="7">
        <v>546</v>
      </c>
      <c r="K446" s="7"/>
    </row>
    <row r="447" spans="1:11" x14ac:dyDescent="0.2">
      <c r="A447" s="7">
        <v>547</v>
      </c>
      <c r="B447" s="7">
        <v>20</v>
      </c>
      <c r="C447" s="1" t="str">
        <f t="shared" si="296"/>
        <v>HUGO NAVARRO 3</v>
      </c>
      <c r="D447" s="7" t="s">
        <v>108</v>
      </c>
      <c r="E447" s="1" t="str">
        <f t="shared" si="297"/>
        <v>NO DOCUMENTADO</v>
      </c>
      <c r="F447" s="7">
        <v>2</v>
      </c>
      <c r="G447" s="7" t="s">
        <v>477</v>
      </c>
      <c r="H447" s="7" t="s">
        <v>149</v>
      </c>
      <c r="I447" s="7" t="s">
        <v>478</v>
      </c>
      <c r="J447" s="7">
        <v>547</v>
      </c>
      <c r="K447" s="7"/>
    </row>
    <row r="448" spans="1:11" x14ac:dyDescent="0.2">
      <c r="A448" s="7">
        <v>548</v>
      </c>
      <c r="B448" s="7">
        <v>20</v>
      </c>
      <c r="C448" s="1" t="str">
        <f t="shared" si="296"/>
        <v>HUGO NAVARRO 3</v>
      </c>
      <c r="D448" s="7" t="s">
        <v>108</v>
      </c>
      <c r="E448" s="1" t="str">
        <f t="shared" si="297"/>
        <v>NO DOCUMENTADO</v>
      </c>
      <c r="F448" s="7">
        <v>2</v>
      </c>
      <c r="G448" s="7" t="s">
        <v>477</v>
      </c>
      <c r="H448" s="7" t="s">
        <v>471</v>
      </c>
      <c r="I448" s="7" t="s">
        <v>471</v>
      </c>
      <c r="J448" s="7">
        <v>548</v>
      </c>
      <c r="K448" s="7" t="s">
        <v>638</v>
      </c>
    </row>
    <row r="449" spans="1:11" x14ac:dyDescent="0.2">
      <c r="A449" s="7">
        <v>549</v>
      </c>
      <c r="B449" s="7">
        <v>20</v>
      </c>
      <c r="C449" s="1" t="str">
        <f t="shared" si="296"/>
        <v>HUGO NAVARRO 3</v>
      </c>
      <c r="D449" s="7" t="s">
        <v>108</v>
      </c>
      <c r="E449" s="1" t="str">
        <f t="shared" si="297"/>
        <v>NO DOCUMENTADO</v>
      </c>
      <c r="F449" s="7">
        <v>2</v>
      </c>
      <c r="G449" s="7" t="s">
        <v>477</v>
      </c>
      <c r="H449" s="7" t="s">
        <v>485</v>
      </c>
      <c r="I449" s="10" t="s">
        <v>485</v>
      </c>
      <c r="J449" s="10">
        <v>549</v>
      </c>
      <c r="K449" s="7"/>
    </row>
    <row r="450" spans="1:11" x14ac:dyDescent="0.2">
      <c r="A450" s="7">
        <v>550</v>
      </c>
      <c r="B450" s="7">
        <v>22</v>
      </c>
      <c r="C450" s="1" t="str">
        <f t="shared" si="296"/>
        <v>DRISCOLLS</v>
      </c>
      <c r="D450" s="7" t="s">
        <v>108</v>
      </c>
      <c r="E450" s="1" t="str">
        <f t="shared" si="297"/>
        <v>VERONICA</v>
      </c>
      <c r="F450" s="7">
        <v>1</v>
      </c>
      <c r="G450" s="7" t="s">
        <v>476</v>
      </c>
      <c r="H450" s="7" t="s">
        <v>149</v>
      </c>
      <c r="I450" s="7" t="s">
        <v>480</v>
      </c>
      <c r="J450" s="7">
        <v>550</v>
      </c>
      <c r="K450" s="7" t="s">
        <v>638</v>
      </c>
    </row>
    <row r="451" spans="1:11" x14ac:dyDescent="0.2">
      <c r="A451" s="7">
        <v>551</v>
      </c>
      <c r="B451" s="7">
        <v>22</v>
      </c>
      <c r="C451" s="1" t="str">
        <f t="shared" si="296"/>
        <v>DRISCOLLS</v>
      </c>
      <c r="D451" s="7" t="s">
        <v>108</v>
      </c>
      <c r="E451" s="1" t="str">
        <f t="shared" si="297"/>
        <v>VERONICA</v>
      </c>
      <c r="F451" s="7">
        <v>1</v>
      </c>
      <c r="G451" s="7" t="s">
        <v>476</v>
      </c>
      <c r="H451" s="7" t="s">
        <v>149</v>
      </c>
      <c r="I451" s="7" t="s">
        <v>478</v>
      </c>
      <c r="J451" s="7">
        <v>551</v>
      </c>
      <c r="K451" s="7" t="s">
        <v>638</v>
      </c>
    </row>
    <row r="452" spans="1:11" x14ac:dyDescent="0.2">
      <c r="A452" s="7">
        <v>552</v>
      </c>
      <c r="B452" s="7">
        <v>22</v>
      </c>
      <c r="C452" s="1" t="str">
        <f t="shared" si="296"/>
        <v>DRISCOLLS</v>
      </c>
      <c r="D452" s="7" t="s">
        <v>108</v>
      </c>
      <c r="E452" s="1" t="str">
        <f t="shared" si="297"/>
        <v>VERONICA</v>
      </c>
      <c r="F452" s="7">
        <v>2</v>
      </c>
      <c r="G452" s="7" t="s">
        <v>476</v>
      </c>
      <c r="H452" s="7" t="s">
        <v>473</v>
      </c>
      <c r="I452" s="26" t="s">
        <v>473</v>
      </c>
      <c r="J452" s="26">
        <v>552</v>
      </c>
      <c r="K452" s="7"/>
    </row>
    <row r="453" spans="1:11" x14ac:dyDescent="0.2">
      <c r="A453" s="7">
        <v>553</v>
      </c>
      <c r="B453" s="7">
        <v>22</v>
      </c>
      <c r="C453" s="1" t="str">
        <f t="shared" si="296"/>
        <v>DRISCOLLS</v>
      </c>
      <c r="D453" s="7" t="s">
        <v>108</v>
      </c>
      <c r="E453" s="1" t="str">
        <f t="shared" si="297"/>
        <v>VERONICA</v>
      </c>
      <c r="F453" s="7">
        <v>3</v>
      </c>
      <c r="G453" s="7" t="s">
        <v>476</v>
      </c>
      <c r="H453" s="7" t="s">
        <v>473</v>
      </c>
      <c r="I453" s="26" t="s">
        <v>473</v>
      </c>
      <c r="J453" s="26">
        <v>553</v>
      </c>
      <c r="K453" s="7"/>
    </row>
    <row r="454" spans="1:11" x14ac:dyDescent="0.2">
      <c r="A454" s="7">
        <v>554</v>
      </c>
      <c r="B454" s="7">
        <v>22</v>
      </c>
      <c r="C454" s="1" t="str">
        <f t="shared" si="296"/>
        <v>DRISCOLLS</v>
      </c>
      <c r="D454" s="7" t="s">
        <v>108</v>
      </c>
      <c r="E454" s="1" t="str">
        <f t="shared" si="297"/>
        <v>VERONICA</v>
      </c>
      <c r="F454" s="7">
        <v>1</v>
      </c>
      <c r="G454" s="7" t="s">
        <v>477</v>
      </c>
      <c r="H454" s="7" t="s">
        <v>473</v>
      </c>
      <c r="I454" s="26" t="s">
        <v>473</v>
      </c>
      <c r="J454" s="26">
        <v>554</v>
      </c>
      <c r="K454" s="7"/>
    </row>
    <row r="455" spans="1:11" x14ac:dyDescent="0.2">
      <c r="A455" s="7">
        <v>555</v>
      </c>
      <c r="B455" s="7">
        <v>22</v>
      </c>
      <c r="C455" s="1" t="str">
        <f t="shared" si="296"/>
        <v>DRISCOLLS</v>
      </c>
      <c r="D455" s="7" t="s">
        <v>108</v>
      </c>
      <c r="E455" s="1" t="str">
        <f t="shared" si="297"/>
        <v>VERONICA</v>
      </c>
      <c r="F455" s="7">
        <v>1</v>
      </c>
      <c r="G455" s="7" t="s">
        <v>477</v>
      </c>
      <c r="H455" s="7" t="s">
        <v>473</v>
      </c>
      <c r="I455" s="26" t="s">
        <v>473</v>
      </c>
      <c r="J455" s="26">
        <v>555</v>
      </c>
      <c r="K455" s="7"/>
    </row>
    <row r="456" spans="1:11" x14ac:dyDescent="0.2">
      <c r="A456" s="7">
        <v>556</v>
      </c>
      <c r="B456" s="7">
        <v>22</v>
      </c>
      <c r="C456" s="1" t="str">
        <f t="shared" si="296"/>
        <v>DRISCOLLS</v>
      </c>
      <c r="D456" s="7" t="s">
        <v>108</v>
      </c>
      <c r="E456" s="1" t="str">
        <f t="shared" si="297"/>
        <v>VERONICA</v>
      </c>
      <c r="F456" s="7">
        <v>2</v>
      </c>
      <c r="G456" s="7" t="s">
        <v>477</v>
      </c>
      <c r="H456" s="7" t="s">
        <v>473</v>
      </c>
      <c r="I456" s="26" t="s">
        <v>473</v>
      </c>
      <c r="J456" s="26">
        <v>556</v>
      </c>
      <c r="K456" s="7"/>
    </row>
    <row r="457" spans="1:11" x14ac:dyDescent="0.2">
      <c r="A457" s="7">
        <v>557</v>
      </c>
      <c r="B457" s="7">
        <v>22</v>
      </c>
      <c r="C457" s="1" t="str">
        <f t="shared" si="296"/>
        <v>DRISCOLLS</v>
      </c>
      <c r="D457" s="7" t="s">
        <v>108</v>
      </c>
      <c r="E457" s="1" t="str">
        <f t="shared" si="297"/>
        <v>VERONICA</v>
      </c>
      <c r="F457" s="7">
        <v>2</v>
      </c>
      <c r="G457" s="7" t="s">
        <v>477</v>
      </c>
      <c r="H457" s="7" t="s">
        <v>473</v>
      </c>
      <c r="I457" s="26" t="s">
        <v>473</v>
      </c>
      <c r="J457" s="26">
        <v>557</v>
      </c>
      <c r="K457" s="7"/>
    </row>
    <row r="458" spans="1:11" x14ac:dyDescent="0.2">
      <c r="A458" s="7">
        <v>558</v>
      </c>
      <c r="B458" s="7">
        <v>22</v>
      </c>
      <c r="C458" s="1" t="str">
        <f t="shared" si="296"/>
        <v>DRISCOLLS</v>
      </c>
      <c r="D458" s="7" t="s">
        <v>108</v>
      </c>
      <c r="E458" s="1" t="str">
        <f t="shared" si="297"/>
        <v>VERONICA</v>
      </c>
      <c r="F458" s="7">
        <v>2</v>
      </c>
      <c r="G458" s="7" t="s">
        <v>477</v>
      </c>
      <c r="H458" s="7" t="s">
        <v>473</v>
      </c>
      <c r="I458" s="26" t="s">
        <v>473</v>
      </c>
      <c r="J458" s="26">
        <v>558</v>
      </c>
      <c r="K458" s="7"/>
    </row>
    <row r="459" spans="1:11" x14ac:dyDescent="0.2">
      <c r="A459" s="7">
        <v>559</v>
      </c>
      <c r="B459" s="7">
        <v>22</v>
      </c>
      <c r="C459" s="1" t="str">
        <f t="shared" si="296"/>
        <v>DRISCOLLS</v>
      </c>
      <c r="D459" s="7" t="s">
        <v>108</v>
      </c>
      <c r="E459" s="1" t="str">
        <f t="shared" si="297"/>
        <v>VERONICA</v>
      </c>
      <c r="F459" s="7">
        <v>3</v>
      </c>
      <c r="G459" s="7" t="s">
        <v>477</v>
      </c>
      <c r="H459" s="7" t="s">
        <v>155</v>
      </c>
      <c r="I459" s="7" t="s">
        <v>155</v>
      </c>
      <c r="J459" s="7">
        <v>559</v>
      </c>
      <c r="K459" s="7" t="s">
        <v>638</v>
      </c>
    </row>
    <row r="460" spans="1:11" x14ac:dyDescent="0.2">
      <c r="A460" s="7">
        <v>560</v>
      </c>
      <c r="B460" s="7">
        <v>22</v>
      </c>
      <c r="C460" s="1" t="str">
        <f t="shared" si="296"/>
        <v>DRISCOLLS</v>
      </c>
      <c r="D460" s="7" t="s">
        <v>108</v>
      </c>
      <c r="E460" s="1" t="str">
        <f t="shared" si="297"/>
        <v>VERONICA</v>
      </c>
      <c r="F460" s="7">
        <v>3</v>
      </c>
      <c r="G460" s="7" t="s">
        <v>477</v>
      </c>
      <c r="H460" s="7" t="s">
        <v>473</v>
      </c>
      <c r="I460" s="26" t="s">
        <v>473</v>
      </c>
      <c r="J460" s="26">
        <v>560</v>
      </c>
      <c r="K460" s="7"/>
    </row>
    <row r="461" spans="1:11" x14ac:dyDescent="0.2">
      <c r="A461" s="7">
        <v>561</v>
      </c>
      <c r="B461" s="7">
        <v>22</v>
      </c>
      <c r="C461" s="1" t="str">
        <f t="shared" si="296"/>
        <v>DRISCOLLS</v>
      </c>
      <c r="D461" s="7" t="s">
        <v>108</v>
      </c>
      <c r="E461" s="1" t="str">
        <f t="shared" si="297"/>
        <v>VERONICA</v>
      </c>
      <c r="F461" s="7">
        <v>3</v>
      </c>
      <c r="G461" s="7" t="s">
        <v>477</v>
      </c>
      <c r="H461" s="7" t="s">
        <v>473</v>
      </c>
      <c r="I461" s="26" t="s">
        <v>473</v>
      </c>
      <c r="J461" s="26">
        <v>561</v>
      </c>
      <c r="K461" s="7"/>
    </row>
    <row r="462" spans="1:11" x14ac:dyDescent="0.2">
      <c r="A462" s="7">
        <v>562</v>
      </c>
      <c r="B462" s="7">
        <v>22</v>
      </c>
      <c r="C462" s="1" t="str">
        <f t="shared" si="296"/>
        <v>DRISCOLLS</v>
      </c>
      <c r="D462" s="7" t="s">
        <v>108</v>
      </c>
      <c r="E462" s="1" t="str">
        <f t="shared" si="297"/>
        <v>VERONICA</v>
      </c>
      <c r="F462" s="7">
        <v>3</v>
      </c>
      <c r="G462" s="7" t="s">
        <v>477</v>
      </c>
      <c r="H462" s="7" t="s">
        <v>471</v>
      </c>
      <c r="I462" s="7" t="s">
        <v>471</v>
      </c>
      <c r="J462" s="7">
        <v>562</v>
      </c>
      <c r="K462" s="7"/>
    </row>
    <row r="463" spans="1:11" x14ac:dyDescent="0.2">
      <c r="A463" s="7">
        <v>563</v>
      </c>
      <c r="B463" s="7">
        <v>23</v>
      </c>
      <c r="C463" s="1" t="str">
        <f t="shared" si="296"/>
        <v>GERARDO ALFARO 1</v>
      </c>
      <c r="D463" s="7" t="s">
        <v>108</v>
      </c>
      <c r="E463" s="1" t="str">
        <f t="shared" si="297"/>
        <v>SANTA MARIA</v>
      </c>
      <c r="F463" s="7">
        <v>1</v>
      </c>
      <c r="G463" s="7" t="s">
        <v>476</v>
      </c>
      <c r="H463" s="7" t="s">
        <v>149</v>
      </c>
      <c r="I463" s="7" t="s">
        <v>480</v>
      </c>
      <c r="J463" s="7">
        <v>563</v>
      </c>
      <c r="K463" s="23"/>
    </row>
    <row r="464" spans="1:11" x14ac:dyDescent="0.2">
      <c r="A464" s="7">
        <v>564</v>
      </c>
      <c r="B464" s="7">
        <v>23</v>
      </c>
      <c r="C464" s="1" t="str">
        <f t="shared" si="296"/>
        <v>GERARDO ALFARO 1</v>
      </c>
      <c r="D464" s="7" t="s">
        <v>108</v>
      </c>
      <c r="E464" s="1" t="str">
        <f t="shared" si="297"/>
        <v>SANTA MARIA</v>
      </c>
      <c r="F464" s="7">
        <v>1</v>
      </c>
      <c r="G464" s="7" t="s">
        <v>476</v>
      </c>
      <c r="H464" s="7" t="s">
        <v>155</v>
      </c>
      <c r="I464" s="7" t="s">
        <v>155</v>
      </c>
      <c r="J464" s="7">
        <v>564</v>
      </c>
      <c r="K464" s="7"/>
    </row>
    <row r="465" spans="1:11" x14ac:dyDescent="0.2">
      <c r="A465" s="7">
        <v>565</v>
      </c>
      <c r="B465" s="7">
        <v>23</v>
      </c>
      <c r="C465" s="1" t="str">
        <f t="shared" si="296"/>
        <v>GERARDO ALFARO 1</v>
      </c>
      <c r="D465" s="7" t="s">
        <v>108</v>
      </c>
      <c r="E465" s="1" t="str">
        <f t="shared" si="297"/>
        <v>SANTA MARIA</v>
      </c>
      <c r="F465" s="7">
        <v>2</v>
      </c>
      <c r="G465" s="7" t="s">
        <v>476</v>
      </c>
      <c r="H465" s="7" t="s">
        <v>155</v>
      </c>
      <c r="I465" s="7" t="s">
        <v>155</v>
      </c>
      <c r="J465" s="7">
        <v>565</v>
      </c>
      <c r="K465" s="23" t="s">
        <v>638</v>
      </c>
    </row>
    <row r="466" spans="1:11" x14ac:dyDescent="0.2">
      <c r="A466" s="7">
        <v>566</v>
      </c>
      <c r="B466" s="7">
        <v>23</v>
      </c>
      <c r="C466" s="1" t="str">
        <f t="shared" si="296"/>
        <v>GERARDO ALFARO 1</v>
      </c>
      <c r="D466" s="7" t="s">
        <v>108</v>
      </c>
      <c r="E466" s="1" t="str">
        <f t="shared" si="297"/>
        <v>SANTA MARIA</v>
      </c>
      <c r="F466" s="7">
        <v>2</v>
      </c>
      <c r="G466" s="7" t="s">
        <v>476</v>
      </c>
      <c r="H466" s="7" t="s">
        <v>149</v>
      </c>
      <c r="I466" s="7" t="s">
        <v>480</v>
      </c>
      <c r="J466" s="7">
        <v>566</v>
      </c>
      <c r="K466" s="7"/>
    </row>
    <row r="467" spans="1:11" x14ac:dyDescent="0.2">
      <c r="A467" s="7">
        <v>567</v>
      </c>
      <c r="B467" s="7">
        <v>23</v>
      </c>
      <c r="C467" s="1" t="str">
        <f t="shared" si="296"/>
        <v>GERARDO ALFARO 1</v>
      </c>
      <c r="D467" s="7" t="s">
        <v>108</v>
      </c>
      <c r="E467" s="1" t="str">
        <f t="shared" si="297"/>
        <v>SANTA MARIA</v>
      </c>
      <c r="F467" s="7">
        <v>2</v>
      </c>
      <c r="G467" s="7" t="s">
        <v>476</v>
      </c>
      <c r="H467" s="7" t="s">
        <v>149</v>
      </c>
      <c r="I467" s="7" t="s">
        <v>480</v>
      </c>
      <c r="J467" s="7">
        <v>567</v>
      </c>
      <c r="K467" s="7"/>
    </row>
    <row r="468" spans="1:11" x14ac:dyDescent="0.2">
      <c r="A468" s="7">
        <v>568</v>
      </c>
      <c r="B468" s="7">
        <v>23</v>
      </c>
      <c r="C468" s="1" t="str">
        <f t="shared" si="296"/>
        <v>GERARDO ALFARO 1</v>
      </c>
      <c r="D468" s="7" t="s">
        <v>108</v>
      </c>
      <c r="E468" s="1" t="str">
        <f t="shared" si="297"/>
        <v>SANTA MARIA</v>
      </c>
      <c r="F468" s="7">
        <v>1</v>
      </c>
      <c r="G468" s="7" t="s">
        <v>477</v>
      </c>
      <c r="H468" s="7" t="s">
        <v>471</v>
      </c>
      <c r="I468" s="7" t="s">
        <v>471</v>
      </c>
      <c r="J468" s="7">
        <v>568</v>
      </c>
      <c r="K468" s="23"/>
    </row>
    <row r="469" spans="1:11" x14ac:dyDescent="0.2">
      <c r="A469" s="7">
        <v>569</v>
      </c>
      <c r="B469" s="7">
        <v>23</v>
      </c>
      <c r="C469" s="1" t="str">
        <f t="shared" si="296"/>
        <v>GERARDO ALFARO 1</v>
      </c>
      <c r="D469" s="7" t="s">
        <v>108</v>
      </c>
      <c r="E469" s="1" t="str">
        <f t="shared" si="297"/>
        <v>SANTA MARIA</v>
      </c>
      <c r="F469" s="7">
        <v>1</v>
      </c>
      <c r="G469" s="7" t="s">
        <v>477</v>
      </c>
      <c r="H469" s="7" t="s">
        <v>485</v>
      </c>
      <c r="I469" s="10" t="s">
        <v>485</v>
      </c>
      <c r="J469" s="10">
        <v>569</v>
      </c>
      <c r="K469" s="7"/>
    </row>
    <row r="470" spans="1:11" x14ac:dyDescent="0.2">
      <c r="A470" s="7">
        <v>570</v>
      </c>
      <c r="B470" s="7">
        <v>23</v>
      </c>
      <c r="C470" s="1" t="str">
        <f t="shared" si="296"/>
        <v>GERARDO ALFARO 1</v>
      </c>
      <c r="D470" s="7" t="s">
        <v>108</v>
      </c>
      <c r="E470" s="1" t="str">
        <f t="shared" si="297"/>
        <v>SANTA MARIA</v>
      </c>
      <c r="F470" s="7">
        <v>2</v>
      </c>
      <c r="G470" s="7" t="s">
        <v>477</v>
      </c>
      <c r="H470" s="7" t="s">
        <v>149</v>
      </c>
      <c r="I470" s="7" t="s">
        <v>480</v>
      </c>
      <c r="J470" s="7">
        <v>570</v>
      </c>
      <c r="K470" s="7"/>
    </row>
    <row r="471" spans="1:11" x14ac:dyDescent="0.2">
      <c r="A471" s="7">
        <v>571</v>
      </c>
      <c r="B471" s="7">
        <v>23</v>
      </c>
      <c r="C471" s="1" t="str">
        <f t="shared" si="296"/>
        <v>GERARDO ALFARO 1</v>
      </c>
      <c r="D471" s="7" t="s">
        <v>108</v>
      </c>
      <c r="E471" s="1" t="str">
        <f t="shared" si="297"/>
        <v>SANTA MARIA</v>
      </c>
      <c r="F471" s="7">
        <v>2</v>
      </c>
      <c r="G471" s="7" t="s">
        <v>477</v>
      </c>
      <c r="H471" s="7" t="s">
        <v>471</v>
      </c>
      <c r="I471" s="7" t="s">
        <v>471</v>
      </c>
      <c r="J471" s="7">
        <v>571</v>
      </c>
      <c r="K471" s="23" t="s">
        <v>638</v>
      </c>
    </row>
    <row r="472" spans="1:11" x14ac:dyDescent="0.2">
      <c r="A472" s="7">
        <v>572</v>
      </c>
      <c r="B472" s="7">
        <v>23</v>
      </c>
      <c r="C472" s="1" t="str">
        <f t="shared" si="296"/>
        <v>GERARDO ALFARO 1</v>
      </c>
      <c r="D472" s="7" t="s">
        <v>108</v>
      </c>
      <c r="E472" s="1" t="str">
        <f t="shared" si="297"/>
        <v>SANTA MARIA</v>
      </c>
      <c r="F472" s="7">
        <v>2</v>
      </c>
      <c r="G472" s="7" t="s">
        <v>477</v>
      </c>
      <c r="H472" s="7" t="s">
        <v>155</v>
      </c>
      <c r="I472" s="7" t="s">
        <v>155</v>
      </c>
      <c r="J472" s="7">
        <v>572</v>
      </c>
      <c r="K472" s="23" t="s">
        <v>638</v>
      </c>
    </row>
    <row r="473" spans="1:11" x14ac:dyDescent="0.2">
      <c r="A473" s="7">
        <v>573</v>
      </c>
      <c r="B473" s="7">
        <v>23</v>
      </c>
      <c r="C473" s="1" t="str">
        <f t="shared" si="296"/>
        <v>GERARDO ALFARO 1</v>
      </c>
      <c r="D473" s="7" t="s">
        <v>108</v>
      </c>
      <c r="E473" s="1" t="str">
        <f t="shared" si="297"/>
        <v>SANTA MARIA</v>
      </c>
      <c r="F473" s="7">
        <v>2</v>
      </c>
      <c r="G473" s="7" t="s">
        <v>477</v>
      </c>
      <c r="H473" s="7" t="s">
        <v>149</v>
      </c>
      <c r="I473" s="7" t="s">
        <v>480</v>
      </c>
      <c r="J473" s="7">
        <v>573</v>
      </c>
      <c r="K473" s="23"/>
    </row>
    <row r="474" spans="1:11" x14ac:dyDescent="0.2">
      <c r="A474" s="7">
        <v>574</v>
      </c>
      <c r="B474" s="7">
        <v>23</v>
      </c>
      <c r="C474" s="1" t="str">
        <f t="shared" si="296"/>
        <v>GERARDO ALFARO 1</v>
      </c>
      <c r="D474" s="7" t="s">
        <v>108</v>
      </c>
      <c r="E474" s="1" t="str">
        <f t="shared" si="297"/>
        <v>SANTA MARIA</v>
      </c>
      <c r="F474" s="7">
        <v>2</v>
      </c>
      <c r="G474" s="7" t="s">
        <v>477</v>
      </c>
      <c r="H474" s="7" t="s">
        <v>149</v>
      </c>
      <c r="I474" s="7" t="s">
        <v>480</v>
      </c>
      <c r="J474" s="7">
        <v>574</v>
      </c>
      <c r="K474" s="7"/>
    </row>
    <row r="475" spans="1:11" x14ac:dyDescent="0.2">
      <c r="A475" s="7">
        <v>575</v>
      </c>
      <c r="B475" s="7">
        <v>23</v>
      </c>
      <c r="C475" s="1" t="str">
        <f t="shared" si="296"/>
        <v>GERARDO ALFARO 1</v>
      </c>
      <c r="D475" s="7" t="s">
        <v>108</v>
      </c>
      <c r="E475" s="1" t="str">
        <f t="shared" si="297"/>
        <v>SANTA MARIA</v>
      </c>
      <c r="F475" s="7">
        <v>1</v>
      </c>
      <c r="G475" s="7" t="s">
        <v>476</v>
      </c>
      <c r="H475" s="7" t="s">
        <v>490</v>
      </c>
      <c r="I475" s="9" t="s">
        <v>490</v>
      </c>
      <c r="J475" s="9">
        <v>575</v>
      </c>
      <c r="K475" s="7"/>
    </row>
    <row r="476" spans="1:11" x14ac:dyDescent="0.2">
      <c r="A476" s="7">
        <v>576</v>
      </c>
      <c r="B476" s="7">
        <v>23</v>
      </c>
      <c r="C476" s="1" t="str">
        <f t="shared" si="296"/>
        <v>GERARDO ALFARO 1</v>
      </c>
      <c r="D476" s="7" t="s">
        <v>108</v>
      </c>
      <c r="E476" s="1" t="str">
        <f t="shared" si="297"/>
        <v>SANTA MARIA</v>
      </c>
      <c r="F476" s="7">
        <v>1</v>
      </c>
      <c r="G476" s="7" t="s">
        <v>476</v>
      </c>
      <c r="H476" s="7" t="s">
        <v>490</v>
      </c>
      <c r="I476" s="9" t="s">
        <v>490</v>
      </c>
      <c r="J476" s="9">
        <v>576</v>
      </c>
      <c r="K476" s="7"/>
    </row>
    <row r="477" spans="1:11" x14ac:dyDescent="0.2">
      <c r="A477" s="7">
        <v>577</v>
      </c>
      <c r="B477" s="7">
        <v>23</v>
      </c>
      <c r="C477" s="1" t="str">
        <f t="shared" si="296"/>
        <v>GERARDO ALFARO 1</v>
      </c>
      <c r="D477" s="7" t="s">
        <v>108</v>
      </c>
      <c r="E477" s="1" t="str">
        <f t="shared" si="297"/>
        <v>SANTA MARIA</v>
      </c>
      <c r="F477" s="7">
        <v>1</v>
      </c>
      <c r="G477" s="7" t="s">
        <v>477</v>
      </c>
      <c r="H477" s="7" t="s">
        <v>473</v>
      </c>
      <c r="I477" s="26" t="s">
        <v>473</v>
      </c>
      <c r="J477" s="26">
        <v>577</v>
      </c>
      <c r="K477" s="7"/>
    </row>
    <row r="478" spans="1:11" x14ac:dyDescent="0.2">
      <c r="A478" s="7">
        <v>578</v>
      </c>
      <c r="B478" s="7">
        <v>23</v>
      </c>
      <c r="C478" s="1" t="str">
        <f t="shared" si="296"/>
        <v>GERARDO ALFARO 1</v>
      </c>
      <c r="D478" s="7" t="s">
        <v>108</v>
      </c>
      <c r="E478" s="1" t="str">
        <f t="shared" si="297"/>
        <v>SANTA MARIA</v>
      </c>
      <c r="F478" s="7">
        <v>1</v>
      </c>
      <c r="G478" s="7" t="s">
        <v>477</v>
      </c>
      <c r="H478" s="7" t="s">
        <v>473</v>
      </c>
      <c r="I478" s="26" t="s">
        <v>473</v>
      </c>
      <c r="J478" s="26">
        <v>578</v>
      </c>
      <c r="K478" s="7"/>
    </row>
    <row r="479" spans="1:11" x14ac:dyDescent="0.2">
      <c r="A479" s="7">
        <v>579</v>
      </c>
      <c r="B479" s="7">
        <v>24</v>
      </c>
      <c r="C479" s="1" t="str">
        <f t="shared" si="296"/>
        <v>GERARDO ALFARO 2</v>
      </c>
      <c r="D479" s="7" t="s">
        <v>108</v>
      </c>
      <c r="E479" s="1" t="str">
        <f t="shared" si="297"/>
        <v>FORTUNA</v>
      </c>
      <c r="F479" s="7">
        <v>2</v>
      </c>
      <c r="G479" s="7" t="s">
        <v>476</v>
      </c>
      <c r="H479" s="7" t="s">
        <v>490</v>
      </c>
      <c r="I479" s="9" t="s">
        <v>490</v>
      </c>
      <c r="J479" s="9">
        <v>579</v>
      </c>
      <c r="K479" s="7"/>
    </row>
    <row r="480" spans="1:11" x14ac:dyDescent="0.2">
      <c r="A480" s="7">
        <v>385</v>
      </c>
      <c r="B480" s="7">
        <v>25</v>
      </c>
      <c r="C480" s="1" t="str">
        <f t="shared" si="296"/>
        <v>JAVIER ZAVALA</v>
      </c>
      <c r="D480" s="7" t="s">
        <v>133</v>
      </c>
      <c r="E480" s="1" t="s">
        <v>126</v>
      </c>
      <c r="F480" s="7">
        <v>1</v>
      </c>
      <c r="G480" s="7" t="s">
        <v>476</v>
      </c>
      <c r="H480" s="7" t="s">
        <v>155</v>
      </c>
      <c r="I480" s="7" t="s">
        <v>155</v>
      </c>
      <c r="J480" s="7">
        <v>385</v>
      </c>
      <c r="K480" s="25" t="s">
        <v>640</v>
      </c>
    </row>
    <row r="481" spans="1:11" x14ac:dyDescent="0.2">
      <c r="A481" s="7">
        <v>386</v>
      </c>
      <c r="B481" s="7">
        <v>25</v>
      </c>
      <c r="C481" s="1" t="str">
        <f t="shared" si="296"/>
        <v>JAVIER ZAVALA</v>
      </c>
      <c r="D481" s="7" t="s">
        <v>133</v>
      </c>
      <c r="E481" s="1" t="s">
        <v>126</v>
      </c>
      <c r="F481" s="7">
        <v>1</v>
      </c>
      <c r="G481" s="7" t="s">
        <v>477</v>
      </c>
      <c r="H481" s="7" t="s">
        <v>155</v>
      </c>
      <c r="I481" s="7" t="s">
        <v>155</v>
      </c>
      <c r="J481" s="7">
        <v>386</v>
      </c>
      <c r="K481" s="23" t="s">
        <v>638</v>
      </c>
    </row>
    <row r="482" spans="1:11" x14ac:dyDescent="0.2">
      <c r="A482" s="7">
        <v>387</v>
      </c>
      <c r="B482" s="7">
        <v>25</v>
      </c>
      <c r="C482" s="1" t="str">
        <f t="shared" si="296"/>
        <v>JAVIER ZAVALA</v>
      </c>
      <c r="D482" s="7" t="s">
        <v>133</v>
      </c>
      <c r="E482" s="1" t="s">
        <v>126</v>
      </c>
      <c r="F482" s="7">
        <v>1</v>
      </c>
      <c r="G482" s="7" t="s">
        <v>477</v>
      </c>
      <c r="H482" s="7" t="s">
        <v>155</v>
      </c>
      <c r="I482" s="7" t="s">
        <v>155</v>
      </c>
      <c r="J482" s="7">
        <v>387</v>
      </c>
      <c r="K482" s="7"/>
    </row>
    <row r="483" spans="1:11" x14ac:dyDescent="0.2">
      <c r="A483" s="7">
        <v>467</v>
      </c>
      <c r="B483" s="7">
        <v>25</v>
      </c>
      <c r="C483" s="1" t="str">
        <f t="shared" si="296"/>
        <v>JAVIER ZAVALA</v>
      </c>
      <c r="D483" s="7" t="s">
        <v>133</v>
      </c>
      <c r="E483" s="1" t="s">
        <v>126</v>
      </c>
      <c r="F483" s="7">
        <v>1</v>
      </c>
      <c r="G483" s="7" t="s">
        <v>477</v>
      </c>
      <c r="H483" s="7" t="s">
        <v>149</v>
      </c>
      <c r="I483" s="7" t="s">
        <v>480</v>
      </c>
      <c r="J483" s="7">
        <v>467</v>
      </c>
      <c r="K483" s="23"/>
    </row>
    <row r="484" spans="1:11" x14ac:dyDescent="0.2">
      <c r="A484" s="7">
        <v>468</v>
      </c>
      <c r="B484" s="7">
        <v>25</v>
      </c>
      <c r="C484" s="1" t="str">
        <f t="shared" si="296"/>
        <v>JAVIER ZAVALA</v>
      </c>
      <c r="D484" s="7" t="s">
        <v>133</v>
      </c>
      <c r="E484" s="1" t="s">
        <v>126</v>
      </c>
      <c r="F484" s="7">
        <v>1</v>
      </c>
      <c r="G484" s="7" t="s">
        <v>477</v>
      </c>
      <c r="H484" s="7" t="s">
        <v>149</v>
      </c>
      <c r="I484" s="7" t="s">
        <v>478</v>
      </c>
      <c r="J484" s="7">
        <v>468</v>
      </c>
      <c r="K484" s="23"/>
    </row>
    <row r="485" spans="1:11" x14ac:dyDescent="0.2">
      <c r="A485" s="7">
        <v>580</v>
      </c>
      <c r="B485" s="7">
        <v>25</v>
      </c>
      <c r="C485" s="1" t="str">
        <f t="shared" si="296"/>
        <v>JAVIER ZAVALA</v>
      </c>
      <c r="D485" s="7" t="s">
        <v>133</v>
      </c>
      <c r="E485" s="1" t="s">
        <v>126</v>
      </c>
      <c r="F485" s="7">
        <v>1</v>
      </c>
      <c r="G485" s="7" t="s">
        <v>477</v>
      </c>
      <c r="H485" s="7" t="s">
        <v>473</v>
      </c>
      <c r="I485" s="26" t="s">
        <v>473</v>
      </c>
      <c r="J485" s="26">
        <v>580</v>
      </c>
      <c r="K485" s="7"/>
    </row>
    <row r="486" spans="1:11" x14ac:dyDescent="0.2">
      <c r="A486" s="7">
        <v>388</v>
      </c>
      <c r="B486" s="7">
        <v>26</v>
      </c>
      <c r="C486" s="1" t="str">
        <f t="shared" si="296"/>
        <v>PARCELA 26</v>
      </c>
      <c r="D486" s="7" t="s">
        <v>133</v>
      </c>
      <c r="E486" s="1" t="str">
        <f t="shared" ref="E486:E498" si="298">IF(B486=20,"NO DOCUMENTADO",IF(B486=21.1,"CAMINO",IF(B486=21.2,"VICTOR",IF(B486=22,"VERONICA",IF(B486=23,"SANTA MARIA",IF(B486=24,"FORTUNA",IF(B486=25,"CAMINO REAL",IF(B486=26,"ALBION",IF(B486=27,"CAMINO REAL",IF(B486=28,"SAN ANDREAS",IF(B486=29,"MONTERREY",IF(B486=30,"CAMINO REAL",IF(B486=31,"CAMINO REAL",IF(B486=32,"CABRILLO",IF(B486=33,"CAMINO REAL",IF(B486=34,"CAMINO REAL",IF(B486=35.1,"CAMINO",IF(B486=35.2,"FRONTERA",IF(B486=36.1,"SANTA MARIA",IF(B486=36.2,"NIÑA",IF(B486=36.3,"CODIGO",IF(B486=37.1,"VICTOR",IF(B486=37.2,"CODIGO 1",IF(B486=37.3,"CODIGO 2",IF(B486=38.1,"SAYULA",IF(B486=38.2,"FRONTERA",IF(B486=38.3,"VICTOR",IF(B486=39,"CODIGO",IF(B486=40.1,"CAMINO")))))))))))))))))))))))))))))</f>
        <v>ALBION</v>
      </c>
      <c r="F486" s="7">
        <v>1</v>
      </c>
      <c r="G486" s="7" t="s">
        <v>476</v>
      </c>
      <c r="H486" s="7" t="s">
        <v>155</v>
      </c>
      <c r="I486" s="7" t="s">
        <v>155</v>
      </c>
      <c r="J486" s="7">
        <v>388</v>
      </c>
      <c r="K486" s="23" t="s">
        <v>638</v>
      </c>
    </row>
    <row r="487" spans="1:11" x14ac:dyDescent="0.2">
      <c r="A487" s="7">
        <v>389</v>
      </c>
      <c r="B487" s="7">
        <v>26</v>
      </c>
      <c r="C487" s="1" t="str">
        <f t="shared" si="296"/>
        <v>PARCELA 26</v>
      </c>
      <c r="D487" s="7" t="s">
        <v>133</v>
      </c>
      <c r="E487" s="1" t="str">
        <f t="shared" si="298"/>
        <v>ALBION</v>
      </c>
      <c r="F487" s="7">
        <v>1</v>
      </c>
      <c r="G487" s="7" t="s">
        <v>476</v>
      </c>
      <c r="H487" s="7" t="s">
        <v>149</v>
      </c>
      <c r="I487" s="7" t="s">
        <v>480</v>
      </c>
      <c r="J487" s="7">
        <v>389</v>
      </c>
      <c r="K487" s="7" t="s">
        <v>638</v>
      </c>
    </row>
    <row r="488" spans="1:11" x14ac:dyDescent="0.2">
      <c r="A488" s="7">
        <v>390</v>
      </c>
      <c r="B488" s="7">
        <v>26</v>
      </c>
      <c r="C488" s="1" t="str">
        <f t="shared" si="296"/>
        <v>PARCELA 26</v>
      </c>
      <c r="D488" s="7" t="s">
        <v>133</v>
      </c>
      <c r="E488" s="1" t="str">
        <f t="shared" si="298"/>
        <v>ALBION</v>
      </c>
      <c r="F488" s="7">
        <v>2</v>
      </c>
      <c r="G488" s="7" t="s">
        <v>476</v>
      </c>
      <c r="H488" s="7" t="s">
        <v>471</v>
      </c>
      <c r="I488" s="7" t="s">
        <v>471</v>
      </c>
      <c r="J488" s="7">
        <v>390</v>
      </c>
      <c r="K488" s="23" t="s">
        <v>638</v>
      </c>
    </row>
    <row r="489" spans="1:11" x14ac:dyDescent="0.2">
      <c r="A489" s="7">
        <v>391</v>
      </c>
      <c r="B489" s="7">
        <v>26</v>
      </c>
      <c r="C489" s="1" t="str">
        <f t="shared" si="296"/>
        <v>PARCELA 26</v>
      </c>
      <c r="D489" s="7" t="s">
        <v>133</v>
      </c>
      <c r="E489" s="1" t="str">
        <f t="shared" si="298"/>
        <v>ALBION</v>
      </c>
      <c r="F489" s="7">
        <v>2</v>
      </c>
      <c r="G489" s="7" t="s">
        <v>476</v>
      </c>
      <c r="H489" s="7" t="s">
        <v>155</v>
      </c>
      <c r="I489" s="7" t="s">
        <v>155</v>
      </c>
      <c r="J489" s="7">
        <v>391</v>
      </c>
      <c r="K489" s="25" t="s">
        <v>640</v>
      </c>
    </row>
    <row r="490" spans="1:11" x14ac:dyDescent="0.2">
      <c r="A490" s="7">
        <v>392</v>
      </c>
      <c r="B490" s="7">
        <v>26</v>
      </c>
      <c r="C490" s="1" t="str">
        <f t="shared" ref="C490:C553" si="299">IF(B490=19,"HUGO NAVARRO 2",IF(B490=20,"HUGO NAVARRO 3",IF(B490=21.1,"LA ESTANCIA 1",IF(B490=21.2,"LA ESTANCIA 2",IF(B490=22,"DRISCOLLS",IF(B490=23,"GERARDO ALFARO 1",IF(B490=24,"GERARDO ALFARO 2",IF(B490=25,"JAVIER ZAVALA",IF(B490=26,"PARCELA 26",IF(B490=27,"PARCELA 27",IF(B490=28,"PARCELA 28",IF(B490=29,"VIVERO DE GUADALUPE",IF(B490=30,"FRANCISCO GARCIA RIVERA",IF(B490=31,"J REYES HERNANDEZ ZAVALA",IF(B490=32,"VIVERO PLANTA MADRE",IF(B490=33,"ALBERTO HAZA",IF(B490=34,"PARCELA 34",IF(B490=35.1,"EL MIRADOR 1",IF(B490=35.2,"EL MIRADOR 2",IF(B490=36.1,"CHELIS FARM 1",IF(B490=36.2,"CHELIS FARM 2",IF(B490=36.3,"CHELIS FARM 3",IF(B490=37.1,"EL AEROPUERTO 1",IF(B490=37.2,"EL AEROPUERTO 2",IF(B490=37.3,"EL AEROPUERTO 3",IF(B490=38.1,"PITUFO 1",IF(B490=38.2,"PITUFO 3",IF(B490=38.3,"PITUFO 2",IF(B490=39,"EL CUISILLO",IF(B490=40.1,"RANCHO AVENTURA 1"))))))))))))))))))))))))))))))</f>
        <v>PARCELA 26</v>
      </c>
      <c r="D490" s="7" t="s">
        <v>133</v>
      </c>
      <c r="E490" s="1" t="str">
        <f t="shared" si="298"/>
        <v>ALBION</v>
      </c>
      <c r="F490" s="7">
        <v>1</v>
      </c>
      <c r="G490" s="7" t="s">
        <v>477</v>
      </c>
      <c r="H490" s="7" t="s">
        <v>149</v>
      </c>
      <c r="I490" s="7" t="s">
        <v>478</v>
      </c>
      <c r="J490" s="7">
        <v>392</v>
      </c>
      <c r="K490" s="7"/>
    </row>
    <row r="491" spans="1:11" x14ac:dyDescent="0.2">
      <c r="A491" s="7">
        <v>393</v>
      </c>
      <c r="B491" s="7">
        <v>26</v>
      </c>
      <c r="C491" s="1" t="str">
        <f t="shared" si="299"/>
        <v>PARCELA 26</v>
      </c>
      <c r="D491" s="7" t="s">
        <v>133</v>
      </c>
      <c r="E491" s="1" t="str">
        <f t="shared" si="298"/>
        <v>ALBION</v>
      </c>
      <c r="F491" s="7">
        <v>1</v>
      </c>
      <c r="G491" s="7" t="s">
        <v>477</v>
      </c>
      <c r="H491" s="7" t="s">
        <v>149</v>
      </c>
      <c r="I491" s="7" t="s">
        <v>478</v>
      </c>
      <c r="J491" s="7">
        <v>393</v>
      </c>
      <c r="K491" s="23" t="s">
        <v>638</v>
      </c>
    </row>
    <row r="492" spans="1:11" x14ac:dyDescent="0.2">
      <c r="A492" s="7">
        <v>394</v>
      </c>
      <c r="B492" s="7">
        <v>26</v>
      </c>
      <c r="C492" s="1" t="str">
        <f t="shared" si="299"/>
        <v>PARCELA 26</v>
      </c>
      <c r="D492" s="7" t="s">
        <v>133</v>
      </c>
      <c r="E492" s="1" t="str">
        <f t="shared" si="298"/>
        <v>ALBION</v>
      </c>
      <c r="F492" s="7">
        <v>2</v>
      </c>
      <c r="G492" s="7" t="s">
        <v>477</v>
      </c>
      <c r="H492" s="7" t="s">
        <v>149</v>
      </c>
      <c r="I492" s="7" t="s">
        <v>480</v>
      </c>
      <c r="J492" s="7">
        <v>394</v>
      </c>
      <c r="K492" s="23" t="s">
        <v>638</v>
      </c>
    </row>
    <row r="493" spans="1:11" x14ac:dyDescent="0.2">
      <c r="A493" s="7">
        <v>395</v>
      </c>
      <c r="B493" s="7">
        <v>26</v>
      </c>
      <c r="C493" s="1" t="str">
        <f t="shared" si="299"/>
        <v>PARCELA 26</v>
      </c>
      <c r="D493" s="7" t="s">
        <v>133</v>
      </c>
      <c r="E493" s="1" t="str">
        <f t="shared" si="298"/>
        <v>ALBION</v>
      </c>
      <c r="F493" s="7">
        <v>2</v>
      </c>
      <c r="G493" s="7" t="s">
        <v>477</v>
      </c>
      <c r="H493" s="7" t="s">
        <v>473</v>
      </c>
      <c r="I493" s="26" t="s">
        <v>473</v>
      </c>
      <c r="J493" s="26">
        <v>395</v>
      </c>
      <c r="K493" s="7"/>
    </row>
    <row r="494" spans="1:11" x14ac:dyDescent="0.2">
      <c r="A494" s="7">
        <v>396</v>
      </c>
      <c r="B494" s="7">
        <v>26</v>
      </c>
      <c r="C494" s="1" t="str">
        <f t="shared" si="299"/>
        <v>PARCELA 26</v>
      </c>
      <c r="D494" s="7" t="s">
        <v>133</v>
      </c>
      <c r="E494" s="1" t="str">
        <f t="shared" si="298"/>
        <v>ALBION</v>
      </c>
      <c r="F494" s="7">
        <v>2</v>
      </c>
      <c r="G494" s="7" t="s">
        <v>477</v>
      </c>
      <c r="H494" s="7" t="s">
        <v>228</v>
      </c>
      <c r="I494" s="9" t="s">
        <v>493</v>
      </c>
      <c r="J494" s="9">
        <v>396</v>
      </c>
      <c r="K494" s="7"/>
    </row>
    <row r="495" spans="1:11" x14ac:dyDescent="0.2">
      <c r="A495" s="7">
        <v>469</v>
      </c>
      <c r="B495" s="7">
        <v>26</v>
      </c>
      <c r="C495" s="1" t="str">
        <f t="shared" si="299"/>
        <v>PARCELA 26</v>
      </c>
      <c r="D495" s="7" t="s">
        <v>133</v>
      </c>
      <c r="E495" s="1" t="str">
        <f t="shared" si="298"/>
        <v>ALBION</v>
      </c>
      <c r="F495" s="7">
        <v>1</v>
      </c>
      <c r="G495" s="7" t="s">
        <v>477</v>
      </c>
      <c r="H495" s="7" t="s">
        <v>149</v>
      </c>
      <c r="I495" s="7" t="s">
        <v>480</v>
      </c>
      <c r="J495" s="7">
        <v>469</v>
      </c>
      <c r="K495" s="7" t="s">
        <v>638</v>
      </c>
    </row>
    <row r="496" spans="1:11" x14ac:dyDescent="0.2">
      <c r="A496" s="7">
        <v>470</v>
      </c>
      <c r="B496" s="7">
        <v>26</v>
      </c>
      <c r="C496" s="1" t="str">
        <f t="shared" si="299"/>
        <v>PARCELA 26</v>
      </c>
      <c r="D496" s="7" t="s">
        <v>133</v>
      </c>
      <c r="E496" s="1" t="str">
        <f t="shared" si="298"/>
        <v>ALBION</v>
      </c>
      <c r="F496" s="7">
        <v>2</v>
      </c>
      <c r="G496" s="7" t="s">
        <v>477</v>
      </c>
      <c r="H496" s="7" t="s">
        <v>149</v>
      </c>
      <c r="I496" s="7" t="s">
        <v>480</v>
      </c>
      <c r="J496" s="7">
        <v>470</v>
      </c>
      <c r="K496" s="23"/>
    </row>
    <row r="497" spans="1:11" x14ac:dyDescent="0.2">
      <c r="A497" s="7">
        <v>471</v>
      </c>
      <c r="B497" s="7">
        <v>26</v>
      </c>
      <c r="C497" s="1" t="str">
        <f t="shared" si="299"/>
        <v>PARCELA 26</v>
      </c>
      <c r="D497" s="7" t="s">
        <v>133</v>
      </c>
      <c r="E497" s="1" t="str">
        <f t="shared" si="298"/>
        <v>ALBION</v>
      </c>
      <c r="F497" s="7">
        <v>2</v>
      </c>
      <c r="G497" s="7" t="s">
        <v>477</v>
      </c>
      <c r="H497" s="7" t="s">
        <v>149</v>
      </c>
      <c r="I497" s="7" t="s">
        <v>478</v>
      </c>
      <c r="J497" s="7">
        <v>471</v>
      </c>
      <c r="K497" s="23" t="s">
        <v>638</v>
      </c>
    </row>
    <row r="498" spans="1:11" x14ac:dyDescent="0.2">
      <c r="A498" s="7">
        <v>581</v>
      </c>
      <c r="B498" s="7">
        <v>26</v>
      </c>
      <c r="C498" s="1" t="str">
        <f t="shared" si="299"/>
        <v>PARCELA 26</v>
      </c>
      <c r="D498" s="7" t="s">
        <v>133</v>
      </c>
      <c r="E498" s="1" t="str">
        <f t="shared" si="298"/>
        <v>ALBION</v>
      </c>
      <c r="F498" s="7">
        <v>2</v>
      </c>
      <c r="G498" s="7" t="s">
        <v>477</v>
      </c>
      <c r="H498" s="7" t="s">
        <v>473</v>
      </c>
      <c r="I498" s="26" t="s">
        <v>473</v>
      </c>
      <c r="J498" s="26">
        <v>581</v>
      </c>
      <c r="K498" s="7"/>
    </row>
    <row r="499" spans="1:11" x14ac:dyDescent="0.2">
      <c r="A499" s="7">
        <v>397</v>
      </c>
      <c r="B499" s="7">
        <v>27</v>
      </c>
      <c r="C499" s="1" t="str">
        <f t="shared" si="299"/>
        <v>PARCELA 27</v>
      </c>
      <c r="D499" s="7" t="s">
        <v>133</v>
      </c>
      <c r="E499" s="1" t="s">
        <v>126</v>
      </c>
      <c r="F499" s="7">
        <v>1</v>
      </c>
      <c r="G499" s="7" t="s">
        <v>476</v>
      </c>
      <c r="H499" s="7" t="s">
        <v>155</v>
      </c>
      <c r="I499" s="7" t="s">
        <v>155</v>
      </c>
      <c r="J499" s="7">
        <v>397</v>
      </c>
      <c r="K499" s="23" t="s">
        <v>638</v>
      </c>
    </row>
    <row r="500" spans="1:11" x14ac:dyDescent="0.2">
      <c r="A500" s="7">
        <v>398</v>
      </c>
      <c r="B500" s="7">
        <v>27</v>
      </c>
      <c r="C500" s="1" t="str">
        <f t="shared" si="299"/>
        <v>PARCELA 27</v>
      </c>
      <c r="D500" s="7" t="s">
        <v>133</v>
      </c>
      <c r="E500" s="1" t="s">
        <v>126</v>
      </c>
      <c r="F500" s="7">
        <v>1</v>
      </c>
      <c r="G500" s="7" t="s">
        <v>476</v>
      </c>
      <c r="H500" s="7" t="s">
        <v>155</v>
      </c>
      <c r="I500" s="7" t="s">
        <v>155</v>
      </c>
      <c r="J500" s="7">
        <v>398</v>
      </c>
      <c r="K500" s="25" t="s">
        <v>640</v>
      </c>
    </row>
    <row r="501" spans="1:11" x14ac:dyDescent="0.2">
      <c r="A501" s="7">
        <v>399</v>
      </c>
      <c r="B501" s="7">
        <v>27</v>
      </c>
      <c r="C501" s="1" t="str">
        <f t="shared" si="299"/>
        <v>PARCELA 27</v>
      </c>
      <c r="D501" s="7" t="s">
        <v>133</v>
      </c>
      <c r="E501" s="1" t="s">
        <v>126</v>
      </c>
      <c r="F501" s="7">
        <v>1</v>
      </c>
      <c r="G501" s="7" t="s">
        <v>477</v>
      </c>
      <c r="H501" s="7" t="s">
        <v>149</v>
      </c>
      <c r="I501" s="7" t="s">
        <v>480</v>
      </c>
      <c r="J501" s="7">
        <v>399</v>
      </c>
      <c r="K501" s="7"/>
    </row>
    <row r="502" spans="1:11" x14ac:dyDescent="0.2">
      <c r="A502" s="7">
        <v>400</v>
      </c>
      <c r="B502" s="7">
        <v>27</v>
      </c>
      <c r="C502" s="1" t="str">
        <f t="shared" si="299"/>
        <v>PARCELA 27</v>
      </c>
      <c r="D502" s="7" t="s">
        <v>133</v>
      </c>
      <c r="E502" s="1" t="s">
        <v>126</v>
      </c>
      <c r="F502" s="7">
        <v>1</v>
      </c>
      <c r="G502" s="7" t="s">
        <v>477</v>
      </c>
      <c r="H502" s="7" t="s">
        <v>149</v>
      </c>
      <c r="I502" s="7" t="s">
        <v>480</v>
      </c>
      <c r="J502" s="7">
        <v>400</v>
      </c>
      <c r="K502" s="23" t="s">
        <v>638</v>
      </c>
    </row>
    <row r="503" spans="1:11" x14ac:dyDescent="0.2">
      <c r="A503" s="7">
        <v>401</v>
      </c>
      <c r="B503" s="7">
        <v>27</v>
      </c>
      <c r="C503" s="1" t="str">
        <f t="shared" si="299"/>
        <v>PARCELA 27</v>
      </c>
      <c r="D503" s="7" t="s">
        <v>133</v>
      </c>
      <c r="E503" s="1" t="s">
        <v>126</v>
      </c>
      <c r="F503" s="7">
        <v>1</v>
      </c>
      <c r="G503" s="7" t="s">
        <v>477</v>
      </c>
      <c r="H503" s="7" t="s">
        <v>490</v>
      </c>
      <c r="I503" s="9" t="s">
        <v>490</v>
      </c>
      <c r="J503" s="9">
        <v>401</v>
      </c>
      <c r="K503" s="7"/>
    </row>
    <row r="504" spans="1:11" x14ac:dyDescent="0.2">
      <c r="A504" s="7">
        <v>472</v>
      </c>
      <c r="B504" s="7">
        <v>27</v>
      </c>
      <c r="C504" s="1" t="str">
        <f t="shared" si="299"/>
        <v>PARCELA 27</v>
      </c>
      <c r="D504" s="7" t="s">
        <v>133</v>
      </c>
      <c r="E504" s="1" t="s">
        <v>126</v>
      </c>
      <c r="F504" s="7">
        <v>1</v>
      </c>
      <c r="G504" s="7" t="s">
        <v>477</v>
      </c>
      <c r="H504" s="7" t="s">
        <v>149</v>
      </c>
      <c r="I504" s="7" t="s">
        <v>478</v>
      </c>
      <c r="J504" s="7">
        <v>472</v>
      </c>
      <c r="K504" s="13"/>
    </row>
    <row r="505" spans="1:11" x14ac:dyDescent="0.2">
      <c r="A505" s="7">
        <v>473</v>
      </c>
      <c r="B505" s="7">
        <v>27</v>
      </c>
      <c r="C505" s="1" t="str">
        <f t="shared" si="299"/>
        <v>PARCELA 27</v>
      </c>
      <c r="D505" s="7" t="s">
        <v>133</v>
      </c>
      <c r="E505" s="1" t="s">
        <v>126</v>
      </c>
      <c r="F505" s="7">
        <v>1</v>
      </c>
      <c r="G505" s="7" t="s">
        <v>477</v>
      </c>
      <c r="H505" s="7" t="s">
        <v>471</v>
      </c>
      <c r="I505" s="7" t="s">
        <v>471</v>
      </c>
      <c r="J505" s="7">
        <v>473</v>
      </c>
      <c r="K505" s="23" t="s">
        <v>638</v>
      </c>
    </row>
    <row r="506" spans="1:11" x14ac:dyDescent="0.2">
      <c r="A506" s="7">
        <v>582</v>
      </c>
      <c r="B506" s="7">
        <v>27</v>
      </c>
      <c r="C506" s="1" t="str">
        <f t="shared" si="299"/>
        <v>PARCELA 27</v>
      </c>
      <c r="D506" s="7" t="s">
        <v>133</v>
      </c>
      <c r="E506" s="1" t="s">
        <v>126</v>
      </c>
      <c r="F506" s="7">
        <v>2</v>
      </c>
      <c r="G506" s="7" t="s">
        <v>477</v>
      </c>
      <c r="H506" s="7" t="s">
        <v>473</v>
      </c>
      <c r="I506" s="26" t="s">
        <v>473</v>
      </c>
      <c r="J506" s="26">
        <v>582</v>
      </c>
      <c r="K506" s="7"/>
    </row>
    <row r="507" spans="1:11" x14ac:dyDescent="0.2">
      <c r="A507" s="7">
        <v>402</v>
      </c>
      <c r="B507" s="7">
        <v>28</v>
      </c>
      <c r="C507" s="1" t="str">
        <f t="shared" si="299"/>
        <v>PARCELA 28</v>
      </c>
      <c r="D507" s="7" t="s">
        <v>133</v>
      </c>
      <c r="E507" s="1" t="str">
        <f t="shared" ref="E507:E528" si="300">IF(B507=20,"NO DOCUMENTADO",IF(B507=21.1,"CAMINO",IF(B507=21.2,"VICTOR",IF(B507=22,"VERONICA",IF(B507=23,"SANTA MARIA",IF(B507=24,"FORTUNA",IF(B507=25,"CAMINO REAL",IF(B507=26,"ALBION",IF(B507=27,"CAMINO REAL",IF(B507=28,"SAN ANDREAS",IF(B507=29,"MONTERREY",IF(B507=30,"CAMINO REAL",IF(B507=31,"CAMINO REAL",IF(B507=32,"CABRILLO",IF(B507=33,"CAMINO REAL",IF(B507=34,"CAMINO REAL",IF(B507=35.1,"CAMINO",IF(B507=35.2,"FRONTERA",IF(B507=36.1,"SANTA MARIA",IF(B507=36.2,"NIÑA",IF(B507=36.3,"CODIGO",IF(B507=37.1,"VICTOR",IF(B507=37.2,"CODIGO 1",IF(B507=37.3,"CODIGO 2",IF(B507=38.1,"SAYULA",IF(B507=38.2,"FRONTERA",IF(B507=38.3,"VICTOR",IF(B507=39,"CODIGO",IF(B507=40.1,"CAMINO")))))))))))))))))))))))))))))</f>
        <v>SAN ANDREAS</v>
      </c>
      <c r="F507" s="7">
        <v>1</v>
      </c>
      <c r="G507" s="7" t="s">
        <v>476</v>
      </c>
      <c r="H507" s="7" t="s">
        <v>149</v>
      </c>
      <c r="I507" s="7" t="s">
        <v>478</v>
      </c>
      <c r="J507" s="7">
        <v>402</v>
      </c>
      <c r="K507" s="7"/>
    </row>
    <row r="508" spans="1:11" x14ac:dyDescent="0.2">
      <c r="A508" s="7">
        <v>403</v>
      </c>
      <c r="B508" s="7">
        <v>28</v>
      </c>
      <c r="C508" s="1" t="str">
        <f t="shared" si="299"/>
        <v>PARCELA 28</v>
      </c>
      <c r="D508" s="7" t="s">
        <v>133</v>
      </c>
      <c r="E508" s="1" t="str">
        <f t="shared" si="300"/>
        <v>SAN ANDREAS</v>
      </c>
      <c r="F508" s="7">
        <v>1</v>
      </c>
      <c r="G508" s="7" t="s">
        <v>476</v>
      </c>
      <c r="H508" s="7" t="s">
        <v>149</v>
      </c>
      <c r="I508" s="7" t="s">
        <v>480</v>
      </c>
      <c r="J508" s="7">
        <v>403</v>
      </c>
      <c r="K508" s="23" t="s">
        <v>638</v>
      </c>
    </row>
    <row r="509" spans="1:11" x14ac:dyDescent="0.2">
      <c r="A509" s="7">
        <v>404</v>
      </c>
      <c r="B509" s="7">
        <v>28</v>
      </c>
      <c r="C509" s="1" t="str">
        <f t="shared" si="299"/>
        <v>PARCELA 28</v>
      </c>
      <c r="D509" s="7" t="s">
        <v>133</v>
      </c>
      <c r="E509" s="1" t="str">
        <f t="shared" si="300"/>
        <v>SAN ANDREAS</v>
      </c>
      <c r="F509" s="7">
        <v>2</v>
      </c>
      <c r="G509" s="7" t="s">
        <v>476</v>
      </c>
      <c r="H509" s="7" t="s">
        <v>149</v>
      </c>
      <c r="I509" s="7" t="s">
        <v>480</v>
      </c>
      <c r="J509" s="7">
        <v>404</v>
      </c>
      <c r="K509" s="7"/>
    </row>
    <row r="510" spans="1:11" x14ac:dyDescent="0.2">
      <c r="A510" s="7">
        <v>405</v>
      </c>
      <c r="B510" s="7">
        <v>28</v>
      </c>
      <c r="C510" s="1" t="str">
        <f t="shared" si="299"/>
        <v>PARCELA 28</v>
      </c>
      <c r="D510" s="7" t="s">
        <v>133</v>
      </c>
      <c r="E510" s="1" t="str">
        <f t="shared" si="300"/>
        <v>SAN ANDREAS</v>
      </c>
      <c r="F510" s="7">
        <v>2</v>
      </c>
      <c r="G510" s="7" t="s">
        <v>476</v>
      </c>
      <c r="H510" s="7" t="s">
        <v>149</v>
      </c>
      <c r="I510" s="7" t="s">
        <v>480</v>
      </c>
      <c r="J510" s="7">
        <v>405</v>
      </c>
      <c r="K510" s="7"/>
    </row>
    <row r="511" spans="1:11" x14ac:dyDescent="0.2">
      <c r="A511" s="7">
        <v>406</v>
      </c>
      <c r="B511" s="7">
        <v>28</v>
      </c>
      <c r="C511" s="1" t="str">
        <f t="shared" si="299"/>
        <v>PARCELA 28</v>
      </c>
      <c r="D511" s="7" t="s">
        <v>133</v>
      </c>
      <c r="E511" s="1" t="str">
        <f t="shared" si="300"/>
        <v>SAN ANDREAS</v>
      </c>
      <c r="F511" s="7">
        <v>2</v>
      </c>
      <c r="G511" s="7" t="s">
        <v>477</v>
      </c>
      <c r="H511" s="7" t="s">
        <v>149</v>
      </c>
      <c r="I511" s="7" t="s">
        <v>480</v>
      </c>
      <c r="J511" s="7">
        <v>406</v>
      </c>
      <c r="K511" s="7"/>
    </row>
    <row r="512" spans="1:11" x14ac:dyDescent="0.2">
      <c r="A512" s="7">
        <v>407</v>
      </c>
      <c r="B512" s="7">
        <v>28</v>
      </c>
      <c r="C512" s="1" t="str">
        <f t="shared" si="299"/>
        <v>PARCELA 28</v>
      </c>
      <c r="D512" s="7" t="s">
        <v>133</v>
      </c>
      <c r="E512" s="1" t="str">
        <f t="shared" si="300"/>
        <v>SAN ANDREAS</v>
      </c>
      <c r="F512" s="7">
        <v>2</v>
      </c>
      <c r="G512" s="7" t="s">
        <v>477</v>
      </c>
      <c r="H512" s="7" t="s">
        <v>149</v>
      </c>
      <c r="I512" s="7" t="s">
        <v>480</v>
      </c>
      <c r="J512" s="7">
        <v>407</v>
      </c>
      <c r="K512" s="7"/>
    </row>
    <row r="513" spans="1:11" x14ac:dyDescent="0.2">
      <c r="A513" s="7">
        <v>474</v>
      </c>
      <c r="B513" s="7">
        <v>28</v>
      </c>
      <c r="C513" s="1" t="str">
        <f t="shared" si="299"/>
        <v>PARCELA 28</v>
      </c>
      <c r="D513" s="7" t="s">
        <v>133</v>
      </c>
      <c r="E513" s="1" t="str">
        <f t="shared" si="300"/>
        <v>SAN ANDREAS</v>
      </c>
      <c r="F513" s="7">
        <v>1</v>
      </c>
      <c r="G513" s="7" t="s">
        <v>477</v>
      </c>
      <c r="H513" s="7" t="s">
        <v>149</v>
      </c>
      <c r="I513" s="7" t="s">
        <v>480</v>
      </c>
      <c r="J513" s="7">
        <v>474</v>
      </c>
      <c r="K513" s="7"/>
    </row>
    <row r="514" spans="1:11" x14ac:dyDescent="0.2">
      <c r="A514" s="7">
        <v>475</v>
      </c>
      <c r="B514" s="7">
        <v>28</v>
      </c>
      <c r="C514" s="1" t="str">
        <f t="shared" si="299"/>
        <v>PARCELA 28</v>
      </c>
      <c r="D514" s="7" t="s">
        <v>133</v>
      </c>
      <c r="E514" s="1" t="str">
        <f t="shared" si="300"/>
        <v>SAN ANDREAS</v>
      </c>
      <c r="F514" s="7">
        <v>1</v>
      </c>
      <c r="G514" s="7" t="s">
        <v>477</v>
      </c>
      <c r="H514" s="7" t="s">
        <v>485</v>
      </c>
      <c r="I514" s="10" t="s">
        <v>485</v>
      </c>
      <c r="J514" s="10">
        <v>475</v>
      </c>
      <c r="K514" s="7"/>
    </row>
    <row r="515" spans="1:11" x14ac:dyDescent="0.2">
      <c r="A515" s="7">
        <v>476</v>
      </c>
      <c r="B515" s="7">
        <v>28</v>
      </c>
      <c r="C515" s="1" t="str">
        <f t="shared" si="299"/>
        <v>PARCELA 28</v>
      </c>
      <c r="D515" s="7" t="s">
        <v>133</v>
      </c>
      <c r="E515" s="1" t="str">
        <f t="shared" si="300"/>
        <v>SAN ANDREAS</v>
      </c>
      <c r="F515" s="7">
        <v>2</v>
      </c>
      <c r="G515" s="7" t="s">
        <v>477</v>
      </c>
      <c r="H515" s="7" t="s">
        <v>149</v>
      </c>
      <c r="I515" s="7" t="s">
        <v>480</v>
      </c>
      <c r="J515" s="7">
        <v>476</v>
      </c>
      <c r="K515" s="7" t="s">
        <v>638</v>
      </c>
    </row>
    <row r="516" spans="1:11" x14ac:dyDescent="0.2">
      <c r="A516" s="7">
        <v>477</v>
      </c>
      <c r="B516" s="7">
        <v>28</v>
      </c>
      <c r="C516" s="1" t="str">
        <f t="shared" si="299"/>
        <v>PARCELA 28</v>
      </c>
      <c r="D516" s="7" t="s">
        <v>133</v>
      </c>
      <c r="E516" s="1" t="str">
        <f t="shared" si="300"/>
        <v>SAN ANDREAS</v>
      </c>
      <c r="F516" s="7">
        <v>2</v>
      </c>
      <c r="G516" s="7" t="s">
        <v>477</v>
      </c>
      <c r="H516" s="7" t="s">
        <v>149</v>
      </c>
      <c r="I516" s="7" t="s">
        <v>480</v>
      </c>
      <c r="J516" s="7">
        <v>477</v>
      </c>
      <c r="K516" s="23"/>
    </row>
    <row r="517" spans="1:11" x14ac:dyDescent="0.2">
      <c r="A517" s="7">
        <v>583</v>
      </c>
      <c r="B517" s="7">
        <v>28</v>
      </c>
      <c r="C517" s="1" t="str">
        <f t="shared" si="299"/>
        <v>PARCELA 28</v>
      </c>
      <c r="D517" s="7" t="s">
        <v>133</v>
      </c>
      <c r="E517" s="1" t="str">
        <f t="shared" si="300"/>
        <v>SAN ANDREAS</v>
      </c>
      <c r="F517" s="7">
        <v>2</v>
      </c>
      <c r="G517" s="7" t="s">
        <v>477</v>
      </c>
      <c r="H517" s="7" t="s">
        <v>473</v>
      </c>
      <c r="I517" s="26" t="s">
        <v>473</v>
      </c>
      <c r="J517" s="26">
        <v>583</v>
      </c>
      <c r="K517" s="7"/>
    </row>
    <row r="518" spans="1:11" x14ac:dyDescent="0.2">
      <c r="A518" s="7">
        <v>408</v>
      </c>
      <c r="B518" s="7">
        <v>29</v>
      </c>
      <c r="C518" s="1" t="str">
        <f t="shared" si="299"/>
        <v>VIVERO DE GUADALUPE</v>
      </c>
      <c r="D518" s="7" t="s">
        <v>133</v>
      </c>
      <c r="E518" s="1" t="str">
        <f t="shared" si="300"/>
        <v>MONTERREY</v>
      </c>
      <c r="F518" s="7">
        <v>1</v>
      </c>
      <c r="G518" s="7" t="s">
        <v>476</v>
      </c>
      <c r="H518" s="7" t="s">
        <v>149</v>
      </c>
      <c r="I518" s="7" t="s">
        <v>480</v>
      </c>
      <c r="J518" s="7">
        <v>408</v>
      </c>
      <c r="K518" s="7"/>
    </row>
    <row r="519" spans="1:11" x14ac:dyDescent="0.2">
      <c r="A519" s="7">
        <v>409</v>
      </c>
      <c r="B519" s="7">
        <v>29</v>
      </c>
      <c r="C519" s="1" t="str">
        <f t="shared" si="299"/>
        <v>VIVERO DE GUADALUPE</v>
      </c>
      <c r="D519" s="7" t="s">
        <v>133</v>
      </c>
      <c r="E519" s="1" t="str">
        <f t="shared" si="300"/>
        <v>MONTERREY</v>
      </c>
      <c r="F519" s="7">
        <v>1</v>
      </c>
      <c r="G519" s="7" t="s">
        <v>476</v>
      </c>
      <c r="H519" s="7" t="s">
        <v>155</v>
      </c>
      <c r="I519" s="7" t="s">
        <v>155</v>
      </c>
      <c r="J519" s="7">
        <v>409</v>
      </c>
      <c r="K519" s="25" t="s">
        <v>640</v>
      </c>
    </row>
    <row r="520" spans="1:11" x14ac:dyDescent="0.2">
      <c r="A520" s="7">
        <v>410</v>
      </c>
      <c r="B520" s="7">
        <v>29</v>
      </c>
      <c r="C520" s="1" t="str">
        <f t="shared" si="299"/>
        <v>VIVERO DE GUADALUPE</v>
      </c>
      <c r="D520" s="7" t="s">
        <v>133</v>
      </c>
      <c r="E520" s="1" t="str">
        <f t="shared" si="300"/>
        <v>MONTERREY</v>
      </c>
      <c r="F520" s="7">
        <v>2</v>
      </c>
      <c r="G520" s="7" t="s">
        <v>476</v>
      </c>
      <c r="H520" s="7" t="s">
        <v>155</v>
      </c>
      <c r="I520" s="7" t="s">
        <v>155</v>
      </c>
      <c r="J520" s="7">
        <v>410</v>
      </c>
      <c r="K520" s="23" t="s">
        <v>638</v>
      </c>
    </row>
    <row r="521" spans="1:11" x14ac:dyDescent="0.2">
      <c r="A521" s="7">
        <v>411</v>
      </c>
      <c r="B521" s="7">
        <v>29</v>
      </c>
      <c r="C521" s="1" t="str">
        <f t="shared" si="299"/>
        <v>VIVERO DE GUADALUPE</v>
      </c>
      <c r="D521" s="7" t="s">
        <v>133</v>
      </c>
      <c r="E521" s="1" t="str">
        <f t="shared" si="300"/>
        <v>MONTERREY</v>
      </c>
      <c r="F521" s="7">
        <v>2</v>
      </c>
      <c r="G521" s="7" t="s">
        <v>476</v>
      </c>
      <c r="H521" s="7" t="s">
        <v>155</v>
      </c>
      <c r="I521" s="7" t="s">
        <v>155</v>
      </c>
      <c r="J521" s="7">
        <v>411</v>
      </c>
      <c r="K521" s="7"/>
    </row>
    <row r="522" spans="1:11" x14ac:dyDescent="0.2">
      <c r="A522" s="7">
        <v>412</v>
      </c>
      <c r="B522" s="7">
        <v>29</v>
      </c>
      <c r="C522" s="1" t="str">
        <f t="shared" si="299"/>
        <v>VIVERO DE GUADALUPE</v>
      </c>
      <c r="D522" s="7" t="s">
        <v>133</v>
      </c>
      <c r="E522" s="1" t="str">
        <f t="shared" si="300"/>
        <v>MONTERREY</v>
      </c>
      <c r="F522" s="7">
        <v>2</v>
      </c>
      <c r="G522" s="7" t="s">
        <v>477</v>
      </c>
      <c r="H522" s="7" t="s">
        <v>155</v>
      </c>
      <c r="I522" s="7" t="s">
        <v>155</v>
      </c>
      <c r="J522" s="7">
        <v>412</v>
      </c>
      <c r="K522" s="7"/>
    </row>
    <row r="523" spans="1:11" x14ac:dyDescent="0.2">
      <c r="A523" s="7">
        <v>413</v>
      </c>
      <c r="B523" s="7">
        <v>29</v>
      </c>
      <c r="C523" s="1" t="str">
        <f t="shared" si="299"/>
        <v>VIVERO DE GUADALUPE</v>
      </c>
      <c r="D523" s="7" t="s">
        <v>133</v>
      </c>
      <c r="E523" s="1" t="str">
        <f t="shared" si="300"/>
        <v>MONTERREY</v>
      </c>
      <c r="F523" s="7">
        <v>2</v>
      </c>
      <c r="G523" s="7" t="s">
        <v>477</v>
      </c>
      <c r="H523" s="7" t="s">
        <v>155</v>
      </c>
      <c r="I523" s="7" t="s">
        <v>155</v>
      </c>
      <c r="J523" s="7">
        <v>413</v>
      </c>
      <c r="K523" s="7"/>
    </row>
    <row r="524" spans="1:11" x14ac:dyDescent="0.2">
      <c r="A524" s="7">
        <v>414</v>
      </c>
      <c r="B524" s="7">
        <v>29</v>
      </c>
      <c r="C524" s="1" t="str">
        <f t="shared" si="299"/>
        <v>VIVERO DE GUADALUPE</v>
      </c>
      <c r="D524" s="7" t="s">
        <v>133</v>
      </c>
      <c r="E524" s="1" t="str">
        <f t="shared" si="300"/>
        <v>MONTERREY</v>
      </c>
      <c r="F524" s="7">
        <v>2</v>
      </c>
      <c r="G524" s="7" t="s">
        <v>477</v>
      </c>
      <c r="H524" s="7" t="s">
        <v>149</v>
      </c>
      <c r="I524" s="7" t="s">
        <v>480</v>
      </c>
      <c r="J524" s="7">
        <v>414</v>
      </c>
      <c r="K524" s="23" t="s">
        <v>638</v>
      </c>
    </row>
    <row r="525" spans="1:11" x14ac:dyDescent="0.2">
      <c r="A525" s="7">
        <v>478</v>
      </c>
      <c r="B525" s="7">
        <v>29</v>
      </c>
      <c r="C525" s="1" t="str">
        <f t="shared" si="299"/>
        <v>VIVERO DE GUADALUPE</v>
      </c>
      <c r="D525" s="7" t="s">
        <v>133</v>
      </c>
      <c r="E525" s="1" t="str">
        <f t="shared" si="300"/>
        <v>MONTERREY</v>
      </c>
      <c r="F525" s="7">
        <v>1</v>
      </c>
      <c r="G525" s="7" t="s">
        <v>477</v>
      </c>
      <c r="H525" s="7" t="s">
        <v>149</v>
      </c>
      <c r="I525" s="7" t="s">
        <v>478</v>
      </c>
      <c r="J525" s="7">
        <v>478</v>
      </c>
      <c r="K525" s="7"/>
    </row>
    <row r="526" spans="1:11" x14ac:dyDescent="0.2">
      <c r="A526" s="7">
        <v>479</v>
      </c>
      <c r="B526" s="7">
        <v>29</v>
      </c>
      <c r="C526" s="1" t="str">
        <f t="shared" si="299"/>
        <v>VIVERO DE GUADALUPE</v>
      </c>
      <c r="D526" s="7" t="s">
        <v>133</v>
      </c>
      <c r="E526" s="1" t="str">
        <f t="shared" si="300"/>
        <v>MONTERREY</v>
      </c>
      <c r="F526" s="7">
        <v>1</v>
      </c>
      <c r="G526" s="7" t="s">
        <v>477</v>
      </c>
      <c r="H526" s="7" t="s">
        <v>149</v>
      </c>
      <c r="I526" s="7" t="s">
        <v>478</v>
      </c>
      <c r="J526" s="7">
        <v>479</v>
      </c>
      <c r="K526" s="7"/>
    </row>
    <row r="527" spans="1:11" x14ac:dyDescent="0.2">
      <c r="A527" s="7">
        <v>480</v>
      </c>
      <c r="B527" s="7">
        <v>29</v>
      </c>
      <c r="C527" s="1" t="str">
        <f t="shared" si="299"/>
        <v>VIVERO DE GUADALUPE</v>
      </c>
      <c r="D527" s="7" t="s">
        <v>133</v>
      </c>
      <c r="E527" s="1" t="str">
        <f t="shared" si="300"/>
        <v>MONTERREY</v>
      </c>
      <c r="F527" s="7">
        <v>2</v>
      </c>
      <c r="G527" s="7" t="s">
        <v>477</v>
      </c>
      <c r="H527" s="7" t="s">
        <v>149</v>
      </c>
      <c r="I527" s="7" t="s">
        <v>478</v>
      </c>
      <c r="J527" s="7">
        <v>480</v>
      </c>
      <c r="K527" s="23"/>
    </row>
    <row r="528" spans="1:11" x14ac:dyDescent="0.2">
      <c r="A528" s="7">
        <v>481</v>
      </c>
      <c r="B528" s="7">
        <v>29</v>
      </c>
      <c r="C528" s="1" t="str">
        <f t="shared" si="299"/>
        <v>VIVERO DE GUADALUPE</v>
      </c>
      <c r="D528" s="7" t="s">
        <v>133</v>
      </c>
      <c r="E528" s="1" t="str">
        <f t="shared" si="300"/>
        <v>MONTERREY</v>
      </c>
      <c r="F528" s="7">
        <v>2</v>
      </c>
      <c r="G528" s="7" t="s">
        <v>477</v>
      </c>
      <c r="H528" s="7" t="s">
        <v>149</v>
      </c>
      <c r="I528" s="7" t="s">
        <v>478</v>
      </c>
      <c r="J528" s="7">
        <v>481</v>
      </c>
      <c r="K528" s="7"/>
    </row>
    <row r="529" spans="1:11" x14ac:dyDescent="0.2">
      <c r="A529" s="7">
        <v>415</v>
      </c>
      <c r="B529" s="7">
        <v>30</v>
      </c>
      <c r="C529" s="1" t="str">
        <f t="shared" si="299"/>
        <v>FRANCISCO GARCIA RIVERA</v>
      </c>
      <c r="D529" s="7" t="s">
        <v>133</v>
      </c>
      <c r="E529" s="1" t="s">
        <v>126</v>
      </c>
      <c r="F529" s="7">
        <v>1</v>
      </c>
      <c r="G529" s="7" t="s">
        <v>476</v>
      </c>
      <c r="H529" s="7" t="s">
        <v>149</v>
      </c>
      <c r="I529" s="7" t="s">
        <v>480</v>
      </c>
      <c r="J529" s="7">
        <v>415</v>
      </c>
      <c r="K529" s="23" t="s">
        <v>638</v>
      </c>
    </row>
    <row r="530" spans="1:11" x14ac:dyDescent="0.2">
      <c r="A530" s="7">
        <v>416</v>
      </c>
      <c r="B530" s="7">
        <v>30</v>
      </c>
      <c r="C530" s="1" t="str">
        <f t="shared" si="299"/>
        <v>FRANCISCO GARCIA RIVERA</v>
      </c>
      <c r="D530" s="7" t="s">
        <v>133</v>
      </c>
      <c r="E530" s="1" t="s">
        <v>126</v>
      </c>
      <c r="F530" s="7">
        <v>1</v>
      </c>
      <c r="G530" s="7" t="s">
        <v>476</v>
      </c>
      <c r="H530" s="7" t="s">
        <v>155</v>
      </c>
      <c r="I530" s="7" t="s">
        <v>155</v>
      </c>
      <c r="J530" s="7">
        <v>416</v>
      </c>
      <c r="K530" s="25" t="s">
        <v>640</v>
      </c>
    </row>
    <row r="531" spans="1:11" x14ac:dyDescent="0.2">
      <c r="A531" s="7">
        <v>417</v>
      </c>
      <c r="B531" s="7">
        <v>30</v>
      </c>
      <c r="C531" s="1" t="str">
        <f t="shared" si="299"/>
        <v>FRANCISCO GARCIA RIVERA</v>
      </c>
      <c r="D531" s="7" t="s">
        <v>133</v>
      </c>
      <c r="E531" s="1" t="s">
        <v>126</v>
      </c>
      <c r="F531" s="7">
        <v>2</v>
      </c>
      <c r="G531" s="7" t="s">
        <v>476</v>
      </c>
      <c r="H531" s="7" t="s">
        <v>155</v>
      </c>
      <c r="I531" s="7" t="s">
        <v>155</v>
      </c>
      <c r="J531" s="7">
        <v>417</v>
      </c>
      <c r="K531" s="7"/>
    </row>
    <row r="532" spans="1:11" x14ac:dyDescent="0.2">
      <c r="A532" s="7">
        <v>418</v>
      </c>
      <c r="B532" s="7">
        <v>30</v>
      </c>
      <c r="C532" s="1" t="str">
        <f t="shared" si="299"/>
        <v>FRANCISCO GARCIA RIVERA</v>
      </c>
      <c r="D532" s="7" t="s">
        <v>133</v>
      </c>
      <c r="E532" s="1" t="s">
        <v>126</v>
      </c>
      <c r="F532" s="7">
        <v>2</v>
      </c>
      <c r="G532" s="7" t="s">
        <v>476</v>
      </c>
      <c r="H532" s="7" t="s">
        <v>155</v>
      </c>
      <c r="I532" s="7" t="s">
        <v>155</v>
      </c>
      <c r="J532" s="7">
        <v>418</v>
      </c>
      <c r="K532" s="23" t="s">
        <v>638</v>
      </c>
    </row>
    <row r="533" spans="1:11" x14ac:dyDescent="0.2">
      <c r="A533" s="7">
        <v>419</v>
      </c>
      <c r="B533" s="7">
        <v>30</v>
      </c>
      <c r="C533" s="1" t="str">
        <f t="shared" si="299"/>
        <v>FRANCISCO GARCIA RIVERA</v>
      </c>
      <c r="D533" s="7" t="s">
        <v>133</v>
      </c>
      <c r="E533" s="1" t="s">
        <v>126</v>
      </c>
      <c r="F533" s="7">
        <v>2</v>
      </c>
      <c r="G533" s="7" t="s">
        <v>476</v>
      </c>
      <c r="H533" s="7" t="s">
        <v>155</v>
      </c>
      <c r="I533" s="7" t="s">
        <v>155</v>
      </c>
      <c r="J533" s="7">
        <v>419</v>
      </c>
      <c r="K533" s="7"/>
    </row>
    <row r="534" spans="1:11" x14ac:dyDescent="0.2">
      <c r="A534" s="7">
        <v>420</v>
      </c>
      <c r="B534" s="7">
        <v>30</v>
      </c>
      <c r="C534" s="1" t="str">
        <f t="shared" si="299"/>
        <v>FRANCISCO GARCIA RIVERA</v>
      </c>
      <c r="D534" s="7" t="s">
        <v>133</v>
      </c>
      <c r="E534" s="1" t="s">
        <v>126</v>
      </c>
      <c r="F534" s="7">
        <v>1</v>
      </c>
      <c r="G534" s="7" t="s">
        <v>477</v>
      </c>
      <c r="H534" s="7" t="s">
        <v>155</v>
      </c>
      <c r="I534" s="7" t="s">
        <v>155</v>
      </c>
      <c r="J534" s="7">
        <v>420</v>
      </c>
      <c r="K534" s="7"/>
    </row>
    <row r="535" spans="1:11" x14ac:dyDescent="0.2">
      <c r="A535" s="7">
        <v>482</v>
      </c>
      <c r="B535" s="7">
        <v>30</v>
      </c>
      <c r="C535" s="1" t="str">
        <f t="shared" si="299"/>
        <v>FRANCISCO GARCIA RIVERA</v>
      </c>
      <c r="D535" s="7" t="s">
        <v>133</v>
      </c>
      <c r="E535" s="1" t="s">
        <v>126</v>
      </c>
      <c r="F535" s="7">
        <v>1</v>
      </c>
      <c r="G535" s="7" t="s">
        <v>477</v>
      </c>
      <c r="H535" s="7" t="s">
        <v>149</v>
      </c>
      <c r="I535" s="7" t="s">
        <v>478</v>
      </c>
      <c r="J535" s="7">
        <v>482</v>
      </c>
      <c r="K535" s="7"/>
    </row>
    <row r="536" spans="1:11" x14ac:dyDescent="0.2">
      <c r="A536" s="7">
        <v>483</v>
      </c>
      <c r="B536" s="7">
        <v>30</v>
      </c>
      <c r="C536" s="1" t="str">
        <f t="shared" si="299"/>
        <v>FRANCISCO GARCIA RIVERA</v>
      </c>
      <c r="D536" s="7" t="s">
        <v>133</v>
      </c>
      <c r="E536" s="1" t="s">
        <v>126</v>
      </c>
      <c r="F536" s="7">
        <v>1</v>
      </c>
      <c r="G536" s="7" t="s">
        <v>477</v>
      </c>
      <c r="H536" s="7" t="s">
        <v>149</v>
      </c>
      <c r="I536" s="7" t="s">
        <v>478</v>
      </c>
      <c r="J536" s="7">
        <v>483</v>
      </c>
      <c r="K536" s="23"/>
    </row>
    <row r="537" spans="1:11" x14ac:dyDescent="0.2">
      <c r="A537" s="7">
        <v>484</v>
      </c>
      <c r="B537" s="7">
        <v>30</v>
      </c>
      <c r="C537" s="1" t="str">
        <f t="shared" si="299"/>
        <v>FRANCISCO GARCIA RIVERA</v>
      </c>
      <c r="D537" s="7" t="s">
        <v>133</v>
      </c>
      <c r="E537" s="1" t="s">
        <v>126</v>
      </c>
      <c r="F537" s="7">
        <v>2</v>
      </c>
      <c r="G537" s="7" t="s">
        <v>477</v>
      </c>
      <c r="H537" s="7" t="s">
        <v>149</v>
      </c>
      <c r="I537" s="7" t="s">
        <v>480</v>
      </c>
      <c r="J537" s="7">
        <v>484</v>
      </c>
      <c r="K537" s="23"/>
    </row>
    <row r="538" spans="1:11" x14ac:dyDescent="0.2">
      <c r="A538" s="7">
        <v>485</v>
      </c>
      <c r="B538" s="7">
        <v>30</v>
      </c>
      <c r="C538" s="1" t="str">
        <f t="shared" si="299"/>
        <v>FRANCISCO GARCIA RIVERA</v>
      </c>
      <c r="D538" s="7" t="s">
        <v>133</v>
      </c>
      <c r="E538" s="1" t="s">
        <v>126</v>
      </c>
      <c r="F538" s="13">
        <v>2</v>
      </c>
      <c r="G538" s="13" t="s">
        <v>477</v>
      </c>
      <c r="H538" s="7" t="s">
        <v>149</v>
      </c>
      <c r="I538" s="13" t="s">
        <v>478</v>
      </c>
      <c r="J538" s="13">
        <v>485</v>
      </c>
      <c r="K538" s="7"/>
    </row>
    <row r="539" spans="1:11" x14ac:dyDescent="0.2">
      <c r="A539" s="7">
        <v>421</v>
      </c>
      <c r="B539" s="7">
        <v>31</v>
      </c>
      <c r="C539" s="1" t="str">
        <f t="shared" si="299"/>
        <v>J REYES HERNANDEZ ZAVALA</v>
      </c>
      <c r="D539" s="7" t="s">
        <v>133</v>
      </c>
      <c r="E539" s="1" t="s">
        <v>126</v>
      </c>
      <c r="F539" s="13">
        <v>1</v>
      </c>
      <c r="G539" s="13" t="s">
        <v>476</v>
      </c>
      <c r="H539" s="13" t="s">
        <v>155</v>
      </c>
      <c r="I539" s="13" t="s">
        <v>155</v>
      </c>
      <c r="J539" s="13">
        <v>421</v>
      </c>
      <c r="K539" s="25" t="s">
        <v>640</v>
      </c>
    </row>
    <row r="540" spans="1:11" x14ac:dyDescent="0.2">
      <c r="A540" s="7">
        <v>422</v>
      </c>
      <c r="B540" s="7">
        <v>31</v>
      </c>
      <c r="C540" s="1" t="str">
        <f t="shared" si="299"/>
        <v>J REYES HERNANDEZ ZAVALA</v>
      </c>
      <c r="D540" s="7" t="s">
        <v>133</v>
      </c>
      <c r="E540" s="1" t="s">
        <v>126</v>
      </c>
      <c r="F540" s="13">
        <v>1</v>
      </c>
      <c r="G540" s="13" t="s">
        <v>476</v>
      </c>
      <c r="H540" s="7" t="s">
        <v>485</v>
      </c>
      <c r="I540" s="14" t="s">
        <v>485</v>
      </c>
      <c r="J540" s="14">
        <v>422</v>
      </c>
      <c r="K540" s="7"/>
    </row>
    <row r="541" spans="1:11" x14ac:dyDescent="0.2">
      <c r="A541" s="7">
        <v>423</v>
      </c>
      <c r="B541" s="7">
        <v>31</v>
      </c>
      <c r="C541" s="1" t="str">
        <f t="shared" si="299"/>
        <v>J REYES HERNANDEZ ZAVALA</v>
      </c>
      <c r="D541" s="7" t="s">
        <v>133</v>
      </c>
      <c r="E541" s="1" t="s">
        <v>126</v>
      </c>
      <c r="F541" s="13">
        <v>2</v>
      </c>
      <c r="G541" s="13" t="s">
        <v>476</v>
      </c>
      <c r="H541" s="7" t="s">
        <v>155</v>
      </c>
      <c r="I541" s="13" t="s">
        <v>155</v>
      </c>
      <c r="J541" s="13">
        <v>423</v>
      </c>
      <c r="K541" s="23" t="s">
        <v>638</v>
      </c>
    </row>
    <row r="542" spans="1:11" x14ac:dyDescent="0.2">
      <c r="A542" s="7">
        <v>424</v>
      </c>
      <c r="B542" s="7">
        <v>31</v>
      </c>
      <c r="C542" s="1" t="str">
        <f t="shared" si="299"/>
        <v>J REYES HERNANDEZ ZAVALA</v>
      </c>
      <c r="D542" s="7" t="s">
        <v>133</v>
      </c>
      <c r="E542" s="1" t="s">
        <v>126</v>
      </c>
      <c r="F542" s="13">
        <v>2</v>
      </c>
      <c r="G542" s="13" t="s">
        <v>476</v>
      </c>
      <c r="H542" s="7" t="s">
        <v>155</v>
      </c>
      <c r="I542" s="13" t="s">
        <v>155</v>
      </c>
      <c r="J542" s="13">
        <v>424</v>
      </c>
      <c r="K542" s="7"/>
    </row>
    <row r="543" spans="1:11" x14ac:dyDescent="0.2">
      <c r="A543" s="7">
        <v>425</v>
      </c>
      <c r="B543" s="7">
        <v>31</v>
      </c>
      <c r="C543" s="1" t="str">
        <f t="shared" si="299"/>
        <v>J REYES HERNANDEZ ZAVALA</v>
      </c>
      <c r="D543" s="7" t="s">
        <v>133</v>
      </c>
      <c r="E543" s="1" t="s">
        <v>126</v>
      </c>
      <c r="F543" s="13">
        <v>1</v>
      </c>
      <c r="G543" s="13" t="s">
        <v>477</v>
      </c>
      <c r="H543" s="13" t="s">
        <v>485</v>
      </c>
      <c r="I543" s="14" t="s">
        <v>485</v>
      </c>
      <c r="J543" s="14">
        <v>425</v>
      </c>
      <c r="K543" s="7"/>
    </row>
    <row r="544" spans="1:11" x14ac:dyDescent="0.2">
      <c r="A544" s="7">
        <v>426</v>
      </c>
      <c r="B544" s="7">
        <v>31</v>
      </c>
      <c r="C544" s="1" t="str">
        <f t="shared" si="299"/>
        <v>J REYES HERNANDEZ ZAVALA</v>
      </c>
      <c r="D544" s="7" t="s">
        <v>133</v>
      </c>
      <c r="E544" s="1" t="s">
        <v>126</v>
      </c>
      <c r="F544" s="13">
        <v>1</v>
      </c>
      <c r="G544" s="13" t="s">
        <v>477</v>
      </c>
      <c r="H544" s="13" t="s">
        <v>155</v>
      </c>
      <c r="I544" s="13" t="s">
        <v>155</v>
      </c>
      <c r="J544" s="13">
        <v>426</v>
      </c>
      <c r="K544" s="7"/>
    </row>
    <row r="545" spans="1:11" x14ac:dyDescent="0.2">
      <c r="A545" s="7">
        <v>427</v>
      </c>
      <c r="B545" s="7">
        <v>31</v>
      </c>
      <c r="C545" s="1" t="str">
        <f t="shared" si="299"/>
        <v>J REYES HERNANDEZ ZAVALA</v>
      </c>
      <c r="D545" s="7" t="s">
        <v>133</v>
      </c>
      <c r="E545" s="1" t="s">
        <v>126</v>
      </c>
      <c r="F545" s="13">
        <v>1</v>
      </c>
      <c r="G545" s="13" t="s">
        <v>477</v>
      </c>
      <c r="H545" s="7" t="s">
        <v>149</v>
      </c>
      <c r="I545" s="13" t="s">
        <v>480</v>
      </c>
      <c r="J545" s="13">
        <v>427</v>
      </c>
      <c r="K545" s="23" t="s">
        <v>638</v>
      </c>
    </row>
    <row r="546" spans="1:11" x14ac:dyDescent="0.2">
      <c r="A546" s="7">
        <v>428</v>
      </c>
      <c r="B546" s="7">
        <v>31</v>
      </c>
      <c r="C546" s="1" t="str">
        <f t="shared" si="299"/>
        <v>J REYES HERNANDEZ ZAVALA</v>
      </c>
      <c r="D546" s="7" t="s">
        <v>133</v>
      </c>
      <c r="E546" s="1" t="s">
        <v>126</v>
      </c>
      <c r="F546" s="13">
        <v>2</v>
      </c>
      <c r="G546" s="13" t="s">
        <v>477</v>
      </c>
      <c r="H546" s="7" t="s">
        <v>155</v>
      </c>
      <c r="I546" s="13" t="s">
        <v>155</v>
      </c>
      <c r="J546" s="13">
        <v>428</v>
      </c>
      <c r="K546" s="7"/>
    </row>
    <row r="547" spans="1:11" x14ac:dyDescent="0.2">
      <c r="A547" s="7">
        <v>429</v>
      </c>
      <c r="B547" s="7">
        <v>31</v>
      </c>
      <c r="C547" s="1" t="str">
        <f t="shared" si="299"/>
        <v>J REYES HERNANDEZ ZAVALA</v>
      </c>
      <c r="D547" s="7" t="s">
        <v>133</v>
      </c>
      <c r="E547" s="1" t="s">
        <v>126</v>
      </c>
      <c r="F547" s="13">
        <v>2</v>
      </c>
      <c r="G547" s="13" t="s">
        <v>477</v>
      </c>
      <c r="H547" s="7" t="s">
        <v>155</v>
      </c>
      <c r="I547" s="13" t="s">
        <v>155</v>
      </c>
      <c r="J547" s="13">
        <v>429</v>
      </c>
      <c r="K547" s="7"/>
    </row>
    <row r="548" spans="1:11" x14ac:dyDescent="0.2">
      <c r="A548" s="7">
        <v>486</v>
      </c>
      <c r="B548" s="7">
        <v>31</v>
      </c>
      <c r="C548" s="1" t="str">
        <f t="shared" si="299"/>
        <v>J REYES HERNANDEZ ZAVALA</v>
      </c>
      <c r="D548" s="7" t="s">
        <v>133</v>
      </c>
      <c r="E548" s="1" t="s">
        <v>126</v>
      </c>
      <c r="F548" s="13">
        <v>1</v>
      </c>
      <c r="G548" s="13" t="s">
        <v>477</v>
      </c>
      <c r="H548" s="7" t="s">
        <v>149</v>
      </c>
      <c r="I548" s="13" t="s">
        <v>478</v>
      </c>
      <c r="J548" s="13">
        <v>486</v>
      </c>
      <c r="K548" s="7" t="s">
        <v>638</v>
      </c>
    </row>
    <row r="549" spans="1:11" x14ac:dyDescent="0.2">
      <c r="A549" s="7">
        <v>487</v>
      </c>
      <c r="B549" s="7">
        <v>31</v>
      </c>
      <c r="C549" s="1" t="str">
        <f t="shared" si="299"/>
        <v>J REYES HERNANDEZ ZAVALA</v>
      </c>
      <c r="D549" s="7" t="s">
        <v>133</v>
      </c>
      <c r="E549" s="1" t="s">
        <v>126</v>
      </c>
      <c r="F549" s="13">
        <v>1</v>
      </c>
      <c r="G549" s="13" t="s">
        <v>477</v>
      </c>
      <c r="H549" s="7" t="s">
        <v>149</v>
      </c>
      <c r="I549" s="13" t="s">
        <v>480</v>
      </c>
      <c r="J549" s="13">
        <v>487</v>
      </c>
      <c r="K549" s="7"/>
    </row>
    <row r="550" spans="1:11" x14ac:dyDescent="0.2">
      <c r="A550" s="7">
        <v>488</v>
      </c>
      <c r="B550" s="7">
        <v>31</v>
      </c>
      <c r="C550" s="1" t="str">
        <f t="shared" si="299"/>
        <v>J REYES HERNANDEZ ZAVALA</v>
      </c>
      <c r="D550" s="7" t="s">
        <v>133</v>
      </c>
      <c r="E550" s="1" t="s">
        <v>126</v>
      </c>
      <c r="F550" s="13">
        <v>2</v>
      </c>
      <c r="G550" s="13" t="s">
        <v>477</v>
      </c>
      <c r="H550" s="7" t="s">
        <v>149</v>
      </c>
      <c r="I550" s="13" t="s">
        <v>478</v>
      </c>
      <c r="J550" s="13">
        <v>488</v>
      </c>
      <c r="K550" s="23" t="s">
        <v>638</v>
      </c>
    </row>
    <row r="551" spans="1:11" x14ac:dyDescent="0.2">
      <c r="A551" s="7">
        <v>489</v>
      </c>
      <c r="B551" s="7">
        <v>31</v>
      </c>
      <c r="C551" s="1" t="str">
        <f t="shared" si="299"/>
        <v>J REYES HERNANDEZ ZAVALA</v>
      </c>
      <c r="D551" s="7" t="s">
        <v>133</v>
      </c>
      <c r="E551" s="1" t="s">
        <v>126</v>
      </c>
      <c r="F551" s="13">
        <v>2</v>
      </c>
      <c r="G551" s="13" t="s">
        <v>477</v>
      </c>
      <c r="H551" s="7" t="s">
        <v>473</v>
      </c>
      <c r="I551" s="27" t="s">
        <v>473</v>
      </c>
      <c r="J551" s="27">
        <v>489</v>
      </c>
      <c r="K551" s="7"/>
    </row>
    <row r="552" spans="1:11" x14ac:dyDescent="0.2">
      <c r="A552" s="7">
        <v>430</v>
      </c>
      <c r="B552" s="7">
        <v>32</v>
      </c>
      <c r="C552" s="1" t="str">
        <f t="shared" si="299"/>
        <v>VIVERO PLANTA MADRE</v>
      </c>
      <c r="D552" s="7" t="s">
        <v>133</v>
      </c>
      <c r="E552" s="1" t="str">
        <f t="shared" ref="E552:E563" si="301">IF(B552=20,"NO DOCUMENTADO",IF(B552=21.1,"CAMINO",IF(B552=21.2,"VICTOR",IF(B552=22,"VERONICA",IF(B552=23,"SANTA MARIA",IF(B552=24,"FORTUNA",IF(B552=25,"CAMINO REAL",IF(B552=26,"ALBION",IF(B552=27,"CAMINO REAL",IF(B552=28,"SAN ANDREAS",IF(B552=29,"MONTERREY",IF(B552=30,"CAMINO REAL",IF(B552=31,"CAMINO REAL",IF(B552=32,"CABRILLO",IF(B552=33,"CAMINO REAL",IF(B552=34,"CAMINO REAL",IF(B552=35.1,"CAMINO",IF(B552=35.2,"FRONTERA",IF(B552=36.1,"SANTA MARIA",IF(B552=36.2,"NIÑA",IF(B552=36.3,"CODIGO",IF(B552=37.1,"VICTOR",IF(B552=37.2,"CODIGO 1",IF(B552=37.3,"CODIGO 2",IF(B552=38.1,"SAYULA",IF(B552=38.2,"FRONTERA",IF(B552=38.3,"VICTOR",IF(B552=39,"CODIGO",IF(B552=40.1,"CAMINO")))))))))))))))))))))))))))))</f>
        <v>CABRILLO</v>
      </c>
      <c r="F552" s="13">
        <v>1</v>
      </c>
      <c r="G552" s="13" t="s">
        <v>476</v>
      </c>
      <c r="H552" s="7" t="s">
        <v>155</v>
      </c>
      <c r="I552" s="13" t="s">
        <v>155</v>
      </c>
      <c r="J552" s="13">
        <v>430</v>
      </c>
      <c r="K552" s="25" t="s">
        <v>640</v>
      </c>
    </row>
    <row r="553" spans="1:11" x14ac:dyDescent="0.2">
      <c r="A553" s="7">
        <v>431</v>
      </c>
      <c r="B553" s="7">
        <v>32</v>
      </c>
      <c r="C553" s="1" t="str">
        <f t="shared" si="299"/>
        <v>VIVERO PLANTA MADRE</v>
      </c>
      <c r="D553" s="7" t="s">
        <v>133</v>
      </c>
      <c r="E553" s="1" t="str">
        <f t="shared" si="301"/>
        <v>CABRILLO</v>
      </c>
      <c r="F553" s="13">
        <v>1</v>
      </c>
      <c r="G553" s="13" t="s">
        <v>476</v>
      </c>
      <c r="H553" s="13" t="s">
        <v>155</v>
      </c>
      <c r="I553" s="13" t="s">
        <v>155</v>
      </c>
      <c r="J553" s="13">
        <v>431</v>
      </c>
      <c r="K553" s="23" t="s">
        <v>638</v>
      </c>
    </row>
    <row r="554" spans="1:11" x14ac:dyDescent="0.2">
      <c r="A554" s="7">
        <v>432</v>
      </c>
      <c r="B554" s="7">
        <v>32</v>
      </c>
      <c r="C554" s="1" t="str">
        <f t="shared" ref="C554:C617" si="302">IF(B554=19,"HUGO NAVARRO 2",IF(B554=20,"HUGO NAVARRO 3",IF(B554=21.1,"LA ESTANCIA 1",IF(B554=21.2,"LA ESTANCIA 2",IF(B554=22,"DRISCOLLS",IF(B554=23,"GERARDO ALFARO 1",IF(B554=24,"GERARDO ALFARO 2",IF(B554=25,"JAVIER ZAVALA",IF(B554=26,"PARCELA 26",IF(B554=27,"PARCELA 27",IF(B554=28,"PARCELA 28",IF(B554=29,"VIVERO DE GUADALUPE",IF(B554=30,"FRANCISCO GARCIA RIVERA",IF(B554=31,"J REYES HERNANDEZ ZAVALA",IF(B554=32,"VIVERO PLANTA MADRE",IF(B554=33,"ALBERTO HAZA",IF(B554=34,"PARCELA 34",IF(B554=35.1,"EL MIRADOR 1",IF(B554=35.2,"EL MIRADOR 2",IF(B554=36.1,"CHELIS FARM 1",IF(B554=36.2,"CHELIS FARM 2",IF(B554=36.3,"CHELIS FARM 3",IF(B554=37.1,"EL AEROPUERTO 1",IF(B554=37.2,"EL AEROPUERTO 2",IF(B554=37.3,"EL AEROPUERTO 3",IF(B554=38.1,"PITUFO 1",IF(B554=38.2,"PITUFO 3",IF(B554=38.3,"PITUFO 2",IF(B554=39,"EL CUISILLO",IF(B554=40.1,"RANCHO AVENTURA 1"))))))))))))))))))))))))))))))</f>
        <v>VIVERO PLANTA MADRE</v>
      </c>
      <c r="D554" s="7" t="s">
        <v>133</v>
      </c>
      <c r="E554" s="1" t="str">
        <f t="shared" si="301"/>
        <v>CABRILLO</v>
      </c>
      <c r="F554" s="13">
        <v>2</v>
      </c>
      <c r="G554" s="13" t="s">
        <v>476</v>
      </c>
      <c r="H554" s="7" t="s">
        <v>155</v>
      </c>
      <c r="I554" s="13" t="s">
        <v>155</v>
      </c>
      <c r="J554" s="13">
        <v>432</v>
      </c>
      <c r="K554" s="7"/>
    </row>
    <row r="555" spans="1:11" x14ac:dyDescent="0.2">
      <c r="A555" s="7">
        <v>433</v>
      </c>
      <c r="B555" s="7">
        <v>32</v>
      </c>
      <c r="C555" s="1" t="str">
        <f t="shared" si="302"/>
        <v>VIVERO PLANTA MADRE</v>
      </c>
      <c r="D555" s="7" t="s">
        <v>133</v>
      </c>
      <c r="E555" s="1" t="str">
        <f t="shared" si="301"/>
        <v>CABRILLO</v>
      </c>
      <c r="F555" s="13">
        <v>2</v>
      </c>
      <c r="G555" s="13" t="s">
        <v>476</v>
      </c>
      <c r="H555" s="7" t="s">
        <v>155</v>
      </c>
      <c r="I555" s="13" t="s">
        <v>155</v>
      </c>
      <c r="J555" s="13">
        <v>433</v>
      </c>
      <c r="K555" s="7"/>
    </row>
    <row r="556" spans="1:11" x14ac:dyDescent="0.2">
      <c r="A556" s="7">
        <v>434</v>
      </c>
      <c r="B556" s="7">
        <v>32</v>
      </c>
      <c r="C556" s="1" t="str">
        <f t="shared" si="302"/>
        <v>VIVERO PLANTA MADRE</v>
      </c>
      <c r="D556" s="7" t="s">
        <v>133</v>
      </c>
      <c r="E556" s="1" t="str">
        <f t="shared" si="301"/>
        <v>CABRILLO</v>
      </c>
      <c r="F556" s="13">
        <v>1</v>
      </c>
      <c r="G556" s="13" t="s">
        <v>477</v>
      </c>
      <c r="H556" s="7" t="s">
        <v>475</v>
      </c>
      <c r="I556" s="15" t="s">
        <v>475</v>
      </c>
      <c r="J556" s="15">
        <v>434</v>
      </c>
      <c r="K556" s="7"/>
    </row>
    <row r="557" spans="1:11" x14ac:dyDescent="0.2">
      <c r="A557" s="7">
        <v>435</v>
      </c>
      <c r="B557" s="7">
        <v>32</v>
      </c>
      <c r="C557" s="1" t="str">
        <f t="shared" si="302"/>
        <v>VIVERO PLANTA MADRE</v>
      </c>
      <c r="D557" s="7" t="s">
        <v>133</v>
      </c>
      <c r="E557" s="1" t="str">
        <f t="shared" si="301"/>
        <v>CABRILLO</v>
      </c>
      <c r="F557" s="13">
        <v>1</v>
      </c>
      <c r="G557" s="13" t="s">
        <v>477</v>
      </c>
      <c r="H557" s="13" t="s">
        <v>155</v>
      </c>
      <c r="I557" s="13" t="s">
        <v>155</v>
      </c>
      <c r="J557" s="13">
        <v>435</v>
      </c>
      <c r="K557" s="7"/>
    </row>
    <row r="558" spans="1:11" x14ac:dyDescent="0.2">
      <c r="A558" s="7">
        <v>436</v>
      </c>
      <c r="B558" s="7">
        <v>32</v>
      </c>
      <c r="C558" s="1" t="str">
        <f t="shared" si="302"/>
        <v>VIVERO PLANTA MADRE</v>
      </c>
      <c r="D558" s="7" t="s">
        <v>133</v>
      </c>
      <c r="E558" s="1" t="str">
        <f t="shared" si="301"/>
        <v>CABRILLO</v>
      </c>
      <c r="F558" s="13">
        <v>1</v>
      </c>
      <c r="G558" s="13" t="s">
        <v>477</v>
      </c>
      <c r="H558" s="7" t="s">
        <v>228</v>
      </c>
      <c r="I558" s="15" t="s">
        <v>487</v>
      </c>
      <c r="J558" s="15">
        <v>436</v>
      </c>
      <c r="K558" s="7"/>
    </row>
    <row r="559" spans="1:11" x14ac:dyDescent="0.2">
      <c r="A559" s="7">
        <v>437</v>
      </c>
      <c r="B559" s="7">
        <v>32</v>
      </c>
      <c r="C559" s="1" t="str">
        <f t="shared" si="302"/>
        <v>VIVERO PLANTA MADRE</v>
      </c>
      <c r="D559" s="7" t="s">
        <v>133</v>
      </c>
      <c r="E559" s="1" t="str">
        <f t="shared" si="301"/>
        <v>CABRILLO</v>
      </c>
      <c r="F559" s="13">
        <v>2</v>
      </c>
      <c r="G559" s="13" t="s">
        <v>477</v>
      </c>
      <c r="H559" s="13" t="s">
        <v>155</v>
      </c>
      <c r="I559" s="13" t="s">
        <v>155</v>
      </c>
      <c r="J559" s="13">
        <v>437</v>
      </c>
      <c r="K559" s="7"/>
    </row>
    <row r="560" spans="1:11" x14ac:dyDescent="0.2">
      <c r="A560" s="7">
        <v>438</v>
      </c>
      <c r="B560" s="7">
        <v>32</v>
      </c>
      <c r="C560" s="1" t="str">
        <f t="shared" si="302"/>
        <v>VIVERO PLANTA MADRE</v>
      </c>
      <c r="D560" s="7" t="s">
        <v>133</v>
      </c>
      <c r="E560" s="1" t="str">
        <f t="shared" si="301"/>
        <v>CABRILLO</v>
      </c>
      <c r="F560" s="13">
        <v>2</v>
      </c>
      <c r="G560" s="13" t="s">
        <v>477</v>
      </c>
      <c r="H560" s="7" t="s">
        <v>228</v>
      </c>
      <c r="I560" s="15" t="s">
        <v>487</v>
      </c>
      <c r="J560" s="15">
        <v>438</v>
      </c>
      <c r="K560" s="7"/>
    </row>
    <row r="561" spans="1:11" x14ac:dyDescent="0.2">
      <c r="A561" s="7">
        <v>439</v>
      </c>
      <c r="B561" s="7">
        <v>32</v>
      </c>
      <c r="C561" s="1" t="str">
        <f t="shared" si="302"/>
        <v>VIVERO PLANTA MADRE</v>
      </c>
      <c r="D561" s="7" t="s">
        <v>133</v>
      </c>
      <c r="E561" s="1" t="str">
        <f t="shared" si="301"/>
        <v>CABRILLO</v>
      </c>
      <c r="F561" s="13">
        <v>2</v>
      </c>
      <c r="G561" s="13" t="s">
        <v>477</v>
      </c>
      <c r="H561" s="7" t="s">
        <v>228</v>
      </c>
      <c r="I561" s="15" t="s">
        <v>487</v>
      </c>
      <c r="J561" s="15">
        <v>439</v>
      </c>
      <c r="K561" s="7"/>
    </row>
    <row r="562" spans="1:11" x14ac:dyDescent="0.2">
      <c r="A562" s="7">
        <v>490</v>
      </c>
      <c r="B562" s="7">
        <v>32</v>
      </c>
      <c r="C562" s="1" t="str">
        <f t="shared" si="302"/>
        <v>VIVERO PLANTA MADRE</v>
      </c>
      <c r="D562" s="7" t="s">
        <v>133</v>
      </c>
      <c r="E562" s="1" t="str">
        <f t="shared" si="301"/>
        <v>CABRILLO</v>
      </c>
      <c r="F562" s="13">
        <v>1</v>
      </c>
      <c r="G562" s="13" t="s">
        <v>477</v>
      </c>
      <c r="H562" s="13" t="s">
        <v>485</v>
      </c>
      <c r="I562" s="14" t="s">
        <v>485</v>
      </c>
      <c r="J562" s="14">
        <v>490</v>
      </c>
      <c r="K562" s="7"/>
    </row>
    <row r="563" spans="1:11" x14ac:dyDescent="0.2">
      <c r="A563" s="7">
        <v>491</v>
      </c>
      <c r="B563" s="7">
        <v>32</v>
      </c>
      <c r="C563" s="1" t="str">
        <f t="shared" si="302"/>
        <v>VIVERO PLANTA MADRE</v>
      </c>
      <c r="D563" s="7" t="s">
        <v>133</v>
      </c>
      <c r="E563" s="1" t="str">
        <f t="shared" si="301"/>
        <v>CABRILLO</v>
      </c>
      <c r="F563" s="13">
        <v>2</v>
      </c>
      <c r="G563" s="13" t="s">
        <v>477</v>
      </c>
      <c r="H563" s="7" t="s">
        <v>149</v>
      </c>
      <c r="I563" s="13" t="s">
        <v>480</v>
      </c>
      <c r="J563" s="13">
        <v>491</v>
      </c>
      <c r="K563" s="23" t="s">
        <v>638</v>
      </c>
    </row>
    <row r="564" spans="1:11" x14ac:dyDescent="0.2">
      <c r="A564" s="7">
        <v>440</v>
      </c>
      <c r="B564" s="7">
        <v>33</v>
      </c>
      <c r="C564" s="1" t="str">
        <f t="shared" si="302"/>
        <v>ALBERTO HAZA</v>
      </c>
      <c r="D564" s="7" t="s">
        <v>133</v>
      </c>
      <c r="E564" s="1" t="s">
        <v>126</v>
      </c>
      <c r="F564" s="13">
        <v>1</v>
      </c>
      <c r="G564" s="13" t="s">
        <v>476</v>
      </c>
      <c r="H564" s="13" t="s">
        <v>155</v>
      </c>
      <c r="I564" s="13" t="s">
        <v>155</v>
      </c>
      <c r="J564" s="13">
        <v>440</v>
      </c>
      <c r="K564" s="25" t="s">
        <v>640</v>
      </c>
    </row>
    <row r="565" spans="1:11" x14ac:dyDescent="0.2">
      <c r="A565" s="7">
        <v>441</v>
      </c>
      <c r="B565" s="7">
        <v>33</v>
      </c>
      <c r="C565" s="1" t="str">
        <f t="shared" si="302"/>
        <v>ALBERTO HAZA</v>
      </c>
      <c r="D565" s="7" t="s">
        <v>133</v>
      </c>
      <c r="E565" s="1" t="s">
        <v>126</v>
      </c>
      <c r="F565" s="13">
        <v>1</v>
      </c>
      <c r="G565" s="13" t="s">
        <v>476</v>
      </c>
      <c r="H565" s="13" t="s">
        <v>155</v>
      </c>
      <c r="I565" s="13" t="s">
        <v>155</v>
      </c>
      <c r="J565" s="13">
        <v>441</v>
      </c>
      <c r="K565" s="23" t="s">
        <v>638</v>
      </c>
    </row>
    <row r="566" spans="1:11" x14ac:dyDescent="0.2">
      <c r="A566" s="7">
        <v>442</v>
      </c>
      <c r="B566" s="7">
        <v>33</v>
      </c>
      <c r="C566" s="1" t="str">
        <f t="shared" si="302"/>
        <v>ALBERTO HAZA</v>
      </c>
      <c r="D566" s="7" t="s">
        <v>133</v>
      </c>
      <c r="E566" s="1" t="s">
        <v>126</v>
      </c>
      <c r="F566" s="13">
        <v>2</v>
      </c>
      <c r="G566" s="13" t="s">
        <v>476</v>
      </c>
      <c r="H566" s="7" t="s">
        <v>155</v>
      </c>
      <c r="I566" s="13" t="s">
        <v>155</v>
      </c>
      <c r="J566" s="13">
        <v>442</v>
      </c>
      <c r="K566" s="7"/>
    </row>
    <row r="567" spans="1:11" x14ac:dyDescent="0.2">
      <c r="A567" s="7">
        <v>443</v>
      </c>
      <c r="B567" s="7">
        <v>33</v>
      </c>
      <c r="C567" s="1" t="str">
        <f t="shared" si="302"/>
        <v>ALBERTO HAZA</v>
      </c>
      <c r="D567" s="7" t="s">
        <v>133</v>
      </c>
      <c r="E567" s="1" t="s">
        <v>126</v>
      </c>
      <c r="F567" s="7">
        <v>2</v>
      </c>
      <c r="G567" s="7" t="s">
        <v>476</v>
      </c>
      <c r="H567" s="7" t="s">
        <v>149</v>
      </c>
      <c r="I567" s="7" t="s">
        <v>480</v>
      </c>
      <c r="J567" s="7">
        <v>443</v>
      </c>
      <c r="K567" s="7"/>
    </row>
    <row r="568" spans="1:11" x14ac:dyDescent="0.2">
      <c r="A568" s="7">
        <v>444</v>
      </c>
      <c r="B568" s="7">
        <v>33</v>
      </c>
      <c r="C568" s="1" t="str">
        <f t="shared" si="302"/>
        <v>ALBERTO HAZA</v>
      </c>
      <c r="D568" s="7" t="s">
        <v>133</v>
      </c>
      <c r="E568" s="1" t="s">
        <v>126</v>
      </c>
      <c r="F568" s="7">
        <v>1</v>
      </c>
      <c r="G568" s="7" t="s">
        <v>477</v>
      </c>
      <c r="H568" s="7" t="s">
        <v>149</v>
      </c>
      <c r="I568" s="7" t="s">
        <v>480</v>
      </c>
      <c r="J568" s="7">
        <v>444</v>
      </c>
      <c r="K568" s="23" t="s">
        <v>638</v>
      </c>
    </row>
    <row r="569" spans="1:11" x14ac:dyDescent="0.2">
      <c r="A569" s="7">
        <v>445</v>
      </c>
      <c r="B569" s="7">
        <v>33</v>
      </c>
      <c r="C569" s="1" t="str">
        <f t="shared" si="302"/>
        <v>ALBERTO HAZA</v>
      </c>
      <c r="D569" s="7" t="s">
        <v>133</v>
      </c>
      <c r="E569" s="1" t="s">
        <v>126</v>
      </c>
      <c r="F569" s="7">
        <v>1</v>
      </c>
      <c r="G569" s="7" t="s">
        <v>477</v>
      </c>
      <c r="H569" s="7" t="s">
        <v>155</v>
      </c>
      <c r="I569" s="7" t="s">
        <v>155</v>
      </c>
      <c r="J569" s="7">
        <v>445</v>
      </c>
      <c r="K569" s="7"/>
    </row>
    <row r="570" spans="1:11" x14ac:dyDescent="0.2">
      <c r="A570" s="7">
        <v>446</v>
      </c>
      <c r="B570" s="7">
        <v>33</v>
      </c>
      <c r="C570" s="1" t="str">
        <f t="shared" si="302"/>
        <v>ALBERTO HAZA</v>
      </c>
      <c r="D570" s="7" t="s">
        <v>133</v>
      </c>
      <c r="E570" s="1" t="s">
        <v>126</v>
      </c>
      <c r="F570" s="7">
        <v>1</v>
      </c>
      <c r="G570" s="7" t="s">
        <v>477</v>
      </c>
      <c r="H570" s="7" t="s">
        <v>149</v>
      </c>
      <c r="I570" s="7" t="s">
        <v>480</v>
      </c>
      <c r="J570" s="7">
        <v>446</v>
      </c>
      <c r="K570" s="7"/>
    </row>
    <row r="571" spans="1:11" x14ac:dyDescent="0.2">
      <c r="A571" s="7">
        <v>447</v>
      </c>
      <c r="B571" s="7">
        <v>33</v>
      </c>
      <c r="C571" s="1" t="str">
        <f t="shared" si="302"/>
        <v>ALBERTO HAZA</v>
      </c>
      <c r="D571" s="7" t="s">
        <v>133</v>
      </c>
      <c r="E571" s="1" t="s">
        <v>126</v>
      </c>
      <c r="F571" s="7">
        <v>2</v>
      </c>
      <c r="G571" s="7" t="s">
        <v>477</v>
      </c>
      <c r="H571" s="7" t="s">
        <v>473</v>
      </c>
      <c r="I571" s="26" t="s">
        <v>473</v>
      </c>
      <c r="J571" s="26">
        <v>447</v>
      </c>
      <c r="K571" s="7"/>
    </row>
    <row r="572" spans="1:11" x14ac:dyDescent="0.2">
      <c r="A572" s="7">
        <v>448</v>
      </c>
      <c r="B572" s="7">
        <v>33</v>
      </c>
      <c r="C572" s="1" t="str">
        <f t="shared" si="302"/>
        <v>ALBERTO HAZA</v>
      </c>
      <c r="D572" s="7" t="s">
        <v>133</v>
      </c>
      <c r="E572" s="1" t="s">
        <v>126</v>
      </c>
      <c r="F572" s="7">
        <v>2</v>
      </c>
      <c r="G572" s="7" t="s">
        <v>477</v>
      </c>
      <c r="H572" s="7" t="s">
        <v>155</v>
      </c>
      <c r="I572" s="7" t="s">
        <v>155</v>
      </c>
      <c r="J572" s="7">
        <v>448</v>
      </c>
      <c r="K572" s="7"/>
    </row>
    <row r="573" spans="1:11" x14ac:dyDescent="0.2">
      <c r="A573" s="7">
        <v>449</v>
      </c>
      <c r="B573" s="7">
        <v>33</v>
      </c>
      <c r="C573" s="1" t="str">
        <f t="shared" si="302"/>
        <v>ALBERTO HAZA</v>
      </c>
      <c r="D573" s="7" t="s">
        <v>133</v>
      </c>
      <c r="E573" s="1" t="s">
        <v>126</v>
      </c>
      <c r="F573" s="7">
        <v>2</v>
      </c>
      <c r="G573" s="7" t="s">
        <v>477</v>
      </c>
      <c r="H573" s="7" t="s">
        <v>149</v>
      </c>
      <c r="I573" s="7" t="s">
        <v>480</v>
      </c>
      <c r="J573" s="7">
        <v>449</v>
      </c>
      <c r="K573" s="7"/>
    </row>
    <row r="574" spans="1:11" x14ac:dyDescent="0.2">
      <c r="A574" s="7">
        <v>492</v>
      </c>
      <c r="B574" s="7">
        <v>33</v>
      </c>
      <c r="C574" s="1" t="str">
        <f t="shared" si="302"/>
        <v>ALBERTO HAZA</v>
      </c>
      <c r="D574" s="7" t="s">
        <v>133</v>
      </c>
      <c r="E574" s="1" t="s">
        <v>126</v>
      </c>
      <c r="F574" s="7">
        <v>1</v>
      </c>
      <c r="G574" s="7" t="s">
        <v>477</v>
      </c>
      <c r="H574" s="7" t="s">
        <v>474</v>
      </c>
      <c r="I574" s="9" t="s">
        <v>474</v>
      </c>
      <c r="J574" s="9">
        <v>492</v>
      </c>
      <c r="K574" s="7"/>
    </row>
    <row r="575" spans="1:11" x14ac:dyDescent="0.2">
      <c r="A575" s="7">
        <v>493</v>
      </c>
      <c r="B575" s="7">
        <v>33</v>
      </c>
      <c r="C575" s="1" t="str">
        <f t="shared" si="302"/>
        <v>ALBERTO HAZA</v>
      </c>
      <c r="D575" s="7" t="s">
        <v>133</v>
      </c>
      <c r="E575" s="1" t="s">
        <v>126</v>
      </c>
      <c r="F575" s="7">
        <v>2</v>
      </c>
      <c r="G575" s="7" t="s">
        <v>477</v>
      </c>
      <c r="H575" s="7" t="s">
        <v>149</v>
      </c>
      <c r="I575" s="7" t="s">
        <v>480</v>
      </c>
      <c r="J575" s="7">
        <v>493</v>
      </c>
      <c r="K575" s="7"/>
    </row>
    <row r="576" spans="1:11" x14ac:dyDescent="0.2">
      <c r="A576" s="7">
        <v>450</v>
      </c>
      <c r="B576" s="7">
        <v>34</v>
      </c>
      <c r="C576" s="1" t="str">
        <f t="shared" si="302"/>
        <v>PARCELA 34</v>
      </c>
      <c r="D576" s="7" t="s">
        <v>133</v>
      </c>
      <c r="E576" s="1" t="s">
        <v>126</v>
      </c>
      <c r="F576" s="7">
        <v>1</v>
      </c>
      <c r="G576" s="7" t="s">
        <v>476</v>
      </c>
      <c r="H576" s="7" t="s">
        <v>155</v>
      </c>
      <c r="I576" s="7" t="s">
        <v>155</v>
      </c>
      <c r="J576" s="7">
        <v>450</v>
      </c>
      <c r="K576" s="25" t="s">
        <v>640</v>
      </c>
    </row>
    <row r="577" spans="1:11" x14ac:dyDescent="0.2">
      <c r="A577" s="7">
        <v>451</v>
      </c>
      <c r="B577" s="7">
        <v>34</v>
      </c>
      <c r="C577" s="1" t="str">
        <f t="shared" si="302"/>
        <v>PARCELA 34</v>
      </c>
      <c r="D577" s="7" t="s">
        <v>133</v>
      </c>
      <c r="E577" s="1" t="s">
        <v>126</v>
      </c>
      <c r="F577" s="7">
        <v>1</v>
      </c>
      <c r="G577" s="7" t="s">
        <v>476</v>
      </c>
      <c r="H577" s="7" t="s">
        <v>155</v>
      </c>
      <c r="I577" s="7" t="s">
        <v>155</v>
      </c>
      <c r="J577" s="7">
        <v>451</v>
      </c>
      <c r="K577" s="23" t="s">
        <v>638</v>
      </c>
    </row>
    <row r="578" spans="1:11" x14ac:dyDescent="0.2">
      <c r="A578" s="7">
        <v>452</v>
      </c>
      <c r="B578" s="7">
        <v>34</v>
      </c>
      <c r="C578" s="1" t="str">
        <f t="shared" si="302"/>
        <v>PARCELA 34</v>
      </c>
      <c r="D578" s="7" t="s">
        <v>133</v>
      </c>
      <c r="E578" s="1" t="s">
        <v>126</v>
      </c>
      <c r="F578" s="7">
        <v>2</v>
      </c>
      <c r="G578" s="7" t="s">
        <v>476</v>
      </c>
      <c r="H578" s="7" t="s">
        <v>155</v>
      </c>
      <c r="I578" s="7" t="s">
        <v>155</v>
      </c>
      <c r="J578" s="7">
        <v>452</v>
      </c>
      <c r="K578" s="7"/>
    </row>
    <row r="579" spans="1:11" x14ac:dyDescent="0.2">
      <c r="A579" s="7">
        <v>453</v>
      </c>
      <c r="B579" s="7">
        <v>34</v>
      </c>
      <c r="C579" s="1" t="str">
        <f t="shared" si="302"/>
        <v>PARCELA 34</v>
      </c>
      <c r="D579" s="7" t="s">
        <v>133</v>
      </c>
      <c r="E579" s="1" t="s">
        <v>126</v>
      </c>
      <c r="F579" s="7">
        <v>2</v>
      </c>
      <c r="G579" s="7" t="s">
        <v>476</v>
      </c>
      <c r="H579" s="7" t="s">
        <v>155</v>
      </c>
      <c r="I579" s="7" t="s">
        <v>155</v>
      </c>
      <c r="J579" s="7">
        <v>453</v>
      </c>
      <c r="K579" s="7"/>
    </row>
    <row r="580" spans="1:11" x14ac:dyDescent="0.2">
      <c r="A580" s="7">
        <v>454</v>
      </c>
      <c r="B580" s="7">
        <v>34</v>
      </c>
      <c r="C580" s="1" t="str">
        <f t="shared" si="302"/>
        <v>PARCELA 34</v>
      </c>
      <c r="D580" s="7" t="s">
        <v>133</v>
      </c>
      <c r="E580" s="1" t="s">
        <v>126</v>
      </c>
      <c r="F580" s="7">
        <v>1</v>
      </c>
      <c r="G580" s="7" t="s">
        <v>477</v>
      </c>
      <c r="H580" s="7" t="s">
        <v>155</v>
      </c>
      <c r="I580" s="7" t="s">
        <v>155</v>
      </c>
      <c r="J580" s="7">
        <v>454</v>
      </c>
      <c r="K580" s="7"/>
    </row>
    <row r="581" spans="1:11" x14ac:dyDescent="0.2">
      <c r="A581" s="7">
        <v>455</v>
      </c>
      <c r="B581" s="7">
        <v>34</v>
      </c>
      <c r="C581" s="1" t="str">
        <f t="shared" si="302"/>
        <v>PARCELA 34</v>
      </c>
      <c r="D581" s="7" t="s">
        <v>133</v>
      </c>
      <c r="E581" s="1" t="s">
        <v>126</v>
      </c>
      <c r="F581" s="7">
        <v>1</v>
      </c>
      <c r="G581" s="7" t="s">
        <v>477</v>
      </c>
      <c r="H581" s="7" t="s">
        <v>474</v>
      </c>
      <c r="I581" s="9" t="s">
        <v>474</v>
      </c>
      <c r="J581" s="9">
        <v>455</v>
      </c>
      <c r="K581" s="7"/>
    </row>
    <row r="582" spans="1:11" x14ac:dyDescent="0.2">
      <c r="A582" s="7">
        <v>456</v>
      </c>
      <c r="B582" s="7">
        <v>34</v>
      </c>
      <c r="C582" s="1" t="str">
        <f t="shared" si="302"/>
        <v>PARCELA 34</v>
      </c>
      <c r="D582" s="7" t="s">
        <v>133</v>
      </c>
      <c r="E582" s="1" t="s">
        <v>126</v>
      </c>
      <c r="F582" s="7">
        <v>2</v>
      </c>
      <c r="G582" s="7" t="s">
        <v>477</v>
      </c>
      <c r="H582" s="7" t="s">
        <v>474</v>
      </c>
      <c r="I582" s="9" t="s">
        <v>474</v>
      </c>
      <c r="J582" s="9">
        <v>456</v>
      </c>
      <c r="K582" s="7"/>
    </row>
    <row r="583" spans="1:11" x14ac:dyDescent="0.2">
      <c r="A583" s="7">
        <v>457</v>
      </c>
      <c r="B583" s="7">
        <v>34</v>
      </c>
      <c r="C583" s="1" t="str">
        <f t="shared" si="302"/>
        <v>PARCELA 34</v>
      </c>
      <c r="D583" s="7" t="s">
        <v>133</v>
      </c>
      <c r="E583" s="1" t="s">
        <v>126</v>
      </c>
      <c r="F583" s="7">
        <v>2</v>
      </c>
      <c r="G583" s="7" t="s">
        <v>477</v>
      </c>
      <c r="H583" s="7" t="s">
        <v>149</v>
      </c>
      <c r="I583" s="7" t="s">
        <v>480</v>
      </c>
      <c r="J583" s="7">
        <v>457</v>
      </c>
      <c r="K583" s="23" t="s">
        <v>638</v>
      </c>
    </row>
    <row r="584" spans="1:11" x14ac:dyDescent="0.2">
      <c r="A584" s="7">
        <v>458</v>
      </c>
      <c r="B584" s="7">
        <v>34</v>
      </c>
      <c r="C584" s="1" t="str">
        <f t="shared" si="302"/>
        <v>PARCELA 34</v>
      </c>
      <c r="D584" s="7" t="s">
        <v>133</v>
      </c>
      <c r="E584" s="1" t="s">
        <v>126</v>
      </c>
      <c r="F584" s="7">
        <v>2</v>
      </c>
      <c r="G584" s="7" t="s">
        <v>477</v>
      </c>
      <c r="H584" s="7" t="s">
        <v>473</v>
      </c>
      <c r="I584" s="26" t="s">
        <v>473</v>
      </c>
      <c r="J584" s="26">
        <v>458</v>
      </c>
      <c r="K584" s="7"/>
    </row>
    <row r="585" spans="1:11" x14ac:dyDescent="0.2">
      <c r="A585" s="7">
        <v>494</v>
      </c>
      <c r="B585" s="7">
        <v>34</v>
      </c>
      <c r="C585" s="1" t="str">
        <f t="shared" si="302"/>
        <v>PARCELA 34</v>
      </c>
      <c r="D585" s="7" t="s">
        <v>133</v>
      </c>
      <c r="E585" s="1" t="s">
        <v>126</v>
      </c>
      <c r="F585" s="7">
        <v>1</v>
      </c>
      <c r="G585" s="7" t="s">
        <v>477</v>
      </c>
      <c r="H585" s="7" t="s">
        <v>149</v>
      </c>
      <c r="I585" s="7" t="s">
        <v>478</v>
      </c>
      <c r="J585" s="7">
        <v>494</v>
      </c>
      <c r="K585" s="23" t="s">
        <v>638</v>
      </c>
    </row>
    <row r="586" spans="1:11" x14ac:dyDescent="0.2">
      <c r="A586" s="7">
        <v>495</v>
      </c>
      <c r="B586" s="7">
        <v>34</v>
      </c>
      <c r="C586" s="1" t="str">
        <f t="shared" si="302"/>
        <v>PARCELA 34</v>
      </c>
      <c r="D586" s="7" t="s">
        <v>133</v>
      </c>
      <c r="E586" s="1" t="s">
        <v>126</v>
      </c>
      <c r="F586" s="7">
        <v>1</v>
      </c>
      <c r="G586" s="7" t="s">
        <v>477</v>
      </c>
      <c r="H586" s="7" t="s">
        <v>485</v>
      </c>
      <c r="I586" s="10" t="s">
        <v>485</v>
      </c>
      <c r="J586" s="10">
        <v>495</v>
      </c>
      <c r="K586" s="7"/>
    </row>
    <row r="587" spans="1:11" x14ac:dyDescent="0.2">
      <c r="A587" s="7">
        <v>496</v>
      </c>
      <c r="B587" s="7">
        <v>34</v>
      </c>
      <c r="C587" s="1" t="str">
        <f t="shared" si="302"/>
        <v>PARCELA 34</v>
      </c>
      <c r="D587" s="7" t="s">
        <v>133</v>
      </c>
      <c r="E587" s="1" t="s">
        <v>126</v>
      </c>
      <c r="F587" s="7">
        <v>2</v>
      </c>
      <c r="G587" s="7" t="s">
        <v>477</v>
      </c>
      <c r="H587" s="7" t="s">
        <v>149</v>
      </c>
      <c r="I587" s="7" t="s">
        <v>478</v>
      </c>
      <c r="J587" s="7">
        <v>496</v>
      </c>
      <c r="K587" s="7"/>
    </row>
    <row r="588" spans="1:11" x14ac:dyDescent="0.2">
      <c r="A588" s="7">
        <v>584</v>
      </c>
      <c r="B588" s="7">
        <v>35.1</v>
      </c>
      <c r="C588" s="1" t="str">
        <f t="shared" si="302"/>
        <v>EL MIRADOR 1</v>
      </c>
      <c r="D588" s="7" t="s">
        <v>108</v>
      </c>
      <c r="E588" s="1" t="s">
        <v>126</v>
      </c>
      <c r="F588" s="7">
        <v>1</v>
      </c>
      <c r="G588" s="7" t="s">
        <v>477</v>
      </c>
      <c r="H588" s="7" t="s">
        <v>155</v>
      </c>
      <c r="I588" s="7" t="s">
        <v>155</v>
      </c>
      <c r="J588" s="7">
        <v>584</v>
      </c>
      <c r="K588" s="23" t="s">
        <v>638</v>
      </c>
    </row>
    <row r="589" spans="1:11" x14ac:dyDescent="0.2">
      <c r="A589" s="7">
        <v>585</v>
      </c>
      <c r="B589" s="7">
        <v>35.1</v>
      </c>
      <c r="C589" s="1" t="str">
        <f t="shared" si="302"/>
        <v>EL MIRADOR 1</v>
      </c>
      <c r="D589" s="7" t="s">
        <v>108</v>
      </c>
      <c r="E589" s="1" t="s">
        <v>126</v>
      </c>
      <c r="F589" s="7">
        <v>1</v>
      </c>
      <c r="G589" s="7" t="s">
        <v>477</v>
      </c>
      <c r="H589" s="7" t="s">
        <v>471</v>
      </c>
      <c r="I589" s="7" t="s">
        <v>471</v>
      </c>
      <c r="J589" s="7">
        <v>585</v>
      </c>
      <c r="K589" s="7"/>
    </row>
    <row r="590" spans="1:11" x14ac:dyDescent="0.2">
      <c r="A590" s="7">
        <v>586</v>
      </c>
      <c r="B590" s="7">
        <v>35.1</v>
      </c>
      <c r="C590" s="1" t="str">
        <f t="shared" si="302"/>
        <v>EL MIRADOR 1</v>
      </c>
      <c r="D590" s="7" t="s">
        <v>108</v>
      </c>
      <c r="E590" s="1" t="s">
        <v>126</v>
      </c>
      <c r="F590" s="7">
        <v>1</v>
      </c>
      <c r="G590" s="7" t="s">
        <v>477</v>
      </c>
      <c r="H590" s="7" t="s">
        <v>471</v>
      </c>
      <c r="I590" s="7" t="s">
        <v>471</v>
      </c>
      <c r="J590" s="7">
        <v>586</v>
      </c>
      <c r="K590" s="7"/>
    </row>
    <row r="591" spans="1:11" x14ac:dyDescent="0.2">
      <c r="A591" s="7">
        <v>587</v>
      </c>
      <c r="B591" s="7">
        <v>35.1</v>
      </c>
      <c r="C591" s="1" t="str">
        <f t="shared" si="302"/>
        <v>EL MIRADOR 1</v>
      </c>
      <c r="D591" s="7" t="s">
        <v>108</v>
      </c>
      <c r="E591" s="1" t="s">
        <v>126</v>
      </c>
      <c r="F591" s="7">
        <v>1</v>
      </c>
      <c r="G591" s="7" t="s">
        <v>477</v>
      </c>
      <c r="H591" s="7" t="s">
        <v>471</v>
      </c>
      <c r="I591" s="7" t="s">
        <v>471</v>
      </c>
      <c r="J591" s="7">
        <v>587</v>
      </c>
      <c r="K591" s="23" t="s">
        <v>638</v>
      </c>
    </row>
    <row r="592" spans="1:11" x14ac:dyDescent="0.2">
      <c r="A592" s="7">
        <v>588</v>
      </c>
      <c r="B592" s="7">
        <v>35.1</v>
      </c>
      <c r="C592" s="1" t="str">
        <f t="shared" si="302"/>
        <v>EL MIRADOR 1</v>
      </c>
      <c r="D592" s="7" t="s">
        <v>108</v>
      </c>
      <c r="E592" s="1" t="s">
        <v>126</v>
      </c>
      <c r="F592" s="7">
        <v>2</v>
      </c>
      <c r="G592" s="7" t="s">
        <v>477</v>
      </c>
      <c r="H592" s="7" t="s">
        <v>155</v>
      </c>
      <c r="I592" s="7" t="s">
        <v>155</v>
      </c>
      <c r="J592" s="7">
        <v>588</v>
      </c>
      <c r="K592" s="7"/>
    </row>
    <row r="593" spans="1:11" x14ac:dyDescent="0.2">
      <c r="A593" s="7">
        <v>589</v>
      </c>
      <c r="B593" s="7">
        <v>35.1</v>
      </c>
      <c r="C593" s="1" t="str">
        <f t="shared" si="302"/>
        <v>EL MIRADOR 1</v>
      </c>
      <c r="D593" s="7" t="s">
        <v>108</v>
      </c>
      <c r="E593" s="1" t="s">
        <v>126</v>
      </c>
      <c r="F593" s="7">
        <v>2</v>
      </c>
      <c r="G593" s="7" t="s">
        <v>477</v>
      </c>
      <c r="H593" s="7" t="s">
        <v>471</v>
      </c>
      <c r="I593" s="7" t="s">
        <v>471</v>
      </c>
      <c r="J593" s="7">
        <v>589</v>
      </c>
      <c r="K593" s="7" t="s">
        <v>638</v>
      </c>
    </row>
    <row r="594" spans="1:11" x14ac:dyDescent="0.2">
      <c r="A594" s="7">
        <v>590</v>
      </c>
      <c r="B594" s="7">
        <v>35.1</v>
      </c>
      <c r="C594" s="1" t="str">
        <f t="shared" si="302"/>
        <v>EL MIRADOR 1</v>
      </c>
      <c r="D594" s="7" t="s">
        <v>108</v>
      </c>
      <c r="E594" s="1" t="s">
        <v>126</v>
      </c>
      <c r="F594" s="7">
        <v>2</v>
      </c>
      <c r="G594" s="7" t="s">
        <v>477</v>
      </c>
      <c r="H594" s="7" t="s">
        <v>149</v>
      </c>
      <c r="I594" s="7" t="s">
        <v>478</v>
      </c>
      <c r="J594" s="7">
        <v>590</v>
      </c>
      <c r="K594" s="23" t="s">
        <v>638</v>
      </c>
    </row>
    <row r="595" spans="1:11" x14ac:dyDescent="0.2">
      <c r="A595" s="7">
        <v>591</v>
      </c>
      <c r="B595" s="7">
        <v>35.1</v>
      </c>
      <c r="C595" s="1" t="str">
        <f t="shared" si="302"/>
        <v>EL MIRADOR 1</v>
      </c>
      <c r="D595" s="7" t="s">
        <v>108</v>
      </c>
      <c r="E595" s="1" t="s">
        <v>126</v>
      </c>
      <c r="F595" s="7">
        <v>2</v>
      </c>
      <c r="G595" s="7" t="s">
        <v>477</v>
      </c>
      <c r="H595" s="7" t="s">
        <v>149</v>
      </c>
      <c r="I595" s="7" t="s">
        <v>478</v>
      </c>
      <c r="J595" s="7">
        <v>591</v>
      </c>
      <c r="K595" s="7"/>
    </row>
    <row r="596" spans="1:11" x14ac:dyDescent="0.2">
      <c r="A596" s="7">
        <v>592</v>
      </c>
      <c r="B596" s="7">
        <v>35.1</v>
      </c>
      <c r="C596" s="1" t="str">
        <f t="shared" si="302"/>
        <v>EL MIRADOR 1</v>
      </c>
      <c r="D596" s="7" t="s">
        <v>108</v>
      </c>
      <c r="E596" s="1" t="s">
        <v>126</v>
      </c>
      <c r="F596" s="7">
        <v>2</v>
      </c>
      <c r="G596" s="7" t="s">
        <v>477</v>
      </c>
      <c r="H596" s="7" t="s">
        <v>471</v>
      </c>
      <c r="I596" s="7" t="s">
        <v>471</v>
      </c>
      <c r="J596" s="7">
        <v>592</v>
      </c>
      <c r="K596" s="7"/>
    </row>
    <row r="597" spans="1:11" x14ac:dyDescent="0.2">
      <c r="A597" s="7">
        <v>593</v>
      </c>
      <c r="B597" s="7">
        <v>35.1</v>
      </c>
      <c r="C597" s="1" t="str">
        <f t="shared" si="302"/>
        <v>EL MIRADOR 1</v>
      </c>
      <c r="D597" s="7" t="s">
        <v>108</v>
      </c>
      <c r="E597" s="1" t="s">
        <v>126</v>
      </c>
      <c r="F597" s="7">
        <v>2</v>
      </c>
      <c r="G597" s="7" t="s">
        <v>477</v>
      </c>
      <c r="H597" s="7" t="s">
        <v>485</v>
      </c>
      <c r="I597" s="10" t="s">
        <v>485</v>
      </c>
      <c r="J597" s="10">
        <v>593</v>
      </c>
      <c r="K597" s="7"/>
    </row>
    <row r="598" spans="1:11" x14ac:dyDescent="0.2">
      <c r="A598" s="7">
        <v>594</v>
      </c>
      <c r="B598" s="7">
        <v>35.1</v>
      </c>
      <c r="C598" s="1" t="str">
        <f t="shared" si="302"/>
        <v>EL MIRADOR 1</v>
      </c>
      <c r="D598" s="7" t="s">
        <v>108</v>
      </c>
      <c r="E598" s="1" t="s">
        <v>126</v>
      </c>
      <c r="F598" s="7">
        <v>2</v>
      </c>
      <c r="G598" s="7" t="s">
        <v>477</v>
      </c>
      <c r="H598" s="7" t="s">
        <v>490</v>
      </c>
      <c r="I598" s="9" t="s">
        <v>490</v>
      </c>
      <c r="J598" s="9">
        <v>594</v>
      </c>
      <c r="K598" s="7"/>
    </row>
    <row r="599" spans="1:11" x14ac:dyDescent="0.2">
      <c r="A599" s="7">
        <v>595</v>
      </c>
      <c r="B599" s="7">
        <v>35.200000000000003</v>
      </c>
      <c r="C599" s="1" t="str">
        <f t="shared" si="302"/>
        <v>EL MIRADOR 2</v>
      </c>
      <c r="D599" s="7" t="s">
        <v>108</v>
      </c>
      <c r="E599" s="1" t="str">
        <f t="shared" ref="E599:E628" si="303">IF(B599=20,"NO DOCUMENTADO",IF(B599=21.1,"CAMINO",IF(B599=21.2,"VICTOR",IF(B599=22,"VERONICA",IF(B599=23,"SANTA MARIA",IF(B599=24,"FORTUNA",IF(B599=25,"CAMINO REAL",IF(B599=26,"ALBION",IF(B599=27,"CAMINO REAL",IF(B599=28,"SAN ANDREAS",IF(B599=29,"MONTERREY",IF(B599=30,"CAMINO REAL",IF(B599=31,"CAMINO REAL",IF(B599=32,"CABRILLO",IF(B599=33,"CAMINO REAL",IF(B599=34,"CAMINO REAL",IF(B599=35.1,"CAMINO",IF(B599=35.2,"FRONTERA",IF(B599=36.1,"SANTA MARIA",IF(B599=36.2,"NIÑA",IF(B599=36.3,"CODIGO",IF(B599=37.1,"VICTOR",IF(B599=37.2,"CODIGO 1",IF(B599=37.3,"CODIGO 2",IF(B599=38.1,"SAYULA",IF(B599=38.2,"FRONTERA",IF(B599=38.3,"VICTOR",IF(B599=39,"CODIGO",IF(B599=40.1,"CAMINO")))))))))))))))))))))))))))))</f>
        <v>FRONTERA</v>
      </c>
      <c r="F599" s="7">
        <v>1</v>
      </c>
      <c r="G599" s="7" t="s">
        <v>476</v>
      </c>
      <c r="H599" s="7" t="s">
        <v>155</v>
      </c>
      <c r="I599" s="7" t="s">
        <v>155</v>
      </c>
      <c r="J599" s="7">
        <v>595</v>
      </c>
      <c r="K599" s="23" t="s">
        <v>638</v>
      </c>
    </row>
    <row r="600" spans="1:11" x14ac:dyDescent="0.2">
      <c r="A600" s="7">
        <v>596</v>
      </c>
      <c r="B600" s="7">
        <v>35.200000000000003</v>
      </c>
      <c r="C600" s="1" t="str">
        <f t="shared" si="302"/>
        <v>EL MIRADOR 2</v>
      </c>
      <c r="D600" s="7" t="s">
        <v>108</v>
      </c>
      <c r="E600" s="1" t="str">
        <f t="shared" si="303"/>
        <v>FRONTERA</v>
      </c>
      <c r="F600" s="7">
        <v>1</v>
      </c>
      <c r="G600" s="7" t="s">
        <v>476</v>
      </c>
      <c r="H600" s="7" t="s">
        <v>472</v>
      </c>
      <c r="I600" s="7" t="s">
        <v>472</v>
      </c>
      <c r="J600" s="7">
        <v>596</v>
      </c>
      <c r="K600" s="23" t="s">
        <v>638</v>
      </c>
    </row>
    <row r="601" spans="1:11" x14ac:dyDescent="0.2">
      <c r="A601" s="7">
        <v>597</v>
      </c>
      <c r="B601" s="7">
        <v>35.200000000000003</v>
      </c>
      <c r="C601" s="1" t="str">
        <f t="shared" si="302"/>
        <v>EL MIRADOR 2</v>
      </c>
      <c r="D601" s="7" t="s">
        <v>108</v>
      </c>
      <c r="E601" s="1" t="str">
        <f t="shared" si="303"/>
        <v>FRONTERA</v>
      </c>
      <c r="F601" s="7">
        <v>1</v>
      </c>
      <c r="G601" s="7" t="s">
        <v>477</v>
      </c>
      <c r="H601" s="7" t="s">
        <v>473</v>
      </c>
      <c r="I601" s="26" t="s">
        <v>473</v>
      </c>
      <c r="J601" s="26">
        <v>597</v>
      </c>
      <c r="K601" s="7"/>
    </row>
    <row r="602" spans="1:11" x14ac:dyDescent="0.2">
      <c r="A602" s="7">
        <v>598</v>
      </c>
      <c r="B602" s="7">
        <v>35.200000000000003</v>
      </c>
      <c r="C602" s="1" t="str">
        <f t="shared" si="302"/>
        <v>EL MIRADOR 2</v>
      </c>
      <c r="D602" s="7" t="s">
        <v>108</v>
      </c>
      <c r="E602" s="1" t="str">
        <f t="shared" si="303"/>
        <v>FRONTERA</v>
      </c>
      <c r="F602" s="7">
        <v>1</v>
      </c>
      <c r="G602" s="7" t="s">
        <v>477</v>
      </c>
      <c r="H602" s="7" t="s">
        <v>149</v>
      </c>
      <c r="I602" s="7" t="s">
        <v>478</v>
      </c>
      <c r="J602" s="7">
        <v>598</v>
      </c>
      <c r="K602" s="7"/>
    </row>
    <row r="603" spans="1:11" x14ac:dyDescent="0.2">
      <c r="A603" s="7">
        <v>599</v>
      </c>
      <c r="B603" s="7">
        <v>36.1</v>
      </c>
      <c r="C603" s="1" t="str">
        <f t="shared" si="302"/>
        <v>CHELIS FARM 1</v>
      </c>
      <c r="D603" s="7" t="s">
        <v>108</v>
      </c>
      <c r="E603" s="1" t="str">
        <f t="shared" si="303"/>
        <v>SANTA MARIA</v>
      </c>
      <c r="F603" s="7">
        <v>1</v>
      </c>
      <c r="G603" s="7" t="s">
        <v>476</v>
      </c>
      <c r="H603" s="7" t="s">
        <v>149</v>
      </c>
      <c r="I603" s="7" t="s">
        <v>480</v>
      </c>
      <c r="J603" s="7">
        <v>599</v>
      </c>
      <c r="K603" s="7"/>
    </row>
    <row r="604" spans="1:11" x14ac:dyDescent="0.2">
      <c r="A604" s="7">
        <v>600</v>
      </c>
      <c r="B604" s="7">
        <v>36.1</v>
      </c>
      <c r="C604" s="1" t="str">
        <f t="shared" si="302"/>
        <v>CHELIS FARM 1</v>
      </c>
      <c r="D604" s="7" t="s">
        <v>108</v>
      </c>
      <c r="E604" s="1" t="str">
        <f t="shared" si="303"/>
        <v>SANTA MARIA</v>
      </c>
      <c r="F604" s="7">
        <v>1</v>
      </c>
      <c r="G604" s="7" t="s">
        <v>477</v>
      </c>
      <c r="H604" s="7" t="s">
        <v>471</v>
      </c>
      <c r="I604" s="7" t="s">
        <v>471</v>
      </c>
      <c r="J604" s="7">
        <v>600</v>
      </c>
      <c r="K604" s="23"/>
    </row>
    <row r="605" spans="1:11" x14ac:dyDescent="0.2">
      <c r="A605" s="7">
        <v>601</v>
      </c>
      <c r="B605" s="7">
        <v>36.1</v>
      </c>
      <c r="C605" s="1" t="str">
        <f t="shared" si="302"/>
        <v>CHELIS FARM 1</v>
      </c>
      <c r="D605" s="7" t="s">
        <v>108</v>
      </c>
      <c r="E605" s="1" t="str">
        <f t="shared" si="303"/>
        <v>SANTA MARIA</v>
      </c>
      <c r="F605" s="7">
        <v>1</v>
      </c>
      <c r="G605" s="7" t="s">
        <v>477</v>
      </c>
      <c r="H605" s="7" t="s">
        <v>485</v>
      </c>
      <c r="I605" s="10" t="s">
        <v>485</v>
      </c>
      <c r="J605" s="10">
        <v>601</v>
      </c>
      <c r="K605" s="7"/>
    </row>
    <row r="606" spans="1:11" x14ac:dyDescent="0.2">
      <c r="A606" s="7">
        <v>602</v>
      </c>
      <c r="B606" s="7">
        <v>36.1</v>
      </c>
      <c r="C606" s="1" t="str">
        <f t="shared" si="302"/>
        <v>CHELIS FARM 1</v>
      </c>
      <c r="D606" s="7" t="s">
        <v>108</v>
      </c>
      <c r="E606" s="1" t="str">
        <f t="shared" si="303"/>
        <v>SANTA MARIA</v>
      </c>
      <c r="F606" s="7">
        <v>1</v>
      </c>
      <c r="G606" s="7" t="s">
        <v>477</v>
      </c>
      <c r="H606" s="7" t="s">
        <v>490</v>
      </c>
      <c r="I606" s="9" t="s">
        <v>490</v>
      </c>
      <c r="J606" s="9">
        <v>602</v>
      </c>
      <c r="K606" s="7"/>
    </row>
    <row r="607" spans="1:11" x14ac:dyDescent="0.2">
      <c r="A607" s="7">
        <v>603</v>
      </c>
      <c r="B607" s="7">
        <v>36.200000000000003</v>
      </c>
      <c r="C607" s="1" t="str">
        <f t="shared" si="302"/>
        <v>CHELIS FARM 2</v>
      </c>
      <c r="D607" s="7" t="s">
        <v>108</v>
      </c>
      <c r="E607" s="1" t="str">
        <f t="shared" si="303"/>
        <v>NIÑA</v>
      </c>
      <c r="F607" s="7">
        <v>1</v>
      </c>
      <c r="G607" s="7" t="s">
        <v>476</v>
      </c>
      <c r="H607" s="7" t="s">
        <v>149</v>
      </c>
      <c r="I607" s="7" t="s">
        <v>480</v>
      </c>
      <c r="J607" s="7">
        <v>603</v>
      </c>
      <c r="K607" s="23"/>
    </row>
    <row r="608" spans="1:11" x14ac:dyDescent="0.2">
      <c r="A608" s="7">
        <v>604</v>
      </c>
      <c r="B608" s="7">
        <v>36.200000000000003</v>
      </c>
      <c r="C608" s="1" t="str">
        <f t="shared" si="302"/>
        <v>CHELIS FARM 2</v>
      </c>
      <c r="D608" s="7" t="s">
        <v>108</v>
      </c>
      <c r="E608" s="1" t="str">
        <f t="shared" si="303"/>
        <v>NIÑA</v>
      </c>
      <c r="F608" s="7">
        <v>1</v>
      </c>
      <c r="G608" s="7" t="s">
        <v>476</v>
      </c>
      <c r="H608" s="7" t="s">
        <v>228</v>
      </c>
      <c r="I608" s="9" t="s">
        <v>482</v>
      </c>
      <c r="J608" s="9">
        <v>604</v>
      </c>
      <c r="K608" s="7"/>
    </row>
    <row r="609" spans="1:11" x14ac:dyDescent="0.2">
      <c r="A609" s="7">
        <v>605</v>
      </c>
      <c r="B609" s="7">
        <v>36.200000000000003</v>
      </c>
      <c r="C609" s="1" t="str">
        <f t="shared" si="302"/>
        <v>CHELIS FARM 2</v>
      </c>
      <c r="D609" s="7" t="s">
        <v>108</v>
      </c>
      <c r="E609" s="1" t="str">
        <f t="shared" si="303"/>
        <v>NIÑA</v>
      </c>
      <c r="F609" s="7">
        <v>2</v>
      </c>
      <c r="G609" s="7" t="s">
        <v>476</v>
      </c>
      <c r="H609" s="7" t="s">
        <v>228</v>
      </c>
      <c r="I609" s="9" t="s">
        <v>482</v>
      </c>
      <c r="J609" s="9">
        <v>605</v>
      </c>
      <c r="K609" s="7"/>
    </row>
    <row r="610" spans="1:11" x14ac:dyDescent="0.2">
      <c r="A610" s="7">
        <v>606</v>
      </c>
      <c r="B610" s="7">
        <v>36.200000000000003</v>
      </c>
      <c r="C610" s="1" t="str">
        <f t="shared" si="302"/>
        <v>CHELIS FARM 2</v>
      </c>
      <c r="D610" s="7" t="s">
        <v>108</v>
      </c>
      <c r="E610" s="1" t="str">
        <f t="shared" si="303"/>
        <v>NIÑA</v>
      </c>
      <c r="F610" s="7">
        <v>2</v>
      </c>
      <c r="G610" s="7" t="s">
        <v>476</v>
      </c>
      <c r="H610" s="7" t="s">
        <v>228</v>
      </c>
      <c r="I610" s="9" t="s">
        <v>482</v>
      </c>
      <c r="J610" s="9">
        <v>606</v>
      </c>
      <c r="K610" s="7"/>
    </row>
    <row r="611" spans="1:11" x14ac:dyDescent="0.2">
      <c r="A611" s="7">
        <v>607</v>
      </c>
      <c r="B611" s="7">
        <v>36.200000000000003</v>
      </c>
      <c r="C611" s="1" t="str">
        <f t="shared" si="302"/>
        <v>CHELIS FARM 2</v>
      </c>
      <c r="D611" s="7" t="s">
        <v>108</v>
      </c>
      <c r="E611" s="1" t="str">
        <f t="shared" si="303"/>
        <v>NIÑA</v>
      </c>
      <c r="F611" s="7">
        <v>1</v>
      </c>
      <c r="G611" s="7" t="s">
        <v>477</v>
      </c>
      <c r="H611" s="7" t="s">
        <v>228</v>
      </c>
      <c r="I611" s="9" t="s">
        <v>482</v>
      </c>
      <c r="J611" s="9">
        <v>607</v>
      </c>
      <c r="K611" s="7"/>
    </row>
    <row r="612" spans="1:11" x14ac:dyDescent="0.2">
      <c r="A612" s="7">
        <v>608</v>
      </c>
      <c r="B612" s="7">
        <v>36.200000000000003</v>
      </c>
      <c r="C612" s="1" t="str">
        <f t="shared" si="302"/>
        <v>CHELIS FARM 2</v>
      </c>
      <c r="D612" s="7" t="s">
        <v>108</v>
      </c>
      <c r="E612" s="1" t="str">
        <f t="shared" si="303"/>
        <v>NIÑA</v>
      </c>
      <c r="F612" s="7">
        <v>1</v>
      </c>
      <c r="G612" s="7" t="s">
        <v>477</v>
      </c>
      <c r="H612" s="7" t="s">
        <v>490</v>
      </c>
      <c r="I612" s="9" t="s">
        <v>490</v>
      </c>
      <c r="J612" s="9">
        <v>608</v>
      </c>
      <c r="K612" s="7"/>
    </row>
    <row r="613" spans="1:11" x14ac:dyDescent="0.2">
      <c r="A613" s="7">
        <v>609</v>
      </c>
      <c r="B613" s="7">
        <v>36.200000000000003</v>
      </c>
      <c r="C613" s="1" t="str">
        <f t="shared" si="302"/>
        <v>CHELIS FARM 2</v>
      </c>
      <c r="D613" s="7" t="s">
        <v>108</v>
      </c>
      <c r="E613" s="1" t="str">
        <f t="shared" si="303"/>
        <v>NIÑA</v>
      </c>
      <c r="F613" s="7">
        <v>2</v>
      </c>
      <c r="G613" s="7" t="s">
        <v>477</v>
      </c>
      <c r="H613" s="7" t="s">
        <v>228</v>
      </c>
      <c r="I613" s="9" t="s">
        <v>482</v>
      </c>
      <c r="J613" s="9">
        <v>609</v>
      </c>
      <c r="K613" s="7"/>
    </row>
    <row r="614" spans="1:11" x14ac:dyDescent="0.2">
      <c r="A614" s="7">
        <v>610</v>
      </c>
      <c r="B614" s="7">
        <v>36.200000000000003</v>
      </c>
      <c r="C614" s="1" t="str">
        <f t="shared" si="302"/>
        <v>CHELIS FARM 2</v>
      </c>
      <c r="D614" s="7" t="s">
        <v>108</v>
      </c>
      <c r="E614" s="1" t="str">
        <f t="shared" si="303"/>
        <v>NIÑA</v>
      </c>
      <c r="F614" s="7">
        <v>2</v>
      </c>
      <c r="G614" s="7" t="s">
        <v>477</v>
      </c>
      <c r="H614" s="7" t="s">
        <v>149</v>
      </c>
      <c r="I614" s="7" t="s">
        <v>480</v>
      </c>
      <c r="J614" s="7">
        <v>610</v>
      </c>
      <c r="K614" s="7"/>
    </row>
    <row r="615" spans="1:11" x14ac:dyDescent="0.2">
      <c r="A615" s="7">
        <v>611</v>
      </c>
      <c r="B615" s="7">
        <v>36.200000000000003</v>
      </c>
      <c r="C615" s="1" t="str">
        <f t="shared" si="302"/>
        <v>CHELIS FARM 2</v>
      </c>
      <c r="D615" s="7" t="s">
        <v>108</v>
      </c>
      <c r="E615" s="1" t="str">
        <f t="shared" si="303"/>
        <v>NIÑA</v>
      </c>
      <c r="F615" s="7">
        <v>2</v>
      </c>
      <c r="G615" s="7" t="s">
        <v>477</v>
      </c>
      <c r="H615" s="7" t="s">
        <v>228</v>
      </c>
      <c r="I615" s="9" t="s">
        <v>482</v>
      </c>
      <c r="J615" s="9">
        <v>611</v>
      </c>
      <c r="K615" s="7"/>
    </row>
    <row r="616" spans="1:11" x14ac:dyDescent="0.2">
      <c r="A616" s="7">
        <v>612</v>
      </c>
      <c r="B616" s="7">
        <v>36.200000000000003</v>
      </c>
      <c r="C616" s="1" t="str">
        <f t="shared" si="302"/>
        <v>CHELIS FARM 2</v>
      </c>
      <c r="D616" s="7" t="s">
        <v>108</v>
      </c>
      <c r="E616" s="1" t="str">
        <f t="shared" si="303"/>
        <v>NIÑA</v>
      </c>
      <c r="F616" s="7">
        <v>2</v>
      </c>
      <c r="G616" s="7" t="s">
        <v>477</v>
      </c>
      <c r="H616" s="7" t="s">
        <v>490</v>
      </c>
      <c r="I616" s="9" t="s">
        <v>490</v>
      </c>
      <c r="J616" s="9">
        <v>612</v>
      </c>
      <c r="K616" s="7"/>
    </row>
    <row r="617" spans="1:11" x14ac:dyDescent="0.2">
      <c r="A617" s="7">
        <v>613</v>
      </c>
      <c r="B617" s="7">
        <v>37.1</v>
      </c>
      <c r="C617" s="1" t="str">
        <f t="shared" si="302"/>
        <v>EL AEROPUERTO 1</v>
      </c>
      <c r="D617" s="7" t="s">
        <v>108</v>
      </c>
      <c r="E617" s="1" t="str">
        <f t="shared" si="303"/>
        <v>VICTOR</v>
      </c>
      <c r="F617" s="7">
        <v>1</v>
      </c>
      <c r="G617" s="7" t="s">
        <v>476</v>
      </c>
      <c r="H617" s="7" t="s">
        <v>471</v>
      </c>
      <c r="I617" s="7" t="s">
        <v>471</v>
      </c>
      <c r="J617" s="7">
        <v>613</v>
      </c>
      <c r="K617" s="23"/>
    </row>
    <row r="618" spans="1:11" x14ac:dyDescent="0.2">
      <c r="A618" s="7">
        <v>614</v>
      </c>
      <c r="B618" s="7">
        <v>37.1</v>
      </c>
      <c r="C618" s="1" t="str">
        <f t="shared" ref="C618:C681" si="304">IF(B618=19,"HUGO NAVARRO 2",IF(B618=20,"HUGO NAVARRO 3",IF(B618=21.1,"LA ESTANCIA 1",IF(B618=21.2,"LA ESTANCIA 2",IF(B618=22,"DRISCOLLS",IF(B618=23,"GERARDO ALFARO 1",IF(B618=24,"GERARDO ALFARO 2",IF(B618=25,"JAVIER ZAVALA",IF(B618=26,"PARCELA 26",IF(B618=27,"PARCELA 27",IF(B618=28,"PARCELA 28",IF(B618=29,"VIVERO DE GUADALUPE",IF(B618=30,"FRANCISCO GARCIA RIVERA",IF(B618=31,"J REYES HERNANDEZ ZAVALA",IF(B618=32,"VIVERO PLANTA MADRE",IF(B618=33,"ALBERTO HAZA",IF(B618=34,"PARCELA 34",IF(B618=35.1,"EL MIRADOR 1",IF(B618=35.2,"EL MIRADOR 2",IF(B618=36.1,"CHELIS FARM 1",IF(B618=36.2,"CHELIS FARM 2",IF(B618=36.3,"CHELIS FARM 3",IF(B618=37.1,"EL AEROPUERTO 1",IF(B618=37.2,"EL AEROPUERTO 2",IF(B618=37.3,"EL AEROPUERTO 3",IF(B618=38.1,"PITUFO 1",IF(B618=38.2,"PITUFO 3",IF(B618=38.3,"PITUFO 2",IF(B618=39,"EL CUISILLO",IF(B618=40.1,"RANCHO AVENTURA 1"))))))))))))))))))))))))))))))</f>
        <v>EL AEROPUERTO 1</v>
      </c>
      <c r="D618" s="7" t="s">
        <v>108</v>
      </c>
      <c r="E618" s="1" t="str">
        <f t="shared" si="303"/>
        <v>VICTOR</v>
      </c>
      <c r="F618" s="7">
        <v>1</v>
      </c>
      <c r="G618" s="7" t="s">
        <v>476</v>
      </c>
      <c r="H618" s="7" t="s">
        <v>490</v>
      </c>
      <c r="I618" s="9" t="s">
        <v>490</v>
      </c>
      <c r="J618" s="9">
        <v>614</v>
      </c>
      <c r="K618" s="7"/>
    </row>
    <row r="619" spans="1:11" x14ac:dyDescent="0.2">
      <c r="A619" s="7">
        <v>615</v>
      </c>
      <c r="B619" s="7">
        <v>37.1</v>
      </c>
      <c r="C619" s="1" t="str">
        <f t="shared" si="304"/>
        <v>EL AEROPUERTO 1</v>
      </c>
      <c r="D619" s="7" t="s">
        <v>108</v>
      </c>
      <c r="E619" s="1" t="str">
        <f t="shared" si="303"/>
        <v>VICTOR</v>
      </c>
      <c r="F619" s="7">
        <v>1</v>
      </c>
      <c r="G619" s="7" t="s">
        <v>476</v>
      </c>
      <c r="H619" s="7" t="s">
        <v>155</v>
      </c>
      <c r="I619" s="7" t="s">
        <v>155</v>
      </c>
      <c r="J619" s="7">
        <v>615</v>
      </c>
      <c r="K619" s="23"/>
    </row>
    <row r="620" spans="1:11" x14ac:dyDescent="0.2">
      <c r="A620" s="7">
        <v>616</v>
      </c>
      <c r="B620" s="7">
        <v>37.1</v>
      </c>
      <c r="C620" s="1" t="str">
        <f t="shared" si="304"/>
        <v>EL AEROPUERTO 1</v>
      </c>
      <c r="D620" s="7" t="s">
        <v>108</v>
      </c>
      <c r="E620" s="1" t="str">
        <f t="shared" si="303"/>
        <v>VICTOR</v>
      </c>
      <c r="F620" s="7">
        <v>1</v>
      </c>
      <c r="G620" s="7" t="s">
        <v>476</v>
      </c>
      <c r="H620" s="7" t="s">
        <v>485</v>
      </c>
      <c r="I620" s="10" t="s">
        <v>485</v>
      </c>
      <c r="J620" s="10">
        <v>616</v>
      </c>
      <c r="K620" s="7"/>
    </row>
    <row r="621" spans="1:11" x14ac:dyDescent="0.2">
      <c r="A621" s="7">
        <v>617</v>
      </c>
      <c r="B621" s="7">
        <v>37.1</v>
      </c>
      <c r="C621" s="1" t="str">
        <f t="shared" si="304"/>
        <v>EL AEROPUERTO 1</v>
      </c>
      <c r="D621" s="7" t="s">
        <v>108</v>
      </c>
      <c r="E621" s="1" t="str">
        <f t="shared" si="303"/>
        <v>VICTOR</v>
      </c>
      <c r="F621" s="7">
        <v>1</v>
      </c>
      <c r="G621" s="7" t="s">
        <v>477</v>
      </c>
      <c r="H621" s="7" t="s">
        <v>473</v>
      </c>
      <c r="I621" s="26" t="s">
        <v>473</v>
      </c>
      <c r="J621" s="26">
        <v>617</v>
      </c>
      <c r="K621" s="7"/>
    </row>
    <row r="622" spans="1:11" x14ac:dyDescent="0.2">
      <c r="A622" s="7">
        <v>618</v>
      </c>
      <c r="B622" s="7">
        <v>37.1</v>
      </c>
      <c r="C622" s="1" t="str">
        <f t="shared" si="304"/>
        <v>EL AEROPUERTO 1</v>
      </c>
      <c r="D622" s="7" t="s">
        <v>108</v>
      </c>
      <c r="E622" s="1" t="str">
        <f t="shared" si="303"/>
        <v>VICTOR</v>
      </c>
      <c r="F622" s="7">
        <v>1</v>
      </c>
      <c r="G622" s="7" t="s">
        <v>477</v>
      </c>
      <c r="H622" s="7" t="s">
        <v>490</v>
      </c>
      <c r="I622" s="9" t="s">
        <v>490</v>
      </c>
      <c r="J622" s="9">
        <v>618</v>
      </c>
      <c r="K622" s="7"/>
    </row>
    <row r="623" spans="1:11" x14ac:dyDescent="0.2">
      <c r="A623" s="7">
        <v>619</v>
      </c>
      <c r="B623" s="7">
        <v>37.1</v>
      </c>
      <c r="C623" s="1" t="str">
        <f t="shared" si="304"/>
        <v>EL AEROPUERTO 1</v>
      </c>
      <c r="D623" s="7" t="s">
        <v>108</v>
      </c>
      <c r="E623" s="1" t="str">
        <f t="shared" si="303"/>
        <v>VICTOR</v>
      </c>
      <c r="F623" s="7">
        <v>1</v>
      </c>
      <c r="G623" s="7" t="s">
        <v>477</v>
      </c>
      <c r="H623" s="7" t="s">
        <v>475</v>
      </c>
      <c r="I623" s="9" t="s">
        <v>475</v>
      </c>
      <c r="J623" s="9">
        <v>619</v>
      </c>
      <c r="K623" s="7"/>
    </row>
    <row r="624" spans="1:11" x14ac:dyDescent="0.2">
      <c r="A624" s="7">
        <v>620</v>
      </c>
      <c r="B624" s="7">
        <v>37.1</v>
      </c>
      <c r="C624" s="1" t="str">
        <f t="shared" si="304"/>
        <v>EL AEROPUERTO 1</v>
      </c>
      <c r="D624" s="7" t="s">
        <v>108</v>
      </c>
      <c r="E624" s="1" t="str">
        <f t="shared" si="303"/>
        <v>VICTOR</v>
      </c>
      <c r="F624" s="7">
        <v>1</v>
      </c>
      <c r="G624" s="7" t="s">
        <v>477</v>
      </c>
      <c r="H624" s="7" t="s">
        <v>475</v>
      </c>
      <c r="I624" s="9" t="s">
        <v>475</v>
      </c>
      <c r="J624" s="9">
        <v>620</v>
      </c>
      <c r="K624" s="7"/>
    </row>
    <row r="625" spans="1:11" x14ac:dyDescent="0.2">
      <c r="A625" s="7">
        <v>621</v>
      </c>
      <c r="B625" s="7">
        <v>37.1</v>
      </c>
      <c r="C625" s="1" t="str">
        <f t="shared" si="304"/>
        <v>EL AEROPUERTO 1</v>
      </c>
      <c r="D625" s="7" t="s">
        <v>108</v>
      </c>
      <c r="E625" s="1" t="str">
        <f t="shared" si="303"/>
        <v>VICTOR</v>
      </c>
      <c r="F625" s="7">
        <v>1</v>
      </c>
      <c r="G625" s="7" t="s">
        <v>477</v>
      </c>
      <c r="H625" s="7" t="s">
        <v>149</v>
      </c>
      <c r="I625" s="7" t="s">
        <v>480</v>
      </c>
      <c r="J625" s="7">
        <v>621</v>
      </c>
      <c r="K625" s="23"/>
    </row>
    <row r="626" spans="1:11" x14ac:dyDescent="0.2">
      <c r="A626" s="7">
        <v>622</v>
      </c>
      <c r="B626" s="7">
        <v>37.1</v>
      </c>
      <c r="C626" s="1" t="str">
        <f t="shared" si="304"/>
        <v>EL AEROPUERTO 1</v>
      </c>
      <c r="D626" s="7" t="s">
        <v>108</v>
      </c>
      <c r="E626" s="1" t="str">
        <f t="shared" si="303"/>
        <v>VICTOR</v>
      </c>
      <c r="F626" s="7">
        <v>1</v>
      </c>
      <c r="G626" s="7" t="s">
        <v>477</v>
      </c>
      <c r="H626" s="7" t="s">
        <v>485</v>
      </c>
      <c r="I626" s="10" t="s">
        <v>485</v>
      </c>
      <c r="J626" s="10">
        <v>622</v>
      </c>
      <c r="K626" s="7"/>
    </row>
    <row r="627" spans="1:11" x14ac:dyDescent="0.2">
      <c r="A627" s="7">
        <v>623</v>
      </c>
      <c r="B627" s="7">
        <v>37.1</v>
      </c>
      <c r="C627" s="1" t="str">
        <f t="shared" si="304"/>
        <v>EL AEROPUERTO 1</v>
      </c>
      <c r="D627" s="7" t="s">
        <v>108</v>
      </c>
      <c r="E627" s="1" t="str">
        <f t="shared" si="303"/>
        <v>VICTOR</v>
      </c>
      <c r="F627" s="7">
        <v>2</v>
      </c>
      <c r="G627" s="7" t="s">
        <v>477</v>
      </c>
      <c r="H627" s="7" t="s">
        <v>485</v>
      </c>
      <c r="I627" s="10" t="s">
        <v>485</v>
      </c>
      <c r="J627" s="10">
        <v>623</v>
      </c>
      <c r="K627" s="7"/>
    </row>
    <row r="628" spans="1:11" x14ac:dyDescent="0.2">
      <c r="A628" s="7">
        <v>624</v>
      </c>
      <c r="B628" s="7">
        <v>37.1</v>
      </c>
      <c r="C628" s="1" t="str">
        <f t="shared" si="304"/>
        <v>EL AEROPUERTO 1</v>
      </c>
      <c r="D628" s="7" t="s">
        <v>108</v>
      </c>
      <c r="E628" s="1" t="str">
        <f t="shared" si="303"/>
        <v>VICTOR</v>
      </c>
      <c r="F628" s="7">
        <v>2</v>
      </c>
      <c r="G628" s="7" t="s">
        <v>477</v>
      </c>
      <c r="H628" s="7" t="s">
        <v>490</v>
      </c>
      <c r="I628" s="9" t="s">
        <v>490</v>
      </c>
      <c r="J628" s="9">
        <v>624</v>
      </c>
      <c r="K628" s="7"/>
    </row>
    <row r="629" spans="1:11" x14ac:dyDescent="0.2">
      <c r="A629" s="7">
        <v>625</v>
      </c>
      <c r="B629" s="7">
        <v>37.200000000000003</v>
      </c>
      <c r="C629" s="1" t="str">
        <f t="shared" si="304"/>
        <v>EL AEROPUERTO 2</v>
      </c>
      <c r="D629" s="7" t="s">
        <v>108</v>
      </c>
      <c r="E629" s="1" t="s">
        <v>115</v>
      </c>
      <c r="F629" s="7">
        <v>1</v>
      </c>
      <c r="G629" s="7" t="s">
        <v>476</v>
      </c>
      <c r="H629" s="7" t="s">
        <v>471</v>
      </c>
      <c r="I629" s="7" t="s">
        <v>471</v>
      </c>
      <c r="J629" s="7">
        <v>625</v>
      </c>
      <c r="K629" s="7"/>
    </row>
    <row r="630" spans="1:11" x14ac:dyDescent="0.2">
      <c r="A630" s="7">
        <v>626</v>
      </c>
      <c r="B630" s="7">
        <v>37.200000000000003</v>
      </c>
      <c r="C630" s="1" t="str">
        <f t="shared" si="304"/>
        <v>EL AEROPUERTO 2</v>
      </c>
      <c r="D630" s="7" t="s">
        <v>108</v>
      </c>
      <c r="E630" s="1" t="s">
        <v>115</v>
      </c>
      <c r="F630" s="7">
        <v>2</v>
      </c>
      <c r="G630" s="7" t="s">
        <v>476</v>
      </c>
      <c r="H630" s="7" t="s">
        <v>485</v>
      </c>
      <c r="I630" s="10" t="s">
        <v>485</v>
      </c>
      <c r="J630" s="10">
        <v>626</v>
      </c>
      <c r="K630" s="7"/>
    </row>
    <row r="631" spans="1:11" x14ac:dyDescent="0.2">
      <c r="A631" s="7">
        <v>627</v>
      </c>
      <c r="B631" s="7">
        <v>37.200000000000003</v>
      </c>
      <c r="C631" s="1" t="str">
        <f t="shared" si="304"/>
        <v>EL AEROPUERTO 2</v>
      </c>
      <c r="D631" s="7" t="s">
        <v>108</v>
      </c>
      <c r="E631" s="1" t="s">
        <v>115</v>
      </c>
      <c r="F631" s="7">
        <v>1</v>
      </c>
      <c r="G631" s="7" t="s">
        <v>477</v>
      </c>
      <c r="H631" s="7" t="s">
        <v>471</v>
      </c>
      <c r="I631" s="7" t="s">
        <v>471</v>
      </c>
      <c r="J631" s="7">
        <v>627</v>
      </c>
      <c r="K631" s="23" t="s">
        <v>638</v>
      </c>
    </row>
    <row r="632" spans="1:11" x14ac:dyDescent="0.2">
      <c r="A632" s="7">
        <v>628</v>
      </c>
      <c r="B632" s="7">
        <v>37.200000000000003</v>
      </c>
      <c r="C632" s="1" t="str">
        <f t="shared" si="304"/>
        <v>EL AEROPUERTO 2</v>
      </c>
      <c r="D632" s="7" t="s">
        <v>108</v>
      </c>
      <c r="E632" s="1" t="s">
        <v>115</v>
      </c>
      <c r="F632" s="7">
        <v>1</v>
      </c>
      <c r="G632" s="7" t="s">
        <v>477</v>
      </c>
      <c r="H632" s="7" t="s">
        <v>149</v>
      </c>
      <c r="I632" s="7" t="s">
        <v>480</v>
      </c>
      <c r="J632" s="7">
        <v>628</v>
      </c>
      <c r="K632" s="7"/>
    </row>
    <row r="633" spans="1:11" x14ac:dyDescent="0.2">
      <c r="A633" s="7">
        <v>629</v>
      </c>
      <c r="B633" s="7">
        <v>37.200000000000003</v>
      </c>
      <c r="C633" s="1" t="str">
        <f t="shared" si="304"/>
        <v>EL AEROPUERTO 2</v>
      </c>
      <c r="D633" s="7" t="s">
        <v>108</v>
      </c>
      <c r="E633" s="1" t="s">
        <v>115</v>
      </c>
      <c r="F633" s="7">
        <v>2</v>
      </c>
      <c r="G633" s="7" t="s">
        <v>477</v>
      </c>
      <c r="H633" s="7" t="s">
        <v>149</v>
      </c>
      <c r="I633" s="7" t="s">
        <v>480</v>
      </c>
      <c r="J633" s="7">
        <v>629</v>
      </c>
      <c r="K633" s="7"/>
    </row>
    <row r="634" spans="1:11" x14ac:dyDescent="0.2">
      <c r="A634" s="7">
        <v>630</v>
      </c>
      <c r="B634" s="7">
        <v>37.200000000000003</v>
      </c>
      <c r="C634" s="1" t="str">
        <f t="shared" si="304"/>
        <v>EL AEROPUERTO 2</v>
      </c>
      <c r="D634" s="7" t="s">
        <v>108</v>
      </c>
      <c r="E634" s="1" t="s">
        <v>115</v>
      </c>
      <c r="F634" s="7">
        <v>2</v>
      </c>
      <c r="G634" s="7" t="s">
        <v>477</v>
      </c>
      <c r="H634" s="7" t="s">
        <v>471</v>
      </c>
      <c r="I634" s="7" t="s">
        <v>471</v>
      </c>
      <c r="J634" s="7">
        <v>630</v>
      </c>
      <c r="K634" s="23" t="s">
        <v>638</v>
      </c>
    </row>
    <row r="635" spans="1:11" x14ac:dyDescent="0.2">
      <c r="A635" s="7">
        <v>722</v>
      </c>
      <c r="B635" s="7">
        <v>37.200000000000003</v>
      </c>
      <c r="C635" s="1" t="str">
        <f t="shared" si="304"/>
        <v>EL AEROPUERTO 2</v>
      </c>
      <c r="D635" s="7" t="s">
        <v>108</v>
      </c>
      <c r="E635" s="1" t="s">
        <v>115</v>
      </c>
      <c r="F635" s="7">
        <v>1</v>
      </c>
      <c r="G635" s="7" t="s">
        <v>477</v>
      </c>
      <c r="H635" s="7" t="s">
        <v>473</v>
      </c>
      <c r="I635" s="26" t="s">
        <v>473</v>
      </c>
      <c r="J635" s="26">
        <v>722</v>
      </c>
      <c r="K635" s="7"/>
    </row>
    <row r="636" spans="1:11" x14ac:dyDescent="0.2">
      <c r="A636" s="7">
        <v>723</v>
      </c>
      <c r="B636" s="7">
        <v>37.200000000000003</v>
      </c>
      <c r="C636" s="1" t="str">
        <f t="shared" si="304"/>
        <v>EL AEROPUERTO 2</v>
      </c>
      <c r="D636" s="7" t="s">
        <v>108</v>
      </c>
      <c r="E636" s="1" t="s">
        <v>115</v>
      </c>
      <c r="F636" s="7">
        <v>2</v>
      </c>
      <c r="G636" s="7" t="s">
        <v>477</v>
      </c>
      <c r="H636" s="7" t="s">
        <v>471</v>
      </c>
      <c r="I636" s="7" t="s">
        <v>471</v>
      </c>
      <c r="J636" s="7">
        <v>723</v>
      </c>
      <c r="K636" s="23"/>
    </row>
    <row r="637" spans="1:11" x14ac:dyDescent="0.2">
      <c r="A637" s="7">
        <v>631</v>
      </c>
      <c r="B637" s="7">
        <v>37.299999999999997</v>
      </c>
      <c r="C637" s="1" t="str">
        <f t="shared" si="304"/>
        <v>EL AEROPUERTO 3</v>
      </c>
      <c r="D637" s="7" t="s">
        <v>108</v>
      </c>
      <c r="E637" s="1" t="s">
        <v>115</v>
      </c>
      <c r="F637" s="7">
        <v>1</v>
      </c>
      <c r="G637" s="7" t="s">
        <v>476</v>
      </c>
      <c r="H637" s="7" t="s">
        <v>149</v>
      </c>
      <c r="I637" s="7" t="s">
        <v>480</v>
      </c>
      <c r="J637" s="7">
        <v>631</v>
      </c>
      <c r="K637" s="7"/>
    </row>
    <row r="638" spans="1:11" x14ac:dyDescent="0.2">
      <c r="A638" s="7">
        <v>632</v>
      </c>
      <c r="B638" s="7">
        <v>37.299999999999997</v>
      </c>
      <c r="C638" s="1" t="str">
        <f t="shared" si="304"/>
        <v>EL AEROPUERTO 3</v>
      </c>
      <c r="D638" s="7" t="s">
        <v>108</v>
      </c>
      <c r="E638" s="1" t="s">
        <v>115</v>
      </c>
      <c r="F638" s="7">
        <v>1</v>
      </c>
      <c r="G638" s="7" t="s">
        <v>476</v>
      </c>
      <c r="H638" s="7" t="s">
        <v>155</v>
      </c>
      <c r="I638" s="7" t="s">
        <v>155</v>
      </c>
      <c r="J638" s="7">
        <v>632</v>
      </c>
      <c r="K638" s="7"/>
    </row>
    <row r="639" spans="1:11" x14ac:dyDescent="0.2">
      <c r="A639" s="7">
        <v>633</v>
      </c>
      <c r="B639" s="7">
        <v>37.299999999999997</v>
      </c>
      <c r="C639" s="1" t="str">
        <f t="shared" si="304"/>
        <v>EL AEROPUERTO 3</v>
      </c>
      <c r="D639" s="7" t="s">
        <v>108</v>
      </c>
      <c r="E639" s="1" t="s">
        <v>115</v>
      </c>
      <c r="F639" s="7">
        <v>1</v>
      </c>
      <c r="G639" s="7" t="s">
        <v>476</v>
      </c>
      <c r="H639" s="7" t="s">
        <v>471</v>
      </c>
      <c r="I639" s="7" t="s">
        <v>471</v>
      </c>
      <c r="J639" s="7">
        <v>633</v>
      </c>
      <c r="K639" s="7"/>
    </row>
    <row r="640" spans="1:11" x14ac:dyDescent="0.2">
      <c r="A640" s="7">
        <v>634</v>
      </c>
      <c r="B640" s="7">
        <v>37.299999999999997</v>
      </c>
      <c r="C640" s="1" t="str">
        <f t="shared" si="304"/>
        <v>EL AEROPUERTO 3</v>
      </c>
      <c r="D640" s="7" t="s">
        <v>108</v>
      </c>
      <c r="E640" s="1" t="s">
        <v>115</v>
      </c>
      <c r="F640" s="7">
        <v>1</v>
      </c>
      <c r="G640" s="7" t="s">
        <v>477</v>
      </c>
      <c r="H640" s="7" t="s">
        <v>155</v>
      </c>
      <c r="I640" s="7" t="s">
        <v>155</v>
      </c>
      <c r="J640" s="7">
        <v>634</v>
      </c>
      <c r="K640" s="23" t="s">
        <v>638</v>
      </c>
    </row>
    <row r="641" spans="1:11" x14ac:dyDescent="0.2">
      <c r="A641" s="7">
        <v>635</v>
      </c>
      <c r="B641" s="7">
        <v>37.299999999999997</v>
      </c>
      <c r="C641" s="1" t="str">
        <f t="shared" si="304"/>
        <v>EL AEROPUERTO 3</v>
      </c>
      <c r="D641" s="7" t="s">
        <v>108</v>
      </c>
      <c r="E641" s="1" t="s">
        <v>115</v>
      </c>
      <c r="F641" s="7">
        <v>1</v>
      </c>
      <c r="G641" s="7" t="s">
        <v>477</v>
      </c>
      <c r="H641" s="7" t="s">
        <v>155</v>
      </c>
      <c r="I641" s="7" t="s">
        <v>155</v>
      </c>
      <c r="J641" s="7">
        <v>635</v>
      </c>
      <c r="K641" s="7"/>
    </row>
    <row r="642" spans="1:11" x14ac:dyDescent="0.2">
      <c r="A642" s="7">
        <v>636</v>
      </c>
      <c r="B642" s="7">
        <v>37.299999999999997</v>
      </c>
      <c r="C642" s="1" t="str">
        <f t="shared" si="304"/>
        <v>EL AEROPUERTO 3</v>
      </c>
      <c r="D642" s="7" t="s">
        <v>108</v>
      </c>
      <c r="E642" s="1" t="s">
        <v>115</v>
      </c>
      <c r="F642" s="7">
        <v>2</v>
      </c>
      <c r="G642" s="7" t="s">
        <v>476</v>
      </c>
      <c r="H642" s="7" t="s">
        <v>149</v>
      </c>
      <c r="I642" s="7" t="s">
        <v>480</v>
      </c>
      <c r="J642" s="7">
        <v>636</v>
      </c>
      <c r="K642" s="7"/>
    </row>
    <row r="643" spans="1:11" x14ac:dyDescent="0.2">
      <c r="A643" s="7">
        <v>637</v>
      </c>
      <c r="B643" s="7">
        <v>37.299999999999997</v>
      </c>
      <c r="C643" s="1" t="str">
        <f t="shared" si="304"/>
        <v>EL AEROPUERTO 3</v>
      </c>
      <c r="D643" s="7" t="s">
        <v>108</v>
      </c>
      <c r="E643" s="1" t="s">
        <v>115</v>
      </c>
      <c r="F643" s="7">
        <v>2</v>
      </c>
      <c r="G643" s="7" t="s">
        <v>477</v>
      </c>
      <c r="H643" s="7" t="s">
        <v>149</v>
      </c>
      <c r="I643" s="7" t="s">
        <v>478</v>
      </c>
      <c r="J643" s="7">
        <v>637</v>
      </c>
      <c r="K643" s="7"/>
    </row>
    <row r="644" spans="1:11" x14ac:dyDescent="0.2">
      <c r="A644" s="7">
        <v>638</v>
      </c>
      <c r="B644" s="7">
        <v>37.299999999999997</v>
      </c>
      <c r="C644" s="1" t="str">
        <f t="shared" si="304"/>
        <v>EL AEROPUERTO 3</v>
      </c>
      <c r="D644" s="7" t="s">
        <v>108</v>
      </c>
      <c r="E644" s="1" t="s">
        <v>115</v>
      </c>
      <c r="F644" s="7">
        <v>2</v>
      </c>
      <c r="G644" s="7" t="s">
        <v>477</v>
      </c>
      <c r="H644" s="7" t="s">
        <v>155</v>
      </c>
      <c r="I644" s="7" t="s">
        <v>155</v>
      </c>
      <c r="J644" s="7">
        <v>638</v>
      </c>
      <c r="K644" s="7"/>
    </row>
    <row r="645" spans="1:11" x14ac:dyDescent="0.2">
      <c r="A645" s="7">
        <v>639</v>
      </c>
      <c r="B645" s="7">
        <v>37.299999999999997</v>
      </c>
      <c r="C645" s="1" t="str">
        <f t="shared" si="304"/>
        <v>EL AEROPUERTO 3</v>
      </c>
      <c r="D645" s="7" t="s">
        <v>108</v>
      </c>
      <c r="E645" s="1" t="s">
        <v>115</v>
      </c>
      <c r="F645" s="7">
        <v>2</v>
      </c>
      <c r="G645" s="7" t="s">
        <v>477</v>
      </c>
      <c r="H645" s="7" t="s">
        <v>155</v>
      </c>
      <c r="I645" s="7" t="s">
        <v>155</v>
      </c>
      <c r="J645" s="7">
        <v>639</v>
      </c>
      <c r="K645" s="7"/>
    </row>
    <row r="646" spans="1:11" x14ac:dyDescent="0.2">
      <c r="A646" s="7">
        <v>724</v>
      </c>
      <c r="B646" s="7">
        <v>37.299999999999997</v>
      </c>
      <c r="C646" s="1" t="str">
        <f t="shared" si="304"/>
        <v>EL AEROPUERTO 3</v>
      </c>
      <c r="D646" s="7" t="s">
        <v>108</v>
      </c>
      <c r="E646" s="1" t="s">
        <v>115</v>
      </c>
      <c r="F646" s="7">
        <v>1</v>
      </c>
      <c r="G646" s="7" t="s">
        <v>477</v>
      </c>
      <c r="H646" s="7" t="s">
        <v>485</v>
      </c>
      <c r="I646" s="10" t="s">
        <v>485</v>
      </c>
      <c r="J646" s="10">
        <v>724</v>
      </c>
      <c r="K646" s="7"/>
    </row>
    <row r="647" spans="1:11" x14ac:dyDescent="0.2">
      <c r="A647" s="7">
        <v>728</v>
      </c>
      <c r="B647" s="7">
        <v>37.299999999999997</v>
      </c>
      <c r="C647" s="1" t="str">
        <f t="shared" si="304"/>
        <v>EL AEROPUERTO 3</v>
      </c>
      <c r="D647" s="7" t="s">
        <v>108</v>
      </c>
      <c r="E647" s="1" t="s">
        <v>115</v>
      </c>
      <c r="F647" s="7">
        <v>2</v>
      </c>
      <c r="G647" s="7" t="s">
        <v>477</v>
      </c>
      <c r="H647" s="7" t="s">
        <v>149</v>
      </c>
      <c r="I647" s="7" t="s">
        <v>480</v>
      </c>
      <c r="J647" s="7">
        <v>728</v>
      </c>
      <c r="K647" s="23"/>
    </row>
    <row r="648" spans="1:11" x14ac:dyDescent="0.2">
      <c r="A648" s="7">
        <v>729</v>
      </c>
      <c r="B648" s="7">
        <v>37.299999999999997</v>
      </c>
      <c r="C648" s="1" t="str">
        <f t="shared" si="304"/>
        <v>EL AEROPUERTO 3</v>
      </c>
      <c r="D648" s="7" t="s">
        <v>108</v>
      </c>
      <c r="E648" s="1" t="s">
        <v>115</v>
      </c>
      <c r="F648" s="7">
        <v>2</v>
      </c>
      <c r="G648" s="7" t="s">
        <v>477</v>
      </c>
      <c r="H648" s="7" t="s">
        <v>149</v>
      </c>
      <c r="I648" s="7" t="s">
        <v>480</v>
      </c>
      <c r="J648" s="7">
        <v>729</v>
      </c>
      <c r="K648" s="7"/>
    </row>
    <row r="649" spans="1:11" x14ac:dyDescent="0.2">
      <c r="A649" s="7">
        <v>640</v>
      </c>
      <c r="B649" s="7">
        <v>38.1</v>
      </c>
      <c r="C649" s="1" t="str">
        <f t="shared" si="304"/>
        <v>PITUFO 1</v>
      </c>
      <c r="D649" s="7" t="s">
        <v>108</v>
      </c>
      <c r="E649" s="1" t="str">
        <f t="shared" ref="E649:E665" si="305">IF(B649=20,"NO DOCUMENTADO",IF(B649=21.1,"CAMINO",IF(B649=21.2,"VICTOR",IF(B649=22,"VERONICA",IF(B649=23,"SANTA MARIA",IF(B649=24,"FORTUNA",IF(B649=25,"CAMINO REAL",IF(B649=26,"ALBION",IF(B649=27,"CAMINO REAL",IF(B649=28,"SAN ANDREAS",IF(B649=29,"MONTERREY",IF(B649=30,"CAMINO REAL",IF(B649=31,"CAMINO REAL",IF(B649=32,"CABRILLO",IF(B649=33,"CAMINO REAL",IF(B649=34,"CAMINO REAL",IF(B649=35.1,"CAMINO",IF(B649=35.2,"FRONTERA",IF(B649=36.1,"SANTA MARIA",IF(B649=36.2,"NIÑA",IF(B649=36.3,"CODIGO",IF(B649=37.1,"VICTOR",IF(B649=37.2,"CODIGO 1",IF(B649=37.3,"CODIGO 2",IF(B649=38.1,"SAYULA",IF(B649=38.2,"FRONTERA",IF(B649=38.3,"VICTOR",IF(B649=39,"CODIGO",IF(B649=40.1,"CAMINO")))))))))))))))))))))))))))))</f>
        <v>SAYULA</v>
      </c>
      <c r="F649" s="7">
        <v>1</v>
      </c>
      <c r="G649" s="7" t="s">
        <v>476</v>
      </c>
      <c r="H649" s="7" t="s">
        <v>149</v>
      </c>
      <c r="I649" s="7" t="s">
        <v>480</v>
      </c>
      <c r="J649" s="7">
        <v>640</v>
      </c>
      <c r="K649" s="7"/>
    </row>
    <row r="650" spans="1:11" x14ac:dyDescent="0.2">
      <c r="A650" s="7">
        <v>641</v>
      </c>
      <c r="B650" s="7">
        <v>38.1</v>
      </c>
      <c r="C650" s="1" t="str">
        <f t="shared" si="304"/>
        <v>PITUFO 1</v>
      </c>
      <c r="D650" s="7" t="s">
        <v>108</v>
      </c>
      <c r="E650" s="1" t="str">
        <f t="shared" si="305"/>
        <v>SAYULA</v>
      </c>
      <c r="F650" s="13">
        <v>1</v>
      </c>
      <c r="G650" s="13" t="s">
        <v>476</v>
      </c>
      <c r="H650" s="7" t="s">
        <v>149</v>
      </c>
      <c r="I650" s="13" t="s">
        <v>480</v>
      </c>
      <c r="J650" s="13">
        <v>641</v>
      </c>
      <c r="K650" s="23" t="s">
        <v>638</v>
      </c>
    </row>
    <row r="651" spans="1:11" x14ac:dyDescent="0.2">
      <c r="A651" s="7">
        <v>642</v>
      </c>
      <c r="B651" s="7">
        <v>38.1</v>
      </c>
      <c r="C651" s="1" t="str">
        <f t="shared" si="304"/>
        <v>PITUFO 1</v>
      </c>
      <c r="D651" s="7" t="s">
        <v>108</v>
      </c>
      <c r="E651" s="1" t="str">
        <f t="shared" si="305"/>
        <v>SAYULA</v>
      </c>
      <c r="F651" s="13">
        <v>1</v>
      </c>
      <c r="G651" s="13" t="s">
        <v>476</v>
      </c>
      <c r="H651" s="7" t="s">
        <v>155</v>
      </c>
      <c r="I651" s="13" t="s">
        <v>155</v>
      </c>
      <c r="J651" s="13">
        <v>642</v>
      </c>
      <c r="K651" s="23" t="s">
        <v>638</v>
      </c>
    </row>
    <row r="652" spans="1:11" x14ac:dyDescent="0.2">
      <c r="A652" s="7">
        <v>725</v>
      </c>
      <c r="B652" s="7">
        <v>38.1</v>
      </c>
      <c r="C652" s="1" t="str">
        <f t="shared" si="304"/>
        <v>PITUFO 1</v>
      </c>
      <c r="D652" s="7" t="s">
        <v>108</v>
      </c>
      <c r="E652" s="1" t="str">
        <f t="shared" si="305"/>
        <v>SAYULA</v>
      </c>
      <c r="F652" s="13">
        <v>1</v>
      </c>
      <c r="G652" s="13" t="s">
        <v>477</v>
      </c>
      <c r="H652" s="7" t="s">
        <v>471</v>
      </c>
      <c r="I652" s="13" t="s">
        <v>471</v>
      </c>
      <c r="J652" s="13">
        <v>725</v>
      </c>
      <c r="K652" s="23"/>
    </row>
    <row r="653" spans="1:11" x14ac:dyDescent="0.2">
      <c r="A653" s="7">
        <v>643</v>
      </c>
      <c r="B653" s="7">
        <v>38.200000000000003</v>
      </c>
      <c r="C653" s="1" t="str">
        <f t="shared" si="304"/>
        <v>PITUFO 3</v>
      </c>
      <c r="D653" s="7" t="s">
        <v>108</v>
      </c>
      <c r="E653" s="1" t="str">
        <f t="shared" si="305"/>
        <v>FRONTERA</v>
      </c>
      <c r="F653" s="13">
        <v>1</v>
      </c>
      <c r="G653" s="13" t="s">
        <v>476</v>
      </c>
      <c r="H653" s="7" t="s">
        <v>149</v>
      </c>
      <c r="I653" s="13" t="s">
        <v>480</v>
      </c>
      <c r="J653" s="13">
        <v>643</v>
      </c>
      <c r="K653" s="7"/>
    </row>
    <row r="654" spans="1:11" x14ac:dyDescent="0.2">
      <c r="A654" s="7">
        <v>644</v>
      </c>
      <c r="B654" s="7">
        <v>38.200000000000003</v>
      </c>
      <c r="C654" s="1" t="str">
        <f t="shared" si="304"/>
        <v>PITUFO 3</v>
      </c>
      <c r="D654" s="7" t="s">
        <v>108</v>
      </c>
      <c r="E654" s="1" t="str">
        <f t="shared" si="305"/>
        <v>FRONTERA</v>
      </c>
      <c r="F654" s="13">
        <v>1</v>
      </c>
      <c r="G654" s="13" t="s">
        <v>476</v>
      </c>
      <c r="H654" s="7" t="s">
        <v>485</v>
      </c>
      <c r="I654" s="14" t="s">
        <v>485</v>
      </c>
      <c r="J654" s="14">
        <v>644</v>
      </c>
      <c r="K654" s="7"/>
    </row>
    <row r="655" spans="1:11" x14ac:dyDescent="0.2">
      <c r="A655" s="7">
        <v>645</v>
      </c>
      <c r="B655" s="7">
        <v>38.200000000000003</v>
      </c>
      <c r="C655" s="1" t="str">
        <f t="shared" si="304"/>
        <v>PITUFO 3</v>
      </c>
      <c r="D655" s="7" t="s">
        <v>108</v>
      </c>
      <c r="E655" s="1" t="str">
        <f t="shared" si="305"/>
        <v>FRONTERA</v>
      </c>
      <c r="F655" s="13">
        <v>2</v>
      </c>
      <c r="G655" s="13" t="s">
        <v>476</v>
      </c>
      <c r="H655" s="7" t="s">
        <v>155</v>
      </c>
      <c r="I655" s="13" t="s">
        <v>155</v>
      </c>
      <c r="J655" s="13">
        <v>645</v>
      </c>
      <c r="K655" s="7"/>
    </row>
    <row r="656" spans="1:11" x14ac:dyDescent="0.2">
      <c r="A656" s="7">
        <v>646</v>
      </c>
      <c r="B656" s="7">
        <v>38.200000000000003</v>
      </c>
      <c r="C656" s="1" t="str">
        <f t="shared" si="304"/>
        <v>PITUFO 3</v>
      </c>
      <c r="D656" s="7" t="s">
        <v>108</v>
      </c>
      <c r="E656" s="1" t="str">
        <f t="shared" si="305"/>
        <v>FRONTERA</v>
      </c>
      <c r="F656" s="13">
        <v>2</v>
      </c>
      <c r="G656" s="13" t="s">
        <v>476</v>
      </c>
      <c r="H656" s="7" t="s">
        <v>155</v>
      </c>
      <c r="I656" s="13" t="s">
        <v>155</v>
      </c>
      <c r="J656" s="13">
        <v>646</v>
      </c>
      <c r="K656" s="23" t="s">
        <v>638</v>
      </c>
    </row>
    <row r="657" spans="1:11" x14ac:dyDescent="0.2">
      <c r="A657" s="7">
        <v>647</v>
      </c>
      <c r="B657" s="7">
        <v>38.200000000000003</v>
      </c>
      <c r="C657" s="1" t="str">
        <f t="shared" si="304"/>
        <v>PITUFO 3</v>
      </c>
      <c r="D657" s="7" t="s">
        <v>108</v>
      </c>
      <c r="E657" s="1" t="str">
        <f t="shared" si="305"/>
        <v>FRONTERA</v>
      </c>
      <c r="F657" s="7">
        <v>2</v>
      </c>
      <c r="G657" s="7" t="s">
        <v>476</v>
      </c>
      <c r="H657" s="7" t="s">
        <v>155</v>
      </c>
      <c r="I657" s="7" t="s">
        <v>155</v>
      </c>
      <c r="J657" s="7">
        <v>647</v>
      </c>
      <c r="K657" s="7"/>
    </row>
    <row r="658" spans="1:11" x14ac:dyDescent="0.2">
      <c r="A658" s="7">
        <v>648</v>
      </c>
      <c r="B658" s="7">
        <v>38.200000000000003</v>
      </c>
      <c r="C658" s="1" t="str">
        <f t="shared" si="304"/>
        <v>PITUFO 3</v>
      </c>
      <c r="D658" s="7" t="s">
        <v>108</v>
      </c>
      <c r="E658" s="1" t="str">
        <f t="shared" si="305"/>
        <v>FRONTERA</v>
      </c>
      <c r="F658" s="7">
        <v>1</v>
      </c>
      <c r="G658" s="7" t="s">
        <v>477</v>
      </c>
      <c r="H658" s="7" t="s">
        <v>149</v>
      </c>
      <c r="I658" s="7" t="s">
        <v>480</v>
      </c>
      <c r="J658" s="7">
        <v>648</v>
      </c>
      <c r="K658" s="7"/>
    </row>
    <row r="659" spans="1:11" x14ac:dyDescent="0.2">
      <c r="A659" s="7">
        <v>649</v>
      </c>
      <c r="B659" s="7">
        <v>38.200000000000003</v>
      </c>
      <c r="C659" s="1" t="str">
        <f t="shared" si="304"/>
        <v>PITUFO 3</v>
      </c>
      <c r="D659" s="7" t="s">
        <v>108</v>
      </c>
      <c r="E659" s="1" t="str">
        <f t="shared" si="305"/>
        <v>FRONTERA</v>
      </c>
      <c r="F659" s="7">
        <v>1</v>
      </c>
      <c r="G659" s="7" t="s">
        <v>477</v>
      </c>
      <c r="H659" s="7" t="s">
        <v>490</v>
      </c>
      <c r="I659" s="9" t="s">
        <v>490</v>
      </c>
      <c r="J659" s="9">
        <v>649</v>
      </c>
      <c r="K659" s="7"/>
    </row>
    <row r="660" spans="1:11" x14ac:dyDescent="0.2">
      <c r="A660" s="7">
        <v>650</v>
      </c>
      <c r="B660" s="7">
        <v>38.200000000000003</v>
      </c>
      <c r="C660" s="1" t="str">
        <f t="shared" si="304"/>
        <v>PITUFO 3</v>
      </c>
      <c r="D660" s="7" t="s">
        <v>108</v>
      </c>
      <c r="E660" s="1" t="str">
        <f t="shared" si="305"/>
        <v>FRONTERA</v>
      </c>
      <c r="F660" s="7">
        <v>1</v>
      </c>
      <c r="G660" s="7" t="s">
        <v>477</v>
      </c>
      <c r="H660" s="7" t="s">
        <v>475</v>
      </c>
      <c r="I660" s="9" t="s">
        <v>475</v>
      </c>
      <c r="J660" s="9">
        <v>650</v>
      </c>
      <c r="K660" s="7"/>
    </row>
    <row r="661" spans="1:11" x14ac:dyDescent="0.2">
      <c r="A661" s="7">
        <v>651</v>
      </c>
      <c r="B661" s="7">
        <v>38.200000000000003</v>
      </c>
      <c r="C661" s="1" t="str">
        <f t="shared" si="304"/>
        <v>PITUFO 3</v>
      </c>
      <c r="D661" s="7" t="s">
        <v>108</v>
      </c>
      <c r="E661" s="1" t="str">
        <f t="shared" si="305"/>
        <v>FRONTERA</v>
      </c>
      <c r="F661" s="7">
        <v>2</v>
      </c>
      <c r="G661" s="7" t="s">
        <v>477</v>
      </c>
      <c r="H661" s="7" t="s">
        <v>155</v>
      </c>
      <c r="I661" s="7" t="s">
        <v>155</v>
      </c>
      <c r="J661" s="7">
        <v>651</v>
      </c>
      <c r="K661" s="7"/>
    </row>
    <row r="662" spans="1:11" x14ac:dyDescent="0.2">
      <c r="A662" s="7">
        <v>652</v>
      </c>
      <c r="B662" s="7">
        <v>38.200000000000003</v>
      </c>
      <c r="C662" s="1" t="str">
        <f t="shared" si="304"/>
        <v>PITUFO 3</v>
      </c>
      <c r="D662" s="7" t="s">
        <v>108</v>
      </c>
      <c r="E662" s="1" t="str">
        <f t="shared" si="305"/>
        <v>FRONTERA</v>
      </c>
      <c r="F662" s="7">
        <v>2</v>
      </c>
      <c r="G662" s="7" t="s">
        <v>477</v>
      </c>
      <c r="H662" s="7" t="s">
        <v>155</v>
      </c>
      <c r="I662" s="7" t="s">
        <v>155</v>
      </c>
      <c r="J662" s="7">
        <v>652</v>
      </c>
      <c r="K662" s="7"/>
    </row>
    <row r="663" spans="1:11" x14ac:dyDescent="0.2">
      <c r="A663" s="7">
        <v>653</v>
      </c>
      <c r="B663" s="7">
        <v>38.200000000000003</v>
      </c>
      <c r="C663" s="1" t="str">
        <f t="shared" si="304"/>
        <v>PITUFO 3</v>
      </c>
      <c r="D663" s="7" t="s">
        <v>108</v>
      </c>
      <c r="E663" s="1" t="str">
        <f t="shared" si="305"/>
        <v>FRONTERA</v>
      </c>
      <c r="F663" s="7">
        <v>2</v>
      </c>
      <c r="G663" s="7" t="s">
        <v>477</v>
      </c>
      <c r="H663" s="7" t="s">
        <v>475</v>
      </c>
      <c r="I663" s="9" t="s">
        <v>475</v>
      </c>
      <c r="J663" s="9">
        <v>653</v>
      </c>
      <c r="K663" s="7"/>
    </row>
    <row r="664" spans="1:11" x14ac:dyDescent="0.2">
      <c r="A664" s="7">
        <v>726</v>
      </c>
      <c r="B664" s="7">
        <v>38.200000000000003</v>
      </c>
      <c r="C664" s="1" t="str">
        <f t="shared" si="304"/>
        <v>PITUFO 3</v>
      </c>
      <c r="D664" s="7" t="s">
        <v>108</v>
      </c>
      <c r="E664" s="1" t="str">
        <f t="shared" si="305"/>
        <v>FRONTERA</v>
      </c>
      <c r="F664" s="7">
        <v>1</v>
      </c>
      <c r="G664" s="7" t="s">
        <v>477</v>
      </c>
      <c r="H664" s="7" t="s">
        <v>471</v>
      </c>
      <c r="I664" s="7" t="s">
        <v>471</v>
      </c>
      <c r="J664" s="7">
        <v>726</v>
      </c>
      <c r="K664" s="7"/>
    </row>
    <row r="665" spans="1:11" x14ac:dyDescent="0.2">
      <c r="A665" s="7">
        <v>727</v>
      </c>
      <c r="B665" s="7">
        <v>38.200000000000003</v>
      </c>
      <c r="C665" s="1" t="str">
        <f t="shared" si="304"/>
        <v>PITUFO 3</v>
      </c>
      <c r="D665" s="7" t="s">
        <v>108</v>
      </c>
      <c r="E665" s="1" t="str">
        <f t="shared" si="305"/>
        <v>FRONTERA</v>
      </c>
      <c r="F665" s="7">
        <v>2</v>
      </c>
      <c r="G665" s="7" t="s">
        <v>477</v>
      </c>
      <c r="H665" s="7" t="s">
        <v>490</v>
      </c>
      <c r="I665" s="9" t="s">
        <v>490</v>
      </c>
      <c r="J665" s="9">
        <v>727</v>
      </c>
      <c r="K665" s="7"/>
    </row>
    <row r="666" spans="1:11" x14ac:dyDescent="0.2">
      <c r="A666" s="7">
        <v>654</v>
      </c>
      <c r="B666" s="7">
        <v>39</v>
      </c>
      <c r="C666" s="1" t="str">
        <f t="shared" si="304"/>
        <v>EL CUISILLO</v>
      </c>
      <c r="D666" s="7" t="s">
        <v>108</v>
      </c>
      <c r="E666" s="1" t="s">
        <v>115</v>
      </c>
      <c r="F666" s="7">
        <v>1</v>
      </c>
      <c r="G666" s="7" t="s">
        <v>476</v>
      </c>
      <c r="H666" s="7" t="s">
        <v>155</v>
      </c>
      <c r="I666" s="7" t="s">
        <v>155</v>
      </c>
      <c r="J666" s="7">
        <v>654</v>
      </c>
      <c r="K666" s="7"/>
    </row>
    <row r="667" spans="1:11" x14ac:dyDescent="0.2">
      <c r="A667" s="7">
        <v>655</v>
      </c>
      <c r="B667" s="7">
        <v>39</v>
      </c>
      <c r="C667" s="1" t="str">
        <f t="shared" si="304"/>
        <v>EL CUISILLO</v>
      </c>
      <c r="D667" s="7" t="s">
        <v>108</v>
      </c>
      <c r="E667" s="1" t="s">
        <v>115</v>
      </c>
      <c r="F667" s="7">
        <v>2</v>
      </c>
      <c r="G667" s="7" t="s">
        <v>476</v>
      </c>
      <c r="H667" s="7" t="s">
        <v>155</v>
      </c>
      <c r="I667" s="7" t="s">
        <v>155</v>
      </c>
      <c r="J667" s="7">
        <v>655</v>
      </c>
      <c r="K667" s="23"/>
    </row>
    <row r="668" spans="1:11" x14ac:dyDescent="0.2">
      <c r="A668" s="7">
        <v>656</v>
      </c>
      <c r="B668" s="7">
        <v>39</v>
      </c>
      <c r="C668" s="1" t="str">
        <f t="shared" si="304"/>
        <v>EL CUISILLO</v>
      </c>
      <c r="D668" s="7" t="s">
        <v>108</v>
      </c>
      <c r="E668" s="1" t="s">
        <v>115</v>
      </c>
      <c r="F668" s="7">
        <v>2</v>
      </c>
      <c r="G668" s="7" t="s">
        <v>476</v>
      </c>
      <c r="H668" s="7" t="s">
        <v>149</v>
      </c>
      <c r="I668" s="7" t="s">
        <v>480</v>
      </c>
      <c r="J668" s="7">
        <v>656</v>
      </c>
      <c r="K668" s="23"/>
    </row>
    <row r="669" spans="1:11" x14ac:dyDescent="0.2">
      <c r="A669" s="7">
        <v>657</v>
      </c>
      <c r="B669" s="7">
        <v>39</v>
      </c>
      <c r="C669" s="1" t="str">
        <f t="shared" si="304"/>
        <v>EL CUISILLO</v>
      </c>
      <c r="D669" s="7" t="s">
        <v>108</v>
      </c>
      <c r="E669" s="1" t="s">
        <v>115</v>
      </c>
      <c r="F669" s="7">
        <v>2</v>
      </c>
      <c r="G669" s="7" t="s">
        <v>476</v>
      </c>
      <c r="H669" s="7" t="s">
        <v>155</v>
      </c>
      <c r="I669" s="7" t="s">
        <v>155</v>
      </c>
      <c r="J669" s="7">
        <v>657</v>
      </c>
      <c r="K669" s="7"/>
    </row>
    <row r="670" spans="1:11" x14ac:dyDescent="0.2">
      <c r="A670" s="7">
        <v>658</v>
      </c>
      <c r="B670" s="7">
        <v>39</v>
      </c>
      <c r="C670" s="1" t="str">
        <f t="shared" si="304"/>
        <v>EL CUISILLO</v>
      </c>
      <c r="D670" s="7" t="s">
        <v>108</v>
      </c>
      <c r="E670" s="1" t="s">
        <v>115</v>
      </c>
      <c r="F670" s="7">
        <v>1</v>
      </c>
      <c r="G670" s="7" t="s">
        <v>477</v>
      </c>
      <c r="H670" s="7" t="s">
        <v>473</v>
      </c>
      <c r="I670" s="26" t="s">
        <v>473</v>
      </c>
      <c r="J670" s="26">
        <v>658</v>
      </c>
      <c r="K670" s="7"/>
    </row>
    <row r="671" spans="1:11" x14ac:dyDescent="0.2">
      <c r="A671" s="7">
        <v>659</v>
      </c>
      <c r="B671" s="7">
        <v>39</v>
      </c>
      <c r="C671" s="1" t="str">
        <f t="shared" si="304"/>
        <v>EL CUISILLO</v>
      </c>
      <c r="D671" s="7" t="s">
        <v>108</v>
      </c>
      <c r="E671" s="1" t="s">
        <v>115</v>
      </c>
      <c r="F671" s="7">
        <v>1</v>
      </c>
      <c r="G671" s="7" t="s">
        <v>477</v>
      </c>
      <c r="H671" s="7" t="s">
        <v>473</v>
      </c>
      <c r="I671" s="26" t="s">
        <v>473</v>
      </c>
      <c r="J671" s="26">
        <v>659</v>
      </c>
      <c r="K671" s="7"/>
    </row>
    <row r="672" spans="1:11" x14ac:dyDescent="0.2">
      <c r="A672" s="7">
        <v>660</v>
      </c>
      <c r="B672" s="7">
        <v>39</v>
      </c>
      <c r="C672" s="1" t="str">
        <f t="shared" si="304"/>
        <v>EL CUISILLO</v>
      </c>
      <c r="D672" s="7" t="s">
        <v>108</v>
      </c>
      <c r="E672" s="1" t="s">
        <v>115</v>
      </c>
      <c r="F672" s="7">
        <v>2</v>
      </c>
      <c r="G672" s="7" t="s">
        <v>477</v>
      </c>
      <c r="H672" s="7" t="s">
        <v>155</v>
      </c>
      <c r="I672" s="7" t="s">
        <v>155</v>
      </c>
      <c r="J672" s="7">
        <v>660</v>
      </c>
      <c r="K672" s="7"/>
    </row>
    <row r="673" spans="1:11" x14ac:dyDescent="0.2">
      <c r="A673" s="7">
        <v>661</v>
      </c>
      <c r="B673" s="7">
        <v>39</v>
      </c>
      <c r="C673" s="1" t="str">
        <f t="shared" si="304"/>
        <v>EL CUISILLO</v>
      </c>
      <c r="D673" s="7" t="s">
        <v>108</v>
      </c>
      <c r="E673" s="1" t="s">
        <v>115</v>
      </c>
      <c r="F673" s="7">
        <v>2</v>
      </c>
      <c r="G673" s="7" t="s">
        <v>477</v>
      </c>
      <c r="H673" s="7" t="s">
        <v>155</v>
      </c>
      <c r="I673" s="7" t="s">
        <v>155</v>
      </c>
      <c r="J673" s="7">
        <v>661</v>
      </c>
      <c r="K673" s="7"/>
    </row>
    <row r="674" spans="1:11" x14ac:dyDescent="0.2">
      <c r="A674" s="7">
        <v>730</v>
      </c>
      <c r="B674" s="7">
        <v>39</v>
      </c>
      <c r="C674" s="1" t="str">
        <f t="shared" si="304"/>
        <v>EL CUISILLO</v>
      </c>
      <c r="D674" s="7" t="s">
        <v>108</v>
      </c>
      <c r="E674" s="1" t="s">
        <v>115</v>
      </c>
      <c r="F674" s="7">
        <v>1</v>
      </c>
      <c r="G674" s="7" t="s">
        <v>477</v>
      </c>
      <c r="H674" s="7" t="s">
        <v>149</v>
      </c>
      <c r="I674" s="7" t="s">
        <v>478</v>
      </c>
      <c r="J674" s="7">
        <v>730</v>
      </c>
      <c r="K674" s="7"/>
    </row>
    <row r="675" spans="1:11" x14ac:dyDescent="0.2">
      <c r="A675" s="7">
        <v>731</v>
      </c>
      <c r="B675" s="7">
        <v>39</v>
      </c>
      <c r="C675" s="1" t="str">
        <f t="shared" si="304"/>
        <v>EL CUISILLO</v>
      </c>
      <c r="D675" s="7" t="s">
        <v>108</v>
      </c>
      <c r="E675" s="1" t="s">
        <v>115</v>
      </c>
      <c r="F675" s="7">
        <v>2</v>
      </c>
      <c r="G675" s="7" t="s">
        <v>477</v>
      </c>
      <c r="H675" s="7" t="s">
        <v>471</v>
      </c>
      <c r="I675" s="7" t="s">
        <v>471</v>
      </c>
      <c r="J675" s="7">
        <v>731</v>
      </c>
      <c r="K675" s="23"/>
    </row>
    <row r="676" spans="1:11" x14ac:dyDescent="0.2">
      <c r="A676" s="7">
        <v>662</v>
      </c>
      <c r="B676" s="7">
        <v>40.1</v>
      </c>
      <c r="C676" s="1" t="str">
        <f t="shared" si="304"/>
        <v>RANCHO AVENTURA 1</v>
      </c>
      <c r="D676" s="7" t="s">
        <v>108</v>
      </c>
      <c r="E676" s="1" t="s">
        <v>126</v>
      </c>
      <c r="F676" s="7">
        <v>1</v>
      </c>
      <c r="G676" s="7" t="s">
        <v>476</v>
      </c>
      <c r="H676" s="7" t="s">
        <v>155</v>
      </c>
      <c r="I676" s="7" t="s">
        <v>155</v>
      </c>
      <c r="J676" s="7">
        <v>662</v>
      </c>
      <c r="K676" s="7"/>
    </row>
    <row r="677" spans="1:11" x14ac:dyDescent="0.2">
      <c r="A677" s="7">
        <v>663</v>
      </c>
      <c r="B677" s="7">
        <v>40.1</v>
      </c>
      <c r="C677" s="1" t="str">
        <f t="shared" si="304"/>
        <v>RANCHO AVENTURA 1</v>
      </c>
      <c r="D677" s="7" t="s">
        <v>108</v>
      </c>
      <c r="E677" s="1" t="s">
        <v>126</v>
      </c>
      <c r="F677" s="7">
        <v>1</v>
      </c>
      <c r="G677" s="7" t="s">
        <v>476</v>
      </c>
      <c r="H677" s="7" t="s">
        <v>155</v>
      </c>
      <c r="I677" s="7" t="s">
        <v>155</v>
      </c>
      <c r="J677" s="7">
        <v>663</v>
      </c>
      <c r="K677" s="23"/>
    </row>
    <row r="678" spans="1:11" x14ac:dyDescent="0.2">
      <c r="A678" s="7">
        <v>664</v>
      </c>
      <c r="B678" s="7">
        <v>40.1</v>
      </c>
      <c r="C678" s="1" t="str">
        <f t="shared" si="304"/>
        <v>RANCHO AVENTURA 1</v>
      </c>
      <c r="D678" s="7" t="s">
        <v>108</v>
      </c>
      <c r="E678" s="1" t="s">
        <v>126</v>
      </c>
      <c r="F678" s="7">
        <v>1</v>
      </c>
      <c r="G678" s="7" t="s">
        <v>476</v>
      </c>
      <c r="H678" s="7" t="s">
        <v>149</v>
      </c>
      <c r="I678" s="7" t="s">
        <v>480</v>
      </c>
      <c r="J678" s="7">
        <v>664</v>
      </c>
      <c r="K678" s="7" t="s">
        <v>638</v>
      </c>
    </row>
    <row r="679" spans="1:11" x14ac:dyDescent="0.2">
      <c r="A679" s="7">
        <v>665</v>
      </c>
      <c r="B679" s="7">
        <v>40.1</v>
      </c>
      <c r="C679" s="1" t="str">
        <f t="shared" si="304"/>
        <v>RANCHO AVENTURA 1</v>
      </c>
      <c r="D679" s="7" t="s">
        <v>108</v>
      </c>
      <c r="E679" s="1" t="s">
        <v>126</v>
      </c>
      <c r="F679" s="7">
        <v>2</v>
      </c>
      <c r="G679" s="7" t="s">
        <v>476</v>
      </c>
      <c r="H679" s="7" t="s">
        <v>155</v>
      </c>
      <c r="I679" s="7" t="s">
        <v>155</v>
      </c>
      <c r="J679" s="7">
        <v>665</v>
      </c>
      <c r="K679" s="23"/>
    </row>
    <row r="680" spans="1:11" x14ac:dyDescent="0.2">
      <c r="A680" s="7">
        <v>666</v>
      </c>
      <c r="B680" s="7">
        <v>40.1</v>
      </c>
      <c r="C680" s="1" t="str">
        <f t="shared" si="304"/>
        <v>RANCHO AVENTURA 1</v>
      </c>
      <c r="D680" s="7" t="s">
        <v>108</v>
      </c>
      <c r="E680" s="1" t="s">
        <v>126</v>
      </c>
      <c r="F680" s="7">
        <v>2</v>
      </c>
      <c r="G680" s="7" t="s">
        <v>476</v>
      </c>
      <c r="H680" s="7" t="s">
        <v>155</v>
      </c>
      <c r="I680" s="7" t="s">
        <v>155</v>
      </c>
      <c r="J680" s="7">
        <v>666</v>
      </c>
      <c r="K680" s="7"/>
    </row>
    <row r="681" spans="1:11" x14ac:dyDescent="0.2">
      <c r="A681" s="7">
        <v>667</v>
      </c>
      <c r="B681" s="7">
        <v>40.1</v>
      </c>
      <c r="C681" s="1" t="str">
        <f t="shared" si="304"/>
        <v>RANCHO AVENTURA 1</v>
      </c>
      <c r="D681" s="7" t="s">
        <v>108</v>
      </c>
      <c r="E681" s="1" t="s">
        <v>126</v>
      </c>
      <c r="F681" s="7">
        <v>2</v>
      </c>
      <c r="G681" s="7" t="s">
        <v>476</v>
      </c>
      <c r="H681" s="7" t="s">
        <v>155</v>
      </c>
      <c r="I681" s="7" t="s">
        <v>155</v>
      </c>
      <c r="J681" s="7">
        <v>667</v>
      </c>
      <c r="K681" s="7" t="s">
        <v>638</v>
      </c>
    </row>
    <row r="682" spans="1:11" x14ac:dyDescent="0.2">
      <c r="A682" s="7">
        <v>668</v>
      </c>
      <c r="B682" s="7">
        <v>40.1</v>
      </c>
      <c r="C682" s="1" t="str">
        <f t="shared" ref="C682:C689" si="306">IF(B682=19,"HUGO NAVARRO 2",IF(B682=20,"HUGO NAVARRO 3",IF(B682=21.1,"LA ESTANCIA 1",IF(B682=21.2,"LA ESTANCIA 2",IF(B682=22,"DRISCOLLS",IF(B682=23,"GERARDO ALFARO 1",IF(B682=24,"GERARDO ALFARO 2",IF(B682=25,"JAVIER ZAVALA",IF(B682=26,"PARCELA 26",IF(B682=27,"PARCELA 27",IF(B682=28,"PARCELA 28",IF(B682=29,"VIVERO DE GUADALUPE",IF(B682=30,"FRANCISCO GARCIA RIVERA",IF(B682=31,"J REYES HERNANDEZ ZAVALA",IF(B682=32,"VIVERO PLANTA MADRE",IF(B682=33,"ALBERTO HAZA",IF(B682=34,"PARCELA 34",IF(B682=35.1,"EL MIRADOR 1",IF(B682=35.2,"EL MIRADOR 2",IF(B682=36.1,"CHELIS FARM 1",IF(B682=36.2,"CHELIS FARM 2",IF(B682=36.3,"CHELIS FARM 3",IF(B682=37.1,"EL AEROPUERTO 1",IF(B682=37.2,"EL AEROPUERTO 2",IF(B682=37.3,"EL AEROPUERTO 3",IF(B682=38.1,"PITUFO 1",IF(B682=38.2,"PITUFO 3",IF(B682=38.3,"PITUFO 2",IF(B682=39,"EL CUISILLO",IF(B682=40.1,"RANCHO AVENTURA 1"))))))))))))))))))))))))))))))</f>
        <v>RANCHO AVENTURA 1</v>
      </c>
      <c r="D682" s="7" t="s">
        <v>108</v>
      </c>
      <c r="E682" s="1" t="s">
        <v>126</v>
      </c>
      <c r="F682" s="7">
        <v>1</v>
      </c>
      <c r="G682" s="7" t="s">
        <v>477</v>
      </c>
      <c r="H682" s="7" t="s">
        <v>149</v>
      </c>
      <c r="I682" s="7" t="s">
        <v>480</v>
      </c>
      <c r="J682" s="7">
        <v>668</v>
      </c>
      <c r="K682" s="23"/>
    </row>
    <row r="683" spans="1:11" x14ac:dyDescent="0.2">
      <c r="A683" s="7">
        <v>669</v>
      </c>
      <c r="B683" s="7">
        <v>40.1</v>
      </c>
      <c r="C683" s="1" t="str">
        <f t="shared" si="306"/>
        <v>RANCHO AVENTURA 1</v>
      </c>
      <c r="D683" s="7" t="s">
        <v>108</v>
      </c>
      <c r="E683" s="1" t="s">
        <v>126</v>
      </c>
      <c r="F683" s="7">
        <v>1</v>
      </c>
      <c r="G683" s="7" t="s">
        <v>477</v>
      </c>
      <c r="H683" s="7" t="s">
        <v>155</v>
      </c>
      <c r="I683" s="7" t="s">
        <v>155</v>
      </c>
      <c r="J683" s="7">
        <v>669</v>
      </c>
      <c r="K683" s="23"/>
    </row>
    <row r="684" spans="1:11" x14ac:dyDescent="0.2">
      <c r="A684" s="7">
        <v>670</v>
      </c>
      <c r="B684" s="7">
        <v>40.1</v>
      </c>
      <c r="C684" s="1" t="str">
        <f t="shared" si="306"/>
        <v>RANCHO AVENTURA 1</v>
      </c>
      <c r="D684" s="7" t="s">
        <v>108</v>
      </c>
      <c r="E684" s="1" t="s">
        <v>126</v>
      </c>
      <c r="F684" s="7">
        <v>2</v>
      </c>
      <c r="G684" s="7" t="s">
        <v>477</v>
      </c>
      <c r="H684" s="7" t="s">
        <v>473</v>
      </c>
      <c r="I684" s="26" t="s">
        <v>473</v>
      </c>
      <c r="J684" s="26">
        <v>670</v>
      </c>
      <c r="K684" s="7"/>
    </row>
    <row r="685" spans="1:11" x14ac:dyDescent="0.2">
      <c r="A685" s="7">
        <v>671</v>
      </c>
      <c r="B685" s="7">
        <v>40.1</v>
      </c>
      <c r="C685" s="1" t="str">
        <f t="shared" si="306"/>
        <v>RANCHO AVENTURA 1</v>
      </c>
      <c r="D685" s="7" t="s">
        <v>108</v>
      </c>
      <c r="E685" s="1" t="s">
        <v>126</v>
      </c>
      <c r="F685" s="7">
        <v>2</v>
      </c>
      <c r="G685" s="7" t="s">
        <v>477</v>
      </c>
      <c r="H685" s="7" t="s">
        <v>149</v>
      </c>
      <c r="I685" s="7" t="s">
        <v>480</v>
      </c>
      <c r="J685" s="7">
        <v>671</v>
      </c>
      <c r="K685" s="7"/>
    </row>
    <row r="686" spans="1:11" x14ac:dyDescent="0.2">
      <c r="A686" s="7">
        <v>732</v>
      </c>
      <c r="B686" s="7">
        <v>40.1</v>
      </c>
      <c r="C686" s="1" t="str">
        <f t="shared" si="306"/>
        <v>RANCHO AVENTURA 1</v>
      </c>
      <c r="D686" s="7" t="s">
        <v>108</v>
      </c>
      <c r="E686" s="1" t="s">
        <v>126</v>
      </c>
      <c r="F686" s="7">
        <v>1</v>
      </c>
      <c r="G686" s="7" t="s">
        <v>477</v>
      </c>
      <c r="H686" s="7" t="s">
        <v>149</v>
      </c>
      <c r="I686" s="7" t="s">
        <v>478</v>
      </c>
      <c r="J686" s="7">
        <v>732</v>
      </c>
      <c r="K686" s="7"/>
    </row>
    <row r="687" spans="1:11" x14ac:dyDescent="0.2">
      <c r="A687" s="7">
        <v>733</v>
      </c>
      <c r="B687" s="7">
        <v>40.1</v>
      </c>
      <c r="C687" s="1" t="str">
        <f t="shared" si="306"/>
        <v>RANCHO AVENTURA 1</v>
      </c>
      <c r="D687" s="7" t="s">
        <v>108</v>
      </c>
      <c r="E687" s="1" t="s">
        <v>126</v>
      </c>
      <c r="F687" s="7">
        <v>1</v>
      </c>
      <c r="G687" s="7" t="s">
        <v>477</v>
      </c>
      <c r="H687" s="7" t="s">
        <v>149</v>
      </c>
      <c r="I687" s="7" t="s">
        <v>478</v>
      </c>
      <c r="J687" s="7">
        <v>733</v>
      </c>
      <c r="K687" s="23"/>
    </row>
    <row r="688" spans="1:11" x14ac:dyDescent="0.2">
      <c r="A688" s="7">
        <v>734</v>
      </c>
      <c r="B688" s="7">
        <v>40.1</v>
      </c>
      <c r="C688" s="1" t="str">
        <f t="shared" si="306"/>
        <v>RANCHO AVENTURA 1</v>
      </c>
      <c r="D688" s="7" t="s">
        <v>108</v>
      </c>
      <c r="E688" s="1" t="s">
        <v>126</v>
      </c>
      <c r="F688" s="7">
        <v>2</v>
      </c>
      <c r="G688" s="7" t="s">
        <v>477</v>
      </c>
      <c r="H688" s="7" t="s">
        <v>473</v>
      </c>
      <c r="I688" s="26" t="s">
        <v>473</v>
      </c>
      <c r="J688" s="26">
        <v>734</v>
      </c>
      <c r="K688" s="7"/>
    </row>
    <row r="689" spans="1:11" x14ac:dyDescent="0.2">
      <c r="A689" s="7">
        <v>735</v>
      </c>
      <c r="B689" s="7">
        <v>40.1</v>
      </c>
      <c r="C689" s="1" t="str">
        <f t="shared" si="306"/>
        <v>RANCHO AVENTURA 1</v>
      </c>
      <c r="D689" s="7" t="s">
        <v>108</v>
      </c>
      <c r="E689" s="1" t="s">
        <v>126</v>
      </c>
      <c r="F689" s="7">
        <v>2</v>
      </c>
      <c r="G689" s="7" t="s">
        <v>477</v>
      </c>
      <c r="H689" s="7" t="s">
        <v>490</v>
      </c>
      <c r="I689" s="9" t="s">
        <v>490</v>
      </c>
      <c r="J689" s="9">
        <v>735</v>
      </c>
      <c r="K689" s="7"/>
    </row>
    <row r="690" spans="1:11" x14ac:dyDescent="0.2">
      <c r="A690" s="7">
        <v>672</v>
      </c>
      <c r="B690" s="7">
        <v>40.200000000000003</v>
      </c>
      <c r="C690" s="1" t="str">
        <f t="shared" ref="C690:C721" si="307">IF(B690=40.2,"RANCHO AVENTURA 2",IF(B690=40.3,"RANCHO AVENTURA 3",IF(B690=41,"JAVIER CERVANTES",IF(B690=42,"LA HACHERA 1",IF(B690=43,"LA HACHERA 2",IF(B690=44,"LA HACHERA 3",IF(B690=45,"LA HACHERA 4",IF(B690=46,"LA HACHERA 5",IF(B690=47,"LA HACHERA 6",IF(B690=48.1,"JORGE LUIS REVELES C. 1",IF(B690=48.2,"JORGE LUIS REVELES C. 2",IF(B690=49,"RANCHO MENDEZ 1",IF(B690=50,"RANCHO MENDEZ 2",IF(B690=51,"RANCHO MENDEZ 3",IF(B690=52,"EL SAUCE",IF(B690=53,"LAS LAJAS",IF(B690=54,"EL TREBOL",IF(B690=55,"EL OLIMBO",IF(B690=56.1,"SANTA LUCIA 1",IF(B690=56.2,"SANTA LUCIA 2",IF(B690=57,"PARCELA 57",IF(B690=58,"MESHU",IF(B690=59,"LAS TAPONAS",IF(B690=60,"EL PUENTE",IF(B690=61,"LA ARENA",IF(B690=62,"LA CERCA",IF(B690=63,"PARCELA 63",IF(B690=64,"PARCELA 64",IF(B690=65,"PARCELA 65",IF(B690=66,"PARCELA 66"))))))))))))))))))))))))))))))</f>
        <v>RANCHO AVENTURA 2</v>
      </c>
      <c r="D690" s="7" t="s">
        <v>108</v>
      </c>
      <c r="E690" s="1" t="str">
        <f>IF(B690=40.2,"FESTIVAL",IF(B690=40.3,"FESTIVAL",IF(B690=41,"CAMINO REAL",IF(B690=42,"PALMERITAS",IF(B690=43,"FORTUNA",IF(B690=44,"PALMERITAS",IF(B690=45,"FORTUNA",IF(B690=46,"CODIGO",IF(B690=47,"SENSATION",IF(B690=48.1,"FRONTERA",IF(B690=48.2,"FRONTERA",IF(B690=49,"FRONTERA",IF(B690=50,"FRONTERA",IF(B690=51,"SAN ANDREAS",IF(B690=52,"SAYULA",IF(B690=53,"SAYULA",IF(B690=54,"FRONTERA",IF(B690=55,"SAYULA",IF(B690=56.1,"SANTA MARIA",IF(B690=56.2,"SANTA MARIA",IF(B690=57,"ROYAL",IF(B690=58,"SENSATION",IF(B690=59,"FRONTERA",IF(B690=60,"SAYULA",IF(B690=61,"FRONTERA",IF(B690=62,"CAMINO REAL",IF(B690=63,"NO DOCUMENTADO",IF(B690=64,"FRONTERA",IF(B690=65,"SAN ANDREAS")))))))))))))))))))))))))))))</f>
        <v>FESTIVAL</v>
      </c>
      <c r="F690" s="7">
        <v>1</v>
      </c>
      <c r="G690" s="7" t="s">
        <v>477</v>
      </c>
      <c r="H690" s="7" t="s">
        <v>228</v>
      </c>
      <c r="I690" s="9" t="s">
        <v>493</v>
      </c>
      <c r="J690" s="9">
        <v>672</v>
      </c>
      <c r="K690" s="7"/>
    </row>
    <row r="691" spans="1:11" x14ac:dyDescent="0.2">
      <c r="A691" s="7">
        <v>673</v>
      </c>
      <c r="B691" s="7">
        <v>40.200000000000003</v>
      </c>
      <c r="C691" s="1" t="str">
        <f t="shared" si="307"/>
        <v>RANCHO AVENTURA 2</v>
      </c>
      <c r="D691" s="7" t="s">
        <v>108</v>
      </c>
      <c r="E691" s="1" t="str">
        <f>IF(B691=40.2,"FESTIVAL",IF(B691=40.3,"FESTIVAL",IF(B691=41,"CAMINO REAL",IF(B691=42,"PALMERITAS",IF(B691=43,"FORTUNA",IF(B691=44,"PALMERITAS",IF(B691=45,"FORTUNA",IF(B691=46,"CODIGO",IF(B691=47,"SENSATION",IF(B691=48.1,"FRONTERA",IF(B691=48.2,"FRONTERA",IF(B691=49,"FRONTERA",IF(B691=50,"FRONTERA",IF(B691=51,"SAN ANDREAS",IF(B691=52,"SAYULA",IF(B691=53,"SAYULA",IF(B691=54,"FRONTERA",IF(B691=55,"SAYULA",IF(B691=56.1,"SANTA MARIA",IF(B691=56.2,"SANTA MARIA",IF(B691=57,"ROYAL",IF(B691=58,"SENSATION",IF(B691=59,"FRONTERA",IF(B691=60,"SAYULA",IF(B691=61,"FRONTERA",IF(B691=62,"CAMINO REAL",IF(B691=63,"NO DOCUMENTADO",IF(B691=64,"FRONTERA",IF(B691=65,"SAN ANDREAS")))))))))))))))))))))))))))))</f>
        <v>FESTIVAL</v>
      </c>
      <c r="F691" s="7">
        <v>1</v>
      </c>
      <c r="G691" s="7" t="s">
        <v>477</v>
      </c>
      <c r="H691" s="7" t="s">
        <v>149</v>
      </c>
      <c r="I691" s="7" t="s">
        <v>478</v>
      </c>
      <c r="J691" s="7">
        <v>673</v>
      </c>
      <c r="K691" s="7"/>
    </row>
    <row r="692" spans="1:11" x14ac:dyDescent="0.2">
      <c r="A692" s="7">
        <v>736</v>
      </c>
      <c r="B692" s="7">
        <v>40.200000000000003</v>
      </c>
      <c r="C692" s="1" t="str">
        <f t="shared" si="307"/>
        <v>RANCHO AVENTURA 2</v>
      </c>
      <c r="D692" s="7" t="s">
        <v>108</v>
      </c>
      <c r="E692" s="1" t="str">
        <f>IF(B692=40.2,"FESTIVAL",IF(B692=40.3,"FESTIVAL",IF(B692=41,"CAMINO REAL",IF(B692=42,"PALMERITAS",IF(B692=43,"FORTUNA",IF(B692=44,"PALMERITAS",IF(B692=45,"FORTUNA",IF(B692=46,"CODIGO",IF(B692=47,"SENSATION",IF(B692=48.1,"FRONTERA",IF(B692=48.2,"FRONTERA",IF(B692=49,"FRONTERA",IF(B692=50,"FRONTERA",IF(B692=51,"SAN ANDREAS",IF(B692=52,"SAYULA",IF(B692=53,"SAYULA",IF(B692=54,"FRONTERA",IF(B692=55,"SAYULA",IF(B692=56.1,"SANTA MARIA",IF(B692=56.2,"SANTA MARIA",IF(B692=57,"ROYAL",IF(B692=58,"SENSATION",IF(B692=59,"FRONTERA",IF(B692=60,"SAYULA",IF(B692=61,"FRONTERA",IF(B692=62,"CAMINO REAL",IF(B692=63,"NO DOCUMENTADO",IF(B692=64,"FRONTERA",IF(B692=65,"SAN ANDREAS")))))))))))))))))))))))))))))</f>
        <v>FESTIVAL</v>
      </c>
      <c r="F692" s="7">
        <v>1</v>
      </c>
      <c r="G692" s="7" t="s">
        <v>477</v>
      </c>
      <c r="H692" s="7" t="s">
        <v>149</v>
      </c>
      <c r="I692" s="7" t="s">
        <v>478</v>
      </c>
      <c r="J692" s="7">
        <v>736</v>
      </c>
      <c r="K692" s="7"/>
    </row>
    <row r="693" spans="1:11" x14ac:dyDescent="0.2">
      <c r="A693" s="7">
        <v>674</v>
      </c>
      <c r="B693" s="7">
        <v>41</v>
      </c>
      <c r="C693" s="1" t="str">
        <f t="shared" si="307"/>
        <v>JAVIER CERVANTES</v>
      </c>
      <c r="D693" s="7" t="s">
        <v>108</v>
      </c>
      <c r="E693" s="1" t="s">
        <v>126</v>
      </c>
      <c r="F693" s="7">
        <v>1</v>
      </c>
      <c r="G693" s="7" t="s">
        <v>476</v>
      </c>
      <c r="H693" s="7" t="s">
        <v>149</v>
      </c>
      <c r="I693" s="7" t="s">
        <v>480</v>
      </c>
      <c r="J693" s="7">
        <v>674</v>
      </c>
      <c r="K693" s="7" t="s">
        <v>638</v>
      </c>
    </row>
    <row r="694" spans="1:11" x14ac:dyDescent="0.2">
      <c r="A694" s="7">
        <v>675</v>
      </c>
      <c r="B694" s="7">
        <v>41</v>
      </c>
      <c r="C694" s="1" t="str">
        <f t="shared" si="307"/>
        <v>JAVIER CERVANTES</v>
      </c>
      <c r="D694" s="7" t="s">
        <v>108</v>
      </c>
      <c r="E694" s="1" t="s">
        <v>126</v>
      </c>
      <c r="F694" s="7">
        <v>1</v>
      </c>
      <c r="G694" s="7" t="s">
        <v>476</v>
      </c>
      <c r="H694" s="7" t="s">
        <v>149</v>
      </c>
      <c r="I694" s="7" t="s">
        <v>480</v>
      </c>
      <c r="J694" s="7">
        <v>675</v>
      </c>
      <c r="K694" s="23"/>
    </row>
    <row r="695" spans="1:11" x14ac:dyDescent="0.2">
      <c r="A695" s="7">
        <v>676</v>
      </c>
      <c r="B695" s="7">
        <v>41</v>
      </c>
      <c r="C695" s="1" t="str">
        <f t="shared" si="307"/>
        <v>JAVIER CERVANTES</v>
      </c>
      <c r="D695" s="7" t="s">
        <v>108</v>
      </c>
      <c r="E695" s="1" t="s">
        <v>126</v>
      </c>
      <c r="F695" s="7">
        <v>1</v>
      </c>
      <c r="G695" s="7" t="s">
        <v>476</v>
      </c>
      <c r="H695" s="7" t="s">
        <v>155</v>
      </c>
      <c r="I695" s="7" t="s">
        <v>155</v>
      </c>
      <c r="J695" s="7">
        <v>676</v>
      </c>
      <c r="K695" s="7"/>
    </row>
    <row r="696" spans="1:11" x14ac:dyDescent="0.2">
      <c r="A696" s="7">
        <v>677</v>
      </c>
      <c r="B696" s="7">
        <v>41</v>
      </c>
      <c r="C696" s="1" t="str">
        <f t="shared" si="307"/>
        <v>JAVIER CERVANTES</v>
      </c>
      <c r="D696" s="7" t="s">
        <v>108</v>
      </c>
      <c r="E696" s="1" t="s">
        <v>126</v>
      </c>
      <c r="F696" s="7">
        <v>1</v>
      </c>
      <c r="G696" s="7" t="s">
        <v>476</v>
      </c>
      <c r="H696" s="7" t="s">
        <v>155</v>
      </c>
      <c r="I696" s="7" t="s">
        <v>155</v>
      </c>
      <c r="J696" s="7">
        <v>677</v>
      </c>
      <c r="K696" s="7"/>
    </row>
    <row r="697" spans="1:11" x14ac:dyDescent="0.2">
      <c r="A697" s="7">
        <v>678</v>
      </c>
      <c r="B697" s="7">
        <v>41</v>
      </c>
      <c r="C697" s="1" t="str">
        <f t="shared" si="307"/>
        <v>JAVIER CERVANTES</v>
      </c>
      <c r="D697" s="7" t="s">
        <v>108</v>
      </c>
      <c r="E697" s="1" t="s">
        <v>126</v>
      </c>
      <c r="F697" s="7">
        <v>2</v>
      </c>
      <c r="G697" s="7" t="s">
        <v>476</v>
      </c>
      <c r="H697" s="7" t="s">
        <v>155</v>
      </c>
      <c r="I697" s="7" t="s">
        <v>155</v>
      </c>
      <c r="J697" s="7">
        <v>678</v>
      </c>
      <c r="K697" s="7"/>
    </row>
    <row r="698" spans="1:11" x14ac:dyDescent="0.2">
      <c r="A698" s="7">
        <v>679</v>
      </c>
      <c r="B698" s="7">
        <v>41</v>
      </c>
      <c r="C698" s="1" t="str">
        <f t="shared" si="307"/>
        <v>JAVIER CERVANTES</v>
      </c>
      <c r="D698" s="7" t="s">
        <v>108</v>
      </c>
      <c r="E698" s="1" t="s">
        <v>126</v>
      </c>
      <c r="F698" s="7">
        <v>2</v>
      </c>
      <c r="G698" s="7" t="s">
        <v>476</v>
      </c>
      <c r="H698" s="7" t="s">
        <v>155</v>
      </c>
      <c r="I698" s="7" t="s">
        <v>155</v>
      </c>
      <c r="J698" s="7">
        <v>679</v>
      </c>
      <c r="K698" s="23" t="s">
        <v>638</v>
      </c>
    </row>
    <row r="699" spans="1:11" x14ac:dyDescent="0.2">
      <c r="A699" s="7">
        <v>680</v>
      </c>
      <c r="B699" s="7">
        <v>41</v>
      </c>
      <c r="C699" s="1" t="str">
        <f t="shared" si="307"/>
        <v>JAVIER CERVANTES</v>
      </c>
      <c r="D699" s="7" t="s">
        <v>108</v>
      </c>
      <c r="E699" s="1" t="s">
        <v>126</v>
      </c>
      <c r="F699" s="7">
        <v>1</v>
      </c>
      <c r="G699" s="7" t="s">
        <v>477</v>
      </c>
      <c r="H699" s="7" t="s">
        <v>155</v>
      </c>
      <c r="I699" s="7" t="s">
        <v>155</v>
      </c>
      <c r="J699" s="7">
        <v>680</v>
      </c>
      <c r="K699" s="7"/>
    </row>
    <row r="700" spans="1:11" x14ac:dyDescent="0.2">
      <c r="A700" s="7">
        <v>681</v>
      </c>
      <c r="B700" s="7">
        <v>41</v>
      </c>
      <c r="C700" s="1" t="str">
        <f t="shared" si="307"/>
        <v>JAVIER CERVANTES</v>
      </c>
      <c r="D700" s="7" t="s">
        <v>108</v>
      </c>
      <c r="E700" s="1" t="s">
        <v>126</v>
      </c>
      <c r="F700" s="7">
        <v>1</v>
      </c>
      <c r="G700" s="7" t="s">
        <v>477</v>
      </c>
      <c r="H700" s="7" t="s">
        <v>155</v>
      </c>
      <c r="I700" s="7" t="s">
        <v>155</v>
      </c>
      <c r="J700" s="7">
        <v>681</v>
      </c>
      <c r="K700" s="7"/>
    </row>
    <row r="701" spans="1:11" x14ac:dyDescent="0.2">
      <c r="A701" s="7">
        <v>682</v>
      </c>
      <c r="B701" s="7">
        <v>41</v>
      </c>
      <c r="C701" s="1" t="str">
        <f t="shared" si="307"/>
        <v>JAVIER CERVANTES</v>
      </c>
      <c r="D701" s="7" t="s">
        <v>108</v>
      </c>
      <c r="E701" s="1" t="s">
        <v>126</v>
      </c>
      <c r="F701" s="7">
        <v>1</v>
      </c>
      <c r="G701" s="7" t="s">
        <v>477</v>
      </c>
      <c r="H701" s="7" t="s">
        <v>149</v>
      </c>
      <c r="I701" s="7" t="s">
        <v>480</v>
      </c>
      <c r="J701" s="7">
        <v>682</v>
      </c>
      <c r="K701" s="7"/>
    </row>
    <row r="702" spans="1:11" x14ac:dyDescent="0.2">
      <c r="A702" s="7">
        <v>683</v>
      </c>
      <c r="B702" s="7">
        <v>41</v>
      </c>
      <c r="C702" s="1" t="str">
        <f t="shared" si="307"/>
        <v>JAVIER CERVANTES</v>
      </c>
      <c r="D702" s="7" t="s">
        <v>108</v>
      </c>
      <c r="E702" s="1" t="s">
        <v>126</v>
      </c>
      <c r="F702" s="7">
        <v>2</v>
      </c>
      <c r="G702" s="7" t="s">
        <v>477</v>
      </c>
      <c r="H702" s="7" t="s">
        <v>149</v>
      </c>
      <c r="I702" s="7" t="s">
        <v>480</v>
      </c>
      <c r="J702" s="7">
        <v>683</v>
      </c>
      <c r="K702" s="7"/>
    </row>
    <row r="703" spans="1:11" x14ac:dyDescent="0.2">
      <c r="A703" s="7">
        <v>684</v>
      </c>
      <c r="B703" s="7">
        <v>41</v>
      </c>
      <c r="C703" s="1" t="str">
        <f t="shared" si="307"/>
        <v>JAVIER CERVANTES</v>
      </c>
      <c r="D703" s="7" t="s">
        <v>108</v>
      </c>
      <c r="E703" s="1" t="s">
        <v>126</v>
      </c>
      <c r="F703" s="7">
        <v>2</v>
      </c>
      <c r="G703" s="7" t="s">
        <v>477</v>
      </c>
      <c r="H703" s="7" t="s">
        <v>474</v>
      </c>
      <c r="I703" s="9" t="s">
        <v>474</v>
      </c>
      <c r="J703" s="9">
        <v>684</v>
      </c>
      <c r="K703" s="7"/>
    </row>
    <row r="704" spans="1:11" x14ac:dyDescent="0.2">
      <c r="A704" s="7">
        <v>685</v>
      </c>
      <c r="B704" s="7">
        <v>41</v>
      </c>
      <c r="C704" s="1" t="str">
        <f t="shared" si="307"/>
        <v>JAVIER CERVANTES</v>
      </c>
      <c r="D704" s="7" t="s">
        <v>108</v>
      </c>
      <c r="E704" s="1" t="s">
        <v>126</v>
      </c>
      <c r="F704" s="7">
        <v>2</v>
      </c>
      <c r="G704" s="7" t="s">
        <v>477</v>
      </c>
      <c r="H704" s="7" t="s">
        <v>155</v>
      </c>
      <c r="I704" s="7" t="s">
        <v>155</v>
      </c>
      <c r="J704" s="7">
        <v>685</v>
      </c>
      <c r="K704" s="23" t="s">
        <v>638</v>
      </c>
    </row>
    <row r="705" spans="1:11" x14ac:dyDescent="0.2">
      <c r="A705" s="7">
        <v>737</v>
      </c>
      <c r="B705" s="7">
        <v>41</v>
      </c>
      <c r="C705" s="1" t="str">
        <f t="shared" si="307"/>
        <v>JAVIER CERVANTES</v>
      </c>
      <c r="D705" s="7" t="s">
        <v>108</v>
      </c>
      <c r="E705" s="1" t="s">
        <v>126</v>
      </c>
      <c r="F705" s="7">
        <v>1</v>
      </c>
      <c r="G705" s="7" t="s">
        <v>477</v>
      </c>
      <c r="H705" s="7" t="s">
        <v>471</v>
      </c>
      <c r="I705" s="7" t="s">
        <v>471</v>
      </c>
      <c r="J705" s="7">
        <v>737</v>
      </c>
      <c r="K705" s="7"/>
    </row>
    <row r="706" spans="1:11" x14ac:dyDescent="0.2">
      <c r="A706" s="7">
        <v>738</v>
      </c>
      <c r="B706" s="7">
        <v>41</v>
      </c>
      <c r="C706" s="1" t="str">
        <f t="shared" si="307"/>
        <v>JAVIER CERVANTES</v>
      </c>
      <c r="D706" s="7" t="s">
        <v>108</v>
      </c>
      <c r="E706" s="1" t="s">
        <v>126</v>
      </c>
      <c r="F706" s="7">
        <v>1</v>
      </c>
      <c r="G706" s="7" t="s">
        <v>477</v>
      </c>
      <c r="H706" s="7" t="s">
        <v>471</v>
      </c>
      <c r="I706" s="7" t="s">
        <v>471</v>
      </c>
      <c r="J706" s="7">
        <v>738</v>
      </c>
      <c r="K706" s="23"/>
    </row>
    <row r="707" spans="1:11" x14ac:dyDescent="0.2">
      <c r="A707" s="7">
        <v>739</v>
      </c>
      <c r="B707" s="7">
        <v>41</v>
      </c>
      <c r="C707" s="1" t="str">
        <f t="shared" si="307"/>
        <v>JAVIER CERVANTES</v>
      </c>
      <c r="D707" s="7" t="s">
        <v>108</v>
      </c>
      <c r="E707" s="1" t="s">
        <v>126</v>
      </c>
      <c r="F707" s="7">
        <v>1</v>
      </c>
      <c r="G707" s="7" t="s">
        <v>477</v>
      </c>
      <c r="H707" s="7" t="s">
        <v>149</v>
      </c>
      <c r="I707" s="7" t="s">
        <v>480</v>
      </c>
      <c r="J707" s="7">
        <v>739</v>
      </c>
      <c r="K707" s="23"/>
    </row>
    <row r="708" spans="1:11" x14ac:dyDescent="0.2">
      <c r="A708" s="7">
        <v>686</v>
      </c>
      <c r="B708" s="7">
        <v>42</v>
      </c>
      <c r="C708" s="1" t="str">
        <f t="shared" si="307"/>
        <v>LA HACHERA 1</v>
      </c>
      <c r="D708" s="7" t="s">
        <v>108</v>
      </c>
      <c r="E708" s="1" t="str">
        <f t="shared" ref="E708:E748" si="308">IF(B708=40.2,"FESTIVAL",IF(B708=40.3,"FESTIVAL",IF(B708=41,"CAMINO REAL",IF(B708=42,"PALMERITAS",IF(B708=43,"FORTUNA",IF(B708=44,"PALMERITAS",IF(B708=45,"FORTUNA",IF(B708=46,"CODIGO",IF(B708=47,"SENSATION",IF(B708=48.1,"FRONTERA",IF(B708=48.2,"FRONTERA",IF(B708=49,"FRONTERA",IF(B708=50,"FRONTERA",IF(B708=51,"SAN ANDREAS",IF(B708=52,"SAYULA",IF(B708=53,"SAYULA",IF(B708=54,"FRONTERA",IF(B708=55,"SAYULA",IF(B708=56.1,"SANTA MARIA",IF(B708=56.2,"SANTA MARIA",IF(B708=57,"ROYAL",IF(B708=58,"SENSATION",IF(B708=59,"FRONTERA",IF(B708=60,"SAYULA",IF(B708=61,"FRONTERA",IF(B708=62,"CAMINO REAL",IF(B708=63,"NO DOCUMENTADO",IF(B708=64,"FRONTERA",IF(B708=65,"SAN ANDREAS")))))))))))))))))))))))))))))</f>
        <v>PALMERITAS</v>
      </c>
      <c r="F708" s="7">
        <v>1</v>
      </c>
      <c r="G708" s="7" t="s">
        <v>476</v>
      </c>
      <c r="H708" s="7" t="s">
        <v>155</v>
      </c>
      <c r="I708" s="7" t="s">
        <v>155</v>
      </c>
      <c r="J708" s="7">
        <v>686</v>
      </c>
      <c r="K708" s="7"/>
    </row>
    <row r="709" spans="1:11" x14ac:dyDescent="0.2">
      <c r="A709" s="7">
        <v>687</v>
      </c>
      <c r="B709" s="7">
        <v>42</v>
      </c>
      <c r="C709" s="1" t="str">
        <f t="shared" si="307"/>
        <v>LA HACHERA 1</v>
      </c>
      <c r="D709" s="7" t="s">
        <v>108</v>
      </c>
      <c r="E709" s="1" t="str">
        <f t="shared" si="308"/>
        <v>PALMERITAS</v>
      </c>
      <c r="F709" s="7">
        <v>1</v>
      </c>
      <c r="G709" s="7" t="s">
        <v>476</v>
      </c>
      <c r="H709" s="7" t="s">
        <v>155</v>
      </c>
      <c r="I709" s="7" t="s">
        <v>155</v>
      </c>
      <c r="J709" s="7">
        <v>687</v>
      </c>
      <c r="K709" s="7"/>
    </row>
    <row r="710" spans="1:11" x14ac:dyDescent="0.2">
      <c r="A710" s="7">
        <v>688</v>
      </c>
      <c r="B710" s="7">
        <v>42</v>
      </c>
      <c r="C710" s="1" t="str">
        <f t="shared" si="307"/>
        <v>LA HACHERA 1</v>
      </c>
      <c r="D710" s="7" t="s">
        <v>108</v>
      </c>
      <c r="E710" s="1" t="str">
        <f t="shared" si="308"/>
        <v>PALMERITAS</v>
      </c>
      <c r="F710" s="7">
        <v>2</v>
      </c>
      <c r="G710" s="7" t="s">
        <v>476</v>
      </c>
      <c r="H710" s="7" t="s">
        <v>155</v>
      </c>
      <c r="I710" s="7" t="s">
        <v>155</v>
      </c>
      <c r="J710" s="7">
        <v>688</v>
      </c>
      <c r="K710" s="23" t="s">
        <v>638</v>
      </c>
    </row>
    <row r="711" spans="1:11" x14ac:dyDescent="0.2">
      <c r="A711" s="7">
        <v>689</v>
      </c>
      <c r="B711" s="7">
        <v>42</v>
      </c>
      <c r="C711" s="1" t="str">
        <f t="shared" si="307"/>
        <v>LA HACHERA 1</v>
      </c>
      <c r="D711" s="7" t="s">
        <v>108</v>
      </c>
      <c r="E711" s="1" t="str">
        <f t="shared" si="308"/>
        <v>PALMERITAS</v>
      </c>
      <c r="F711" s="7">
        <v>2</v>
      </c>
      <c r="G711" s="7" t="s">
        <v>476</v>
      </c>
      <c r="H711" s="7" t="s">
        <v>155</v>
      </c>
      <c r="I711" s="7" t="s">
        <v>155</v>
      </c>
      <c r="J711" s="7">
        <v>689</v>
      </c>
      <c r="K711" s="7"/>
    </row>
    <row r="712" spans="1:11" x14ac:dyDescent="0.2">
      <c r="A712" s="7">
        <v>690</v>
      </c>
      <c r="B712" s="7">
        <v>42</v>
      </c>
      <c r="C712" s="1" t="str">
        <f t="shared" si="307"/>
        <v>LA HACHERA 1</v>
      </c>
      <c r="D712" s="7" t="s">
        <v>108</v>
      </c>
      <c r="E712" s="1" t="str">
        <f t="shared" si="308"/>
        <v>PALMERITAS</v>
      </c>
      <c r="F712" s="7">
        <v>1</v>
      </c>
      <c r="G712" s="7" t="s">
        <v>477</v>
      </c>
      <c r="H712" s="7" t="s">
        <v>155</v>
      </c>
      <c r="I712" s="7" t="s">
        <v>155</v>
      </c>
      <c r="J712" s="7">
        <v>690</v>
      </c>
      <c r="K712" s="7"/>
    </row>
    <row r="713" spans="1:11" x14ac:dyDescent="0.2">
      <c r="A713" s="7">
        <v>691</v>
      </c>
      <c r="B713" s="7">
        <v>42</v>
      </c>
      <c r="C713" s="1" t="str">
        <f t="shared" si="307"/>
        <v>LA HACHERA 1</v>
      </c>
      <c r="D713" s="7" t="s">
        <v>108</v>
      </c>
      <c r="E713" s="1" t="str">
        <f t="shared" si="308"/>
        <v>PALMERITAS</v>
      </c>
      <c r="F713" s="13">
        <v>1</v>
      </c>
      <c r="G713" s="13" t="s">
        <v>477</v>
      </c>
      <c r="H713" s="7" t="s">
        <v>155</v>
      </c>
      <c r="I713" s="13" t="s">
        <v>155</v>
      </c>
      <c r="J713" s="7">
        <v>691</v>
      </c>
      <c r="K713" s="7"/>
    </row>
    <row r="714" spans="1:11" x14ac:dyDescent="0.2">
      <c r="A714" s="7">
        <v>692</v>
      </c>
      <c r="B714" s="7">
        <v>42</v>
      </c>
      <c r="C714" s="1" t="str">
        <f t="shared" si="307"/>
        <v>LA HACHERA 1</v>
      </c>
      <c r="D714" s="7" t="s">
        <v>108</v>
      </c>
      <c r="E714" s="1" t="str">
        <f t="shared" si="308"/>
        <v>PALMERITAS</v>
      </c>
      <c r="F714" s="13">
        <v>1</v>
      </c>
      <c r="G714" s="13" t="s">
        <v>477</v>
      </c>
      <c r="H714" s="7" t="s">
        <v>473</v>
      </c>
      <c r="I714" s="27" t="s">
        <v>473</v>
      </c>
      <c r="J714" s="26">
        <v>692</v>
      </c>
      <c r="K714" s="7"/>
    </row>
    <row r="715" spans="1:11" x14ac:dyDescent="0.2">
      <c r="A715" s="7">
        <v>693</v>
      </c>
      <c r="B715" s="7">
        <v>42</v>
      </c>
      <c r="C715" s="1" t="str">
        <f t="shared" si="307"/>
        <v>LA HACHERA 1</v>
      </c>
      <c r="D715" s="7" t="s">
        <v>108</v>
      </c>
      <c r="E715" s="1" t="str">
        <f t="shared" si="308"/>
        <v>PALMERITAS</v>
      </c>
      <c r="F715" s="13">
        <v>2</v>
      </c>
      <c r="G715" s="13" t="s">
        <v>477</v>
      </c>
      <c r="H715" s="7" t="s">
        <v>155</v>
      </c>
      <c r="I715" s="13" t="s">
        <v>155</v>
      </c>
      <c r="J715" s="7">
        <v>693</v>
      </c>
      <c r="K715" s="7"/>
    </row>
    <row r="716" spans="1:11" x14ac:dyDescent="0.2">
      <c r="A716" s="7">
        <v>694</v>
      </c>
      <c r="B716" s="7">
        <v>42</v>
      </c>
      <c r="C716" s="1" t="str">
        <f t="shared" si="307"/>
        <v>LA HACHERA 1</v>
      </c>
      <c r="D716" s="7" t="s">
        <v>108</v>
      </c>
      <c r="E716" s="1" t="str">
        <f t="shared" si="308"/>
        <v>PALMERITAS</v>
      </c>
      <c r="F716" s="13">
        <v>2</v>
      </c>
      <c r="G716" s="13" t="s">
        <v>477</v>
      </c>
      <c r="H716" s="7" t="s">
        <v>155</v>
      </c>
      <c r="I716" s="13" t="s">
        <v>155</v>
      </c>
      <c r="J716" s="7">
        <v>694</v>
      </c>
      <c r="K716" s="7"/>
    </row>
    <row r="717" spans="1:11" x14ac:dyDescent="0.2">
      <c r="A717" s="7">
        <v>740</v>
      </c>
      <c r="B717" s="7">
        <v>42</v>
      </c>
      <c r="C717" s="1" t="str">
        <f t="shared" si="307"/>
        <v>LA HACHERA 1</v>
      </c>
      <c r="D717" s="7" t="s">
        <v>108</v>
      </c>
      <c r="E717" s="1" t="str">
        <f t="shared" si="308"/>
        <v>PALMERITAS</v>
      </c>
      <c r="F717" s="13">
        <v>1</v>
      </c>
      <c r="G717" s="13" t="s">
        <v>477</v>
      </c>
      <c r="H717" s="7" t="s">
        <v>149</v>
      </c>
      <c r="I717" s="13" t="s">
        <v>478</v>
      </c>
      <c r="J717" s="7">
        <v>740</v>
      </c>
      <c r="K717" s="7"/>
    </row>
    <row r="718" spans="1:11" x14ac:dyDescent="0.2">
      <c r="A718" s="7">
        <v>741</v>
      </c>
      <c r="B718" s="7">
        <v>42</v>
      </c>
      <c r="C718" s="1" t="str">
        <f t="shared" si="307"/>
        <v>LA HACHERA 1</v>
      </c>
      <c r="D718" s="7" t="s">
        <v>108</v>
      </c>
      <c r="E718" s="1" t="str">
        <f t="shared" si="308"/>
        <v>PALMERITAS</v>
      </c>
      <c r="F718" s="13">
        <v>2</v>
      </c>
      <c r="G718" s="13" t="s">
        <v>477</v>
      </c>
      <c r="H718" s="7" t="s">
        <v>228</v>
      </c>
      <c r="I718" s="15" t="s">
        <v>482</v>
      </c>
      <c r="J718" s="9">
        <v>741</v>
      </c>
      <c r="K718" s="7"/>
    </row>
    <row r="719" spans="1:11" x14ac:dyDescent="0.2">
      <c r="A719" s="7">
        <v>742</v>
      </c>
      <c r="B719" s="7">
        <v>42</v>
      </c>
      <c r="C719" s="1" t="str">
        <f t="shared" si="307"/>
        <v>LA HACHERA 1</v>
      </c>
      <c r="D719" s="7" t="s">
        <v>108</v>
      </c>
      <c r="E719" s="1" t="str">
        <f t="shared" si="308"/>
        <v>PALMERITAS</v>
      </c>
      <c r="F719" s="13">
        <v>2</v>
      </c>
      <c r="G719" s="13" t="s">
        <v>477</v>
      </c>
      <c r="H719" s="7" t="s">
        <v>228</v>
      </c>
      <c r="I719" s="15" t="s">
        <v>482</v>
      </c>
      <c r="J719" s="9">
        <v>742</v>
      </c>
      <c r="K719" s="7"/>
    </row>
    <row r="720" spans="1:11" x14ac:dyDescent="0.2">
      <c r="A720" s="7">
        <v>695</v>
      </c>
      <c r="B720" s="7">
        <v>43</v>
      </c>
      <c r="C720" s="1" t="str">
        <f t="shared" si="307"/>
        <v>LA HACHERA 2</v>
      </c>
      <c r="D720" s="7" t="s">
        <v>108</v>
      </c>
      <c r="E720" s="1" t="str">
        <f t="shared" si="308"/>
        <v>FORTUNA</v>
      </c>
      <c r="F720" s="13">
        <v>1</v>
      </c>
      <c r="G720" s="13" t="s">
        <v>476</v>
      </c>
      <c r="H720" s="7" t="s">
        <v>155</v>
      </c>
      <c r="I720" s="13" t="s">
        <v>155</v>
      </c>
      <c r="J720" s="7">
        <v>695</v>
      </c>
      <c r="K720" s="7"/>
    </row>
    <row r="721" spans="1:11" x14ac:dyDescent="0.2">
      <c r="A721" s="7">
        <v>696</v>
      </c>
      <c r="B721" s="7">
        <v>43</v>
      </c>
      <c r="C721" s="1" t="str">
        <f t="shared" si="307"/>
        <v>LA HACHERA 2</v>
      </c>
      <c r="D721" s="7" t="s">
        <v>108</v>
      </c>
      <c r="E721" s="1" t="str">
        <f t="shared" si="308"/>
        <v>FORTUNA</v>
      </c>
      <c r="F721" s="13">
        <v>1</v>
      </c>
      <c r="G721" s="13" t="s">
        <v>476</v>
      </c>
      <c r="H721" s="7" t="s">
        <v>155</v>
      </c>
      <c r="I721" s="13" t="s">
        <v>155</v>
      </c>
      <c r="J721" s="7">
        <v>696</v>
      </c>
      <c r="K721" s="7"/>
    </row>
    <row r="722" spans="1:11" x14ac:dyDescent="0.2">
      <c r="A722" s="7">
        <v>697</v>
      </c>
      <c r="B722" s="7">
        <v>43</v>
      </c>
      <c r="C722" s="1" t="str">
        <f t="shared" ref="C722:C753" si="309">IF(B722=40.2,"RANCHO AVENTURA 2",IF(B722=40.3,"RANCHO AVENTURA 3",IF(B722=41,"JAVIER CERVANTES",IF(B722=42,"LA HACHERA 1",IF(B722=43,"LA HACHERA 2",IF(B722=44,"LA HACHERA 3",IF(B722=45,"LA HACHERA 4",IF(B722=46,"LA HACHERA 5",IF(B722=47,"LA HACHERA 6",IF(B722=48.1,"JORGE LUIS REVELES C. 1",IF(B722=48.2,"JORGE LUIS REVELES C. 2",IF(B722=49,"RANCHO MENDEZ 1",IF(B722=50,"RANCHO MENDEZ 2",IF(B722=51,"RANCHO MENDEZ 3",IF(B722=52,"EL SAUCE",IF(B722=53,"LAS LAJAS",IF(B722=54,"EL TREBOL",IF(B722=55,"EL OLIMBO",IF(B722=56.1,"SANTA LUCIA 1",IF(B722=56.2,"SANTA LUCIA 2",IF(B722=57,"PARCELA 57",IF(B722=58,"MESHU",IF(B722=59,"LAS TAPONAS",IF(B722=60,"EL PUENTE",IF(B722=61,"LA ARENA",IF(B722=62,"LA CERCA",IF(B722=63,"PARCELA 63",IF(B722=64,"PARCELA 64",IF(B722=65,"PARCELA 65",IF(B722=66,"PARCELA 66"))))))))))))))))))))))))))))))</f>
        <v>LA HACHERA 2</v>
      </c>
      <c r="D722" s="7" t="s">
        <v>108</v>
      </c>
      <c r="E722" s="1" t="str">
        <f t="shared" si="308"/>
        <v>FORTUNA</v>
      </c>
      <c r="F722" s="13">
        <v>2</v>
      </c>
      <c r="G722" s="13" t="s">
        <v>476</v>
      </c>
      <c r="H722" s="7" t="s">
        <v>155</v>
      </c>
      <c r="I722" s="13" t="s">
        <v>155</v>
      </c>
      <c r="J722" s="7">
        <v>697</v>
      </c>
      <c r="K722" s="7"/>
    </row>
    <row r="723" spans="1:11" x14ac:dyDescent="0.2">
      <c r="A723" s="7">
        <v>698</v>
      </c>
      <c r="B723" s="7">
        <v>43</v>
      </c>
      <c r="C723" s="1" t="str">
        <f t="shared" si="309"/>
        <v>LA HACHERA 2</v>
      </c>
      <c r="D723" s="7" t="s">
        <v>108</v>
      </c>
      <c r="E723" s="1" t="str">
        <f t="shared" si="308"/>
        <v>FORTUNA</v>
      </c>
      <c r="F723" s="13">
        <v>2</v>
      </c>
      <c r="G723" s="13" t="s">
        <v>476</v>
      </c>
      <c r="H723" s="7" t="s">
        <v>155</v>
      </c>
      <c r="I723" s="13" t="s">
        <v>155</v>
      </c>
      <c r="J723" s="7">
        <v>698</v>
      </c>
      <c r="K723" s="7"/>
    </row>
    <row r="724" spans="1:11" x14ac:dyDescent="0.2">
      <c r="A724" s="7">
        <v>699</v>
      </c>
      <c r="B724" s="7">
        <v>43</v>
      </c>
      <c r="C724" s="1" t="str">
        <f t="shared" si="309"/>
        <v>LA HACHERA 2</v>
      </c>
      <c r="D724" s="7" t="s">
        <v>108</v>
      </c>
      <c r="E724" s="1" t="str">
        <f t="shared" si="308"/>
        <v>FORTUNA</v>
      </c>
      <c r="F724" s="13">
        <v>2</v>
      </c>
      <c r="G724" s="13" t="s">
        <v>476</v>
      </c>
      <c r="H724" s="7" t="s">
        <v>155</v>
      </c>
      <c r="I724" s="13" t="s">
        <v>155</v>
      </c>
      <c r="J724" s="7">
        <v>699</v>
      </c>
      <c r="K724" s="23" t="s">
        <v>638</v>
      </c>
    </row>
    <row r="725" spans="1:11" x14ac:dyDescent="0.2">
      <c r="A725" s="7">
        <v>700</v>
      </c>
      <c r="B725" s="7">
        <v>43</v>
      </c>
      <c r="C725" s="1" t="str">
        <f t="shared" si="309"/>
        <v>LA HACHERA 2</v>
      </c>
      <c r="D725" s="7" t="s">
        <v>108</v>
      </c>
      <c r="E725" s="1" t="str">
        <f t="shared" si="308"/>
        <v>FORTUNA</v>
      </c>
      <c r="F725" s="13">
        <v>1</v>
      </c>
      <c r="G725" s="13" t="s">
        <v>477</v>
      </c>
      <c r="H725" s="7" t="s">
        <v>473</v>
      </c>
      <c r="I725" s="27" t="s">
        <v>473</v>
      </c>
      <c r="J725" s="27">
        <v>700</v>
      </c>
      <c r="K725" s="13"/>
    </row>
    <row r="726" spans="1:11" x14ac:dyDescent="0.2">
      <c r="A726" s="7">
        <v>701</v>
      </c>
      <c r="B726" s="7">
        <v>43</v>
      </c>
      <c r="C726" s="1" t="str">
        <f t="shared" si="309"/>
        <v>LA HACHERA 2</v>
      </c>
      <c r="D726" s="7" t="s">
        <v>108</v>
      </c>
      <c r="E726" s="1" t="str">
        <f t="shared" si="308"/>
        <v>FORTUNA</v>
      </c>
      <c r="F726" s="7">
        <v>1</v>
      </c>
      <c r="G726" s="7" t="s">
        <v>477</v>
      </c>
      <c r="H726" s="7" t="s">
        <v>473</v>
      </c>
      <c r="I726" s="26" t="s">
        <v>473</v>
      </c>
      <c r="J726" s="26">
        <v>701</v>
      </c>
      <c r="K726" s="7"/>
    </row>
    <row r="727" spans="1:11" x14ac:dyDescent="0.2">
      <c r="A727" s="7">
        <v>702</v>
      </c>
      <c r="B727" s="7">
        <v>43</v>
      </c>
      <c r="C727" s="1" t="str">
        <f t="shared" si="309"/>
        <v>LA HACHERA 2</v>
      </c>
      <c r="D727" s="7" t="s">
        <v>108</v>
      </c>
      <c r="E727" s="1" t="str">
        <f t="shared" si="308"/>
        <v>FORTUNA</v>
      </c>
      <c r="F727" s="7">
        <v>2</v>
      </c>
      <c r="G727" s="7" t="s">
        <v>477</v>
      </c>
      <c r="H727" s="7" t="s">
        <v>155</v>
      </c>
      <c r="I727" s="7" t="s">
        <v>155</v>
      </c>
      <c r="J727" s="7">
        <v>702</v>
      </c>
      <c r="K727" s="7"/>
    </row>
    <row r="728" spans="1:11" x14ac:dyDescent="0.2">
      <c r="A728" s="7">
        <v>703</v>
      </c>
      <c r="B728" s="7">
        <v>43</v>
      </c>
      <c r="C728" s="1" t="str">
        <f t="shared" si="309"/>
        <v>LA HACHERA 2</v>
      </c>
      <c r="D728" s="7" t="s">
        <v>108</v>
      </c>
      <c r="E728" s="1" t="str">
        <f t="shared" si="308"/>
        <v>FORTUNA</v>
      </c>
      <c r="F728" s="7">
        <v>2</v>
      </c>
      <c r="G728" s="7" t="s">
        <v>477</v>
      </c>
      <c r="H728" s="7" t="s">
        <v>155</v>
      </c>
      <c r="I728" s="7" t="s">
        <v>155</v>
      </c>
      <c r="J728" s="7">
        <v>703</v>
      </c>
      <c r="K728" s="7"/>
    </row>
    <row r="729" spans="1:11" x14ac:dyDescent="0.2">
      <c r="A729" s="7">
        <v>704</v>
      </c>
      <c r="B729" s="7">
        <v>43</v>
      </c>
      <c r="C729" s="1" t="str">
        <f t="shared" si="309"/>
        <v>LA HACHERA 2</v>
      </c>
      <c r="D729" s="7" t="s">
        <v>108</v>
      </c>
      <c r="E729" s="1" t="str">
        <f t="shared" si="308"/>
        <v>FORTUNA</v>
      </c>
      <c r="F729" s="7">
        <v>2</v>
      </c>
      <c r="G729" s="7" t="s">
        <v>477</v>
      </c>
      <c r="H729" s="7" t="s">
        <v>155</v>
      </c>
      <c r="I729" s="7" t="s">
        <v>155</v>
      </c>
      <c r="J729" s="7">
        <v>704</v>
      </c>
      <c r="K729" s="7"/>
    </row>
    <row r="730" spans="1:11" x14ac:dyDescent="0.2">
      <c r="A730" s="7">
        <v>743</v>
      </c>
      <c r="B730" s="7">
        <v>43</v>
      </c>
      <c r="C730" s="1" t="str">
        <f t="shared" si="309"/>
        <v>LA HACHERA 2</v>
      </c>
      <c r="D730" s="7" t="s">
        <v>108</v>
      </c>
      <c r="E730" s="1" t="str">
        <f t="shared" si="308"/>
        <v>FORTUNA</v>
      </c>
      <c r="F730" s="7">
        <v>1</v>
      </c>
      <c r="G730" s="7" t="s">
        <v>477</v>
      </c>
      <c r="H730" s="7" t="s">
        <v>149</v>
      </c>
      <c r="I730" s="7" t="s">
        <v>478</v>
      </c>
      <c r="J730" s="7">
        <v>743</v>
      </c>
      <c r="K730" s="23"/>
    </row>
    <row r="731" spans="1:11" x14ac:dyDescent="0.2">
      <c r="A731" s="7">
        <v>744</v>
      </c>
      <c r="B731" s="7">
        <v>43</v>
      </c>
      <c r="C731" s="1" t="str">
        <f t="shared" si="309"/>
        <v>LA HACHERA 2</v>
      </c>
      <c r="D731" s="7" t="s">
        <v>108</v>
      </c>
      <c r="E731" s="1" t="str">
        <f t="shared" si="308"/>
        <v>FORTUNA</v>
      </c>
      <c r="F731" s="7">
        <v>2</v>
      </c>
      <c r="G731" s="7" t="s">
        <v>477</v>
      </c>
      <c r="H731" s="7" t="s">
        <v>490</v>
      </c>
      <c r="I731" s="9" t="s">
        <v>490</v>
      </c>
      <c r="J731" s="9">
        <v>744</v>
      </c>
      <c r="K731" s="7"/>
    </row>
    <row r="732" spans="1:11" x14ac:dyDescent="0.2">
      <c r="A732" s="7">
        <v>705</v>
      </c>
      <c r="B732" s="7">
        <v>44</v>
      </c>
      <c r="C732" s="1" t="str">
        <f t="shared" si="309"/>
        <v>LA HACHERA 3</v>
      </c>
      <c r="D732" s="7" t="s">
        <v>108</v>
      </c>
      <c r="E732" s="1" t="str">
        <f t="shared" si="308"/>
        <v>PALMERITAS</v>
      </c>
      <c r="F732" s="7">
        <v>2</v>
      </c>
      <c r="G732" s="7" t="s">
        <v>476</v>
      </c>
      <c r="H732" s="7" t="s">
        <v>473</v>
      </c>
      <c r="I732" s="26" t="s">
        <v>473</v>
      </c>
      <c r="J732" s="26">
        <v>705</v>
      </c>
      <c r="K732" s="7"/>
    </row>
    <row r="733" spans="1:11" x14ac:dyDescent="0.2">
      <c r="A733" s="7">
        <v>706</v>
      </c>
      <c r="B733" s="7">
        <v>44</v>
      </c>
      <c r="C733" s="1" t="str">
        <f t="shared" si="309"/>
        <v>LA HACHERA 3</v>
      </c>
      <c r="D733" s="7" t="s">
        <v>108</v>
      </c>
      <c r="E733" s="1" t="str">
        <f t="shared" si="308"/>
        <v>PALMERITAS</v>
      </c>
      <c r="F733" s="7">
        <v>2</v>
      </c>
      <c r="G733" s="7" t="s">
        <v>476</v>
      </c>
      <c r="H733" s="7" t="s">
        <v>155</v>
      </c>
      <c r="I733" s="7" t="s">
        <v>155</v>
      </c>
      <c r="J733" s="7">
        <v>706</v>
      </c>
      <c r="K733" s="7"/>
    </row>
    <row r="734" spans="1:11" x14ac:dyDescent="0.2">
      <c r="A734" s="7">
        <v>707</v>
      </c>
      <c r="B734" s="7">
        <v>44</v>
      </c>
      <c r="C734" s="1" t="str">
        <f t="shared" si="309"/>
        <v>LA HACHERA 3</v>
      </c>
      <c r="D734" s="7" t="s">
        <v>108</v>
      </c>
      <c r="E734" s="1" t="str">
        <f t="shared" si="308"/>
        <v>PALMERITAS</v>
      </c>
      <c r="F734" s="7">
        <v>1</v>
      </c>
      <c r="G734" s="7" t="s">
        <v>477</v>
      </c>
      <c r="H734" s="7" t="s">
        <v>473</v>
      </c>
      <c r="I734" s="26" t="s">
        <v>473</v>
      </c>
      <c r="J734" s="26">
        <v>707</v>
      </c>
      <c r="K734" s="7"/>
    </row>
    <row r="735" spans="1:11" x14ac:dyDescent="0.2">
      <c r="A735" s="7">
        <v>708</v>
      </c>
      <c r="B735" s="7">
        <v>44</v>
      </c>
      <c r="C735" s="1" t="str">
        <f t="shared" si="309"/>
        <v>LA HACHERA 3</v>
      </c>
      <c r="D735" s="7" t="s">
        <v>108</v>
      </c>
      <c r="E735" s="1" t="str">
        <f t="shared" si="308"/>
        <v>PALMERITAS</v>
      </c>
      <c r="F735" s="7">
        <v>1</v>
      </c>
      <c r="G735" s="7" t="s">
        <v>477</v>
      </c>
      <c r="H735" s="7" t="s">
        <v>473</v>
      </c>
      <c r="I735" s="26" t="s">
        <v>473</v>
      </c>
      <c r="J735" s="26">
        <v>708</v>
      </c>
      <c r="K735" s="7"/>
    </row>
    <row r="736" spans="1:11" x14ac:dyDescent="0.2">
      <c r="A736" s="7">
        <v>745</v>
      </c>
      <c r="B736" s="7">
        <v>44</v>
      </c>
      <c r="C736" s="1" t="str">
        <f t="shared" si="309"/>
        <v>LA HACHERA 3</v>
      </c>
      <c r="D736" s="7" t="s">
        <v>108</v>
      </c>
      <c r="E736" s="1" t="str">
        <f t="shared" si="308"/>
        <v>PALMERITAS</v>
      </c>
      <c r="F736" s="7">
        <v>1</v>
      </c>
      <c r="G736" s="7" t="s">
        <v>477</v>
      </c>
      <c r="H736" s="7" t="s">
        <v>473</v>
      </c>
      <c r="I736" s="26" t="s">
        <v>473</v>
      </c>
      <c r="J736" s="26">
        <v>745</v>
      </c>
      <c r="K736" s="7"/>
    </row>
    <row r="737" spans="1:11" x14ac:dyDescent="0.2">
      <c r="A737" s="7">
        <v>746</v>
      </c>
      <c r="B737" s="7">
        <v>44</v>
      </c>
      <c r="C737" s="1" t="str">
        <f t="shared" si="309"/>
        <v>LA HACHERA 3</v>
      </c>
      <c r="D737" s="7" t="s">
        <v>108</v>
      </c>
      <c r="E737" s="1" t="str">
        <f t="shared" si="308"/>
        <v>PALMERITAS</v>
      </c>
      <c r="F737" s="7">
        <v>2</v>
      </c>
      <c r="G737" s="7" t="s">
        <v>477</v>
      </c>
      <c r="H737" s="7" t="s">
        <v>473</v>
      </c>
      <c r="I737" s="26" t="s">
        <v>473</v>
      </c>
      <c r="J737" s="26">
        <v>746</v>
      </c>
      <c r="K737" s="7"/>
    </row>
    <row r="738" spans="1:11" x14ac:dyDescent="0.2">
      <c r="A738" s="7">
        <v>709</v>
      </c>
      <c r="B738" s="7">
        <v>45</v>
      </c>
      <c r="C738" s="1" t="str">
        <f t="shared" si="309"/>
        <v>LA HACHERA 4</v>
      </c>
      <c r="D738" s="7" t="s">
        <v>108</v>
      </c>
      <c r="E738" s="1" t="str">
        <f t="shared" si="308"/>
        <v>FORTUNA</v>
      </c>
      <c r="F738" s="7">
        <v>1</v>
      </c>
      <c r="G738" s="7" t="s">
        <v>476</v>
      </c>
      <c r="H738" s="7" t="s">
        <v>155</v>
      </c>
      <c r="I738" s="7" t="s">
        <v>155</v>
      </c>
      <c r="J738" s="7">
        <v>709</v>
      </c>
      <c r="K738" s="7"/>
    </row>
    <row r="739" spans="1:11" x14ac:dyDescent="0.2">
      <c r="A739" s="7">
        <v>710</v>
      </c>
      <c r="B739" s="7">
        <v>45</v>
      </c>
      <c r="C739" s="1" t="str">
        <f t="shared" si="309"/>
        <v>LA HACHERA 4</v>
      </c>
      <c r="D739" s="7" t="s">
        <v>108</v>
      </c>
      <c r="E739" s="1" t="str">
        <f t="shared" si="308"/>
        <v>FORTUNA</v>
      </c>
      <c r="F739" s="7">
        <v>1</v>
      </c>
      <c r="G739" s="7" t="s">
        <v>476</v>
      </c>
      <c r="H739" s="7" t="s">
        <v>155</v>
      </c>
      <c r="I739" s="7" t="s">
        <v>155</v>
      </c>
      <c r="J739" s="7">
        <v>710</v>
      </c>
      <c r="K739" s="7"/>
    </row>
    <row r="740" spans="1:11" x14ac:dyDescent="0.2">
      <c r="A740" s="7">
        <v>711</v>
      </c>
      <c r="B740" s="7">
        <v>45</v>
      </c>
      <c r="C740" s="1" t="str">
        <f t="shared" si="309"/>
        <v>LA HACHERA 4</v>
      </c>
      <c r="D740" s="7" t="s">
        <v>108</v>
      </c>
      <c r="E740" s="1" t="str">
        <f t="shared" si="308"/>
        <v>FORTUNA</v>
      </c>
      <c r="F740" s="7">
        <v>2</v>
      </c>
      <c r="G740" s="7" t="s">
        <v>476</v>
      </c>
      <c r="H740" s="7" t="s">
        <v>155</v>
      </c>
      <c r="I740" s="7" t="s">
        <v>155</v>
      </c>
      <c r="J740" s="7">
        <v>711</v>
      </c>
      <c r="K740" s="7"/>
    </row>
    <row r="741" spans="1:11" x14ac:dyDescent="0.2">
      <c r="A741" s="7">
        <v>712</v>
      </c>
      <c r="B741" s="7">
        <v>45</v>
      </c>
      <c r="C741" s="1" t="str">
        <f t="shared" si="309"/>
        <v>LA HACHERA 4</v>
      </c>
      <c r="D741" s="7" t="s">
        <v>108</v>
      </c>
      <c r="E741" s="1" t="str">
        <f t="shared" si="308"/>
        <v>FORTUNA</v>
      </c>
      <c r="F741" s="7">
        <v>2</v>
      </c>
      <c r="G741" s="7" t="s">
        <v>476</v>
      </c>
      <c r="H741" s="7" t="s">
        <v>155</v>
      </c>
      <c r="I741" s="7" t="s">
        <v>155</v>
      </c>
      <c r="J741" s="7">
        <v>712</v>
      </c>
      <c r="K741" s="23" t="s">
        <v>638</v>
      </c>
    </row>
    <row r="742" spans="1:11" x14ac:dyDescent="0.2">
      <c r="A742" s="7">
        <v>713</v>
      </c>
      <c r="B742" s="7">
        <v>45</v>
      </c>
      <c r="C742" s="1" t="str">
        <f t="shared" si="309"/>
        <v>LA HACHERA 4</v>
      </c>
      <c r="D742" s="7" t="s">
        <v>108</v>
      </c>
      <c r="E742" s="1" t="str">
        <f t="shared" si="308"/>
        <v>FORTUNA</v>
      </c>
      <c r="F742" s="7">
        <v>2</v>
      </c>
      <c r="G742" s="7" t="s">
        <v>477</v>
      </c>
      <c r="H742" s="7" t="s">
        <v>149</v>
      </c>
      <c r="I742" s="7" t="s">
        <v>480</v>
      </c>
      <c r="J742" s="7">
        <v>713</v>
      </c>
      <c r="K742" s="23"/>
    </row>
    <row r="743" spans="1:11" x14ac:dyDescent="0.2">
      <c r="A743" s="7">
        <v>714</v>
      </c>
      <c r="B743" s="7">
        <v>45</v>
      </c>
      <c r="C743" s="1" t="str">
        <f t="shared" si="309"/>
        <v>LA HACHERA 4</v>
      </c>
      <c r="D743" s="7" t="s">
        <v>108</v>
      </c>
      <c r="E743" s="1" t="str">
        <f t="shared" si="308"/>
        <v>FORTUNA</v>
      </c>
      <c r="F743" s="7">
        <v>2</v>
      </c>
      <c r="G743" s="7" t="s">
        <v>477</v>
      </c>
      <c r="H743" s="7" t="s">
        <v>155</v>
      </c>
      <c r="I743" s="7" t="s">
        <v>155</v>
      </c>
      <c r="J743" s="7">
        <v>714</v>
      </c>
      <c r="K743" s="7" t="s">
        <v>638</v>
      </c>
    </row>
    <row r="744" spans="1:11" x14ac:dyDescent="0.2">
      <c r="A744" s="7">
        <v>715</v>
      </c>
      <c r="B744" s="7">
        <v>45</v>
      </c>
      <c r="C744" s="1" t="str">
        <f t="shared" si="309"/>
        <v>LA HACHERA 4</v>
      </c>
      <c r="D744" s="7" t="s">
        <v>108</v>
      </c>
      <c r="E744" s="1" t="str">
        <f t="shared" si="308"/>
        <v>FORTUNA</v>
      </c>
      <c r="F744" s="7">
        <v>2</v>
      </c>
      <c r="G744" s="7" t="s">
        <v>477</v>
      </c>
      <c r="H744" s="7" t="s">
        <v>155</v>
      </c>
      <c r="I744" s="7" t="s">
        <v>155</v>
      </c>
      <c r="J744" s="7">
        <v>715</v>
      </c>
      <c r="K744" s="7"/>
    </row>
    <row r="745" spans="1:11" x14ac:dyDescent="0.2">
      <c r="A745" s="7">
        <v>747</v>
      </c>
      <c r="B745" s="7">
        <v>45</v>
      </c>
      <c r="C745" s="1" t="str">
        <f t="shared" si="309"/>
        <v>LA HACHERA 4</v>
      </c>
      <c r="D745" s="7" t="s">
        <v>108</v>
      </c>
      <c r="E745" s="1" t="str">
        <f t="shared" si="308"/>
        <v>FORTUNA</v>
      </c>
      <c r="F745" s="7">
        <v>1</v>
      </c>
      <c r="G745" s="7" t="s">
        <v>477</v>
      </c>
      <c r="H745" s="7" t="s">
        <v>490</v>
      </c>
      <c r="I745" s="9" t="s">
        <v>490</v>
      </c>
      <c r="J745" s="9">
        <v>747</v>
      </c>
      <c r="K745" s="7"/>
    </row>
    <row r="746" spans="1:11" x14ac:dyDescent="0.2">
      <c r="A746" s="7">
        <v>748</v>
      </c>
      <c r="B746" s="7">
        <v>45</v>
      </c>
      <c r="C746" s="1" t="str">
        <f t="shared" si="309"/>
        <v>LA HACHERA 4</v>
      </c>
      <c r="D746" s="7" t="s">
        <v>108</v>
      </c>
      <c r="E746" s="1" t="str">
        <f t="shared" si="308"/>
        <v>FORTUNA</v>
      </c>
      <c r="F746" s="7">
        <v>1</v>
      </c>
      <c r="G746" s="7" t="s">
        <v>477</v>
      </c>
      <c r="H746" s="7" t="s">
        <v>485</v>
      </c>
      <c r="I746" s="10" t="s">
        <v>485</v>
      </c>
      <c r="J746" s="10">
        <v>748</v>
      </c>
      <c r="K746" s="7"/>
    </row>
    <row r="747" spans="1:11" x14ac:dyDescent="0.2">
      <c r="A747" s="7">
        <v>749</v>
      </c>
      <c r="B747" s="7">
        <v>45</v>
      </c>
      <c r="C747" s="1" t="str">
        <f t="shared" si="309"/>
        <v>LA HACHERA 4</v>
      </c>
      <c r="D747" s="7" t="s">
        <v>108</v>
      </c>
      <c r="E747" s="1" t="str">
        <f t="shared" si="308"/>
        <v>FORTUNA</v>
      </c>
      <c r="F747" s="7">
        <v>2</v>
      </c>
      <c r="G747" s="7" t="s">
        <v>477</v>
      </c>
      <c r="H747" s="7" t="s">
        <v>149</v>
      </c>
      <c r="I747" s="7" t="s">
        <v>480</v>
      </c>
      <c r="J747" s="7">
        <v>749</v>
      </c>
      <c r="K747" s="23"/>
    </row>
    <row r="748" spans="1:11" x14ac:dyDescent="0.2">
      <c r="A748" s="7">
        <v>750</v>
      </c>
      <c r="B748" s="7">
        <v>45</v>
      </c>
      <c r="C748" s="1" t="str">
        <f t="shared" si="309"/>
        <v>LA HACHERA 4</v>
      </c>
      <c r="D748" s="7" t="s">
        <v>108</v>
      </c>
      <c r="E748" s="1" t="str">
        <f t="shared" si="308"/>
        <v>FORTUNA</v>
      </c>
      <c r="F748" s="7">
        <v>2</v>
      </c>
      <c r="G748" s="7" t="s">
        <v>477</v>
      </c>
      <c r="H748" s="7" t="s">
        <v>149</v>
      </c>
      <c r="I748" s="7" t="s">
        <v>478</v>
      </c>
      <c r="J748" s="7">
        <v>750</v>
      </c>
      <c r="K748" s="7"/>
    </row>
    <row r="749" spans="1:11" x14ac:dyDescent="0.2">
      <c r="A749" s="7">
        <v>716</v>
      </c>
      <c r="B749" s="7">
        <v>46</v>
      </c>
      <c r="C749" s="1" t="str">
        <f t="shared" si="309"/>
        <v>LA HACHERA 5</v>
      </c>
      <c r="D749" s="7" t="s">
        <v>108</v>
      </c>
      <c r="E749" s="1" t="s">
        <v>115</v>
      </c>
      <c r="F749" s="7">
        <v>2</v>
      </c>
      <c r="G749" s="7" t="s">
        <v>476</v>
      </c>
      <c r="H749" s="7" t="s">
        <v>155</v>
      </c>
      <c r="I749" s="7" t="s">
        <v>155</v>
      </c>
      <c r="J749" s="7">
        <v>716</v>
      </c>
      <c r="K749" s="23" t="s">
        <v>638</v>
      </c>
    </row>
    <row r="750" spans="1:11" x14ac:dyDescent="0.2">
      <c r="A750" s="7">
        <v>717</v>
      </c>
      <c r="B750" s="7">
        <v>46</v>
      </c>
      <c r="C750" s="1" t="str">
        <f t="shared" si="309"/>
        <v>LA HACHERA 5</v>
      </c>
      <c r="D750" s="7" t="s">
        <v>108</v>
      </c>
      <c r="E750" s="1" t="s">
        <v>115</v>
      </c>
      <c r="F750" s="7">
        <v>2</v>
      </c>
      <c r="G750" s="7" t="s">
        <v>476</v>
      </c>
      <c r="H750" s="7" t="s">
        <v>155</v>
      </c>
      <c r="I750" s="7" t="s">
        <v>155</v>
      </c>
      <c r="J750" s="7">
        <v>717</v>
      </c>
      <c r="K750" s="7"/>
    </row>
    <row r="751" spans="1:11" x14ac:dyDescent="0.2">
      <c r="A751" s="7">
        <v>751</v>
      </c>
      <c r="B751" s="7">
        <v>46</v>
      </c>
      <c r="C751" s="1" t="str">
        <f t="shared" si="309"/>
        <v>LA HACHERA 5</v>
      </c>
      <c r="D751" s="7" t="s">
        <v>108</v>
      </c>
      <c r="E751" s="1" t="s">
        <v>115</v>
      </c>
      <c r="F751" s="7">
        <v>1</v>
      </c>
      <c r="G751" s="7" t="s">
        <v>477</v>
      </c>
      <c r="H751" s="7" t="s">
        <v>490</v>
      </c>
      <c r="I751" s="9" t="s">
        <v>490</v>
      </c>
      <c r="J751" s="9">
        <v>751</v>
      </c>
      <c r="K751" s="7"/>
    </row>
    <row r="752" spans="1:11" x14ac:dyDescent="0.2">
      <c r="A752" s="7">
        <v>752</v>
      </c>
      <c r="B752" s="7">
        <v>46</v>
      </c>
      <c r="C752" s="1" t="str">
        <f t="shared" si="309"/>
        <v>LA HACHERA 5</v>
      </c>
      <c r="D752" s="7" t="s">
        <v>108</v>
      </c>
      <c r="E752" s="1" t="s">
        <v>115</v>
      </c>
      <c r="F752" s="7">
        <v>2</v>
      </c>
      <c r="G752" s="7" t="s">
        <v>477</v>
      </c>
      <c r="H752" s="7" t="s">
        <v>485</v>
      </c>
      <c r="I752" s="10" t="s">
        <v>485</v>
      </c>
      <c r="J752" s="10">
        <v>752</v>
      </c>
      <c r="K752" s="7"/>
    </row>
    <row r="753" spans="1:11" x14ac:dyDescent="0.2">
      <c r="A753" s="7">
        <v>753</v>
      </c>
      <c r="B753" s="7">
        <v>46</v>
      </c>
      <c r="C753" s="1" t="str">
        <f t="shared" si="309"/>
        <v>LA HACHERA 5</v>
      </c>
      <c r="D753" s="7" t="s">
        <v>108</v>
      </c>
      <c r="E753" s="1" t="s">
        <v>115</v>
      </c>
      <c r="F753" s="7">
        <v>2</v>
      </c>
      <c r="G753" s="7" t="s">
        <v>477</v>
      </c>
      <c r="H753" s="7" t="s">
        <v>490</v>
      </c>
      <c r="I753" s="9" t="s">
        <v>490</v>
      </c>
      <c r="J753" s="9">
        <v>753</v>
      </c>
      <c r="K753" s="7"/>
    </row>
    <row r="754" spans="1:11" x14ac:dyDescent="0.2">
      <c r="A754" s="7">
        <v>718</v>
      </c>
      <c r="B754" s="7">
        <v>47</v>
      </c>
      <c r="C754" s="1" t="str">
        <f t="shared" ref="C754:C785" si="310">IF(B754=40.2,"RANCHO AVENTURA 2",IF(B754=40.3,"RANCHO AVENTURA 3",IF(B754=41,"JAVIER CERVANTES",IF(B754=42,"LA HACHERA 1",IF(B754=43,"LA HACHERA 2",IF(B754=44,"LA HACHERA 3",IF(B754=45,"LA HACHERA 4",IF(B754=46,"LA HACHERA 5",IF(B754=47,"LA HACHERA 6",IF(B754=48.1,"JORGE LUIS REVELES C. 1",IF(B754=48.2,"JORGE LUIS REVELES C. 2",IF(B754=49,"RANCHO MENDEZ 1",IF(B754=50,"RANCHO MENDEZ 2",IF(B754=51,"RANCHO MENDEZ 3",IF(B754=52,"EL SAUCE",IF(B754=53,"LAS LAJAS",IF(B754=54,"EL TREBOL",IF(B754=55,"EL OLIMBO",IF(B754=56.1,"SANTA LUCIA 1",IF(B754=56.2,"SANTA LUCIA 2",IF(B754=57,"PARCELA 57",IF(B754=58,"MESHU",IF(B754=59,"LAS TAPONAS",IF(B754=60,"EL PUENTE",IF(B754=61,"LA ARENA",IF(B754=62,"LA CERCA",IF(B754=63,"PARCELA 63",IF(B754=64,"PARCELA 64",IF(B754=65,"PARCELA 65",IF(B754=66,"PARCELA 66"))))))))))))))))))))))))))))))</f>
        <v>LA HACHERA 6</v>
      </c>
      <c r="D754" s="7" t="s">
        <v>108</v>
      </c>
      <c r="E754" s="1" t="str">
        <f t="shared" ref="E754:E785" si="311">IF(B754=40.2,"FESTIVAL",IF(B754=40.3,"FESTIVAL",IF(B754=41,"CAMINO REAL",IF(B754=42,"PALMERITAS",IF(B754=43,"FORTUNA",IF(B754=44,"PALMERITAS",IF(B754=45,"FORTUNA",IF(B754=46,"CODIGO",IF(B754=47,"SENSATION",IF(B754=48.1,"FRONTERA",IF(B754=48.2,"FRONTERA",IF(B754=49,"FRONTERA",IF(B754=50,"FRONTERA",IF(B754=51,"SAN ANDREAS",IF(B754=52,"SAYULA",IF(B754=53,"SAYULA",IF(B754=54,"FRONTERA",IF(B754=55,"SAYULA",IF(B754=56.1,"SANTA MARIA",IF(B754=56.2,"SANTA MARIA",IF(B754=57,"ROYAL",IF(B754=58,"SENSATION",IF(B754=59,"FRONTERA",IF(B754=60,"SAYULA",IF(B754=61,"FRONTERA",IF(B754=62,"CAMINO REAL",IF(B754=63,"NO DOCUMENTADO",IF(B754=64,"FRONTERA",IF(B754=65,"SAN ANDREAS")))))))))))))))))))))))))))))</f>
        <v>SENSATION</v>
      </c>
      <c r="F754" s="7">
        <v>2</v>
      </c>
      <c r="G754" s="7" t="s">
        <v>476</v>
      </c>
      <c r="H754" s="7" t="s">
        <v>155</v>
      </c>
      <c r="I754" s="7" t="s">
        <v>155</v>
      </c>
      <c r="J754" s="7">
        <v>718</v>
      </c>
      <c r="K754" s="7"/>
    </row>
    <row r="755" spans="1:11" x14ac:dyDescent="0.2">
      <c r="A755" s="7">
        <v>719</v>
      </c>
      <c r="B755" s="7">
        <v>47</v>
      </c>
      <c r="C755" s="1" t="str">
        <f t="shared" si="310"/>
        <v>LA HACHERA 6</v>
      </c>
      <c r="D755" s="7" t="s">
        <v>108</v>
      </c>
      <c r="E755" s="1" t="str">
        <f t="shared" si="311"/>
        <v>SENSATION</v>
      </c>
      <c r="F755" s="7">
        <v>2</v>
      </c>
      <c r="G755" s="7" t="s">
        <v>476</v>
      </c>
      <c r="H755" s="7" t="s">
        <v>155</v>
      </c>
      <c r="I755" s="7" t="s">
        <v>155</v>
      </c>
      <c r="J755" s="7">
        <v>719</v>
      </c>
      <c r="K755" s="7"/>
    </row>
    <row r="756" spans="1:11" x14ac:dyDescent="0.2">
      <c r="A756" s="7">
        <v>720</v>
      </c>
      <c r="B756" s="7">
        <v>47</v>
      </c>
      <c r="C756" s="1" t="str">
        <f t="shared" si="310"/>
        <v>LA HACHERA 6</v>
      </c>
      <c r="D756" s="7" t="s">
        <v>108</v>
      </c>
      <c r="E756" s="1" t="str">
        <f t="shared" si="311"/>
        <v>SENSATION</v>
      </c>
      <c r="F756" s="7">
        <v>2</v>
      </c>
      <c r="G756" s="7" t="s">
        <v>476</v>
      </c>
      <c r="H756" s="7" t="s">
        <v>155</v>
      </c>
      <c r="I756" s="7" t="s">
        <v>155</v>
      </c>
      <c r="J756" s="7">
        <v>720</v>
      </c>
      <c r="K756" s="23" t="s">
        <v>638</v>
      </c>
    </row>
    <row r="757" spans="1:11" x14ac:dyDescent="0.2">
      <c r="A757" s="7">
        <v>721</v>
      </c>
      <c r="B757" s="7">
        <v>47</v>
      </c>
      <c r="C757" s="1" t="str">
        <f t="shared" si="310"/>
        <v>LA HACHERA 6</v>
      </c>
      <c r="D757" s="7" t="s">
        <v>108</v>
      </c>
      <c r="E757" s="1" t="str">
        <f t="shared" si="311"/>
        <v>SENSATION</v>
      </c>
      <c r="F757" s="7">
        <v>1</v>
      </c>
      <c r="G757" s="7" t="s">
        <v>477</v>
      </c>
      <c r="H757" s="7" t="s">
        <v>155</v>
      </c>
      <c r="I757" s="7" t="s">
        <v>155</v>
      </c>
      <c r="J757" s="7">
        <v>721</v>
      </c>
      <c r="K757" s="7"/>
    </row>
    <row r="758" spans="1:11" x14ac:dyDescent="0.2">
      <c r="A758" s="7">
        <v>754</v>
      </c>
      <c r="B758" s="7">
        <v>47</v>
      </c>
      <c r="C758" s="1" t="str">
        <f t="shared" si="310"/>
        <v>LA HACHERA 6</v>
      </c>
      <c r="D758" s="7" t="s">
        <v>108</v>
      </c>
      <c r="E758" s="1" t="str">
        <f t="shared" si="311"/>
        <v>SENSATION</v>
      </c>
      <c r="F758" s="7">
        <v>1</v>
      </c>
      <c r="G758" s="7" t="s">
        <v>477</v>
      </c>
      <c r="H758" s="7" t="s">
        <v>149</v>
      </c>
      <c r="I758" s="7" t="s">
        <v>480</v>
      </c>
      <c r="J758" s="7">
        <v>754</v>
      </c>
      <c r="K758" s="23"/>
    </row>
    <row r="759" spans="1:11" x14ac:dyDescent="0.2">
      <c r="A759" s="7">
        <v>755</v>
      </c>
      <c r="B759" s="7">
        <v>47</v>
      </c>
      <c r="C759" s="1" t="str">
        <f t="shared" si="310"/>
        <v>LA HACHERA 6</v>
      </c>
      <c r="D759" s="7" t="s">
        <v>108</v>
      </c>
      <c r="E759" s="1" t="str">
        <f t="shared" si="311"/>
        <v>SENSATION</v>
      </c>
      <c r="F759" s="7">
        <v>2</v>
      </c>
      <c r="G759" s="7" t="s">
        <v>477</v>
      </c>
      <c r="H759" s="7" t="s">
        <v>485</v>
      </c>
      <c r="I759" s="10" t="s">
        <v>485</v>
      </c>
      <c r="J759" s="10">
        <v>755</v>
      </c>
      <c r="K759" s="7"/>
    </row>
    <row r="760" spans="1:11" x14ac:dyDescent="0.2">
      <c r="A760" s="7">
        <v>756</v>
      </c>
      <c r="B760" s="7">
        <v>47</v>
      </c>
      <c r="C760" s="1" t="str">
        <f t="shared" si="310"/>
        <v>LA HACHERA 6</v>
      </c>
      <c r="D760" s="7" t="s">
        <v>108</v>
      </c>
      <c r="E760" s="1" t="str">
        <f t="shared" si="311"/>
        <v>SENSATION</v>
      </c>
      <c r="F760" s="7">
        <v>2</v>
      </c>
      <c r="G760" s="7" t="s">
        <v>477</v>
      </c>
      <c r="H760" s="7" t="s">
        <v>490</v>
      </c>
      <c r="I760" s="9" t="s">
        <v>490</v>
      </c>
      <c r="J760" s="9">
        <v>756</v>
      </c>
      <c r="K760" s="7"/>
    </row>
    <row r="761" spans="1:11" x14ac:dyDescent="0.2">
      <c r="A761" s="7">
        <v>757</v>
      </c>
      <c r="B761" s="7">
        <v>48.1</v>
      </c>
      <c r="C761" s="1" t="str">
        <f t="shared" si="310"/>
        <v>JORGE LUIS REVELES C. 1</v>
      </c>
      <c r="D761" s="7" t="s">
        <v>108</v>
      </c>
      <c r="E761" s="1" t="str">
        <f t="shared" si="311"/>
        <v>FRONTERA</v>
      </c>
      <c r="F761" s="7">
        <v>1</v>
      </c>
      <c r="G761" s="7" t="s">
        <v>476</v>
      </c>
      <c r="H761" s="7" t="s">
        <v>149</v>
      </c>
      <c r="I761" s="7" t="s">
        <v>480</v>
      </c>
      <c r="J761" s="7">
        <v>757</v>
      </c>
      <c r="K761" s="7"/>
    </row>
    <row r="762" spans="1:11" x14ac:dyDescent="0.2">
      <c r="A762" s="7">
        <v>758</v>
      </c>
      <c r="B762" s="7">
        <v>48.1</v>
      </c>
      <c r="C762" s="1" t="str">
        <f t="shared" si="310"/>
        <v>JORGE LUIS REVELES C. 1</v>
      </c>
      <c r="D762" s="7" t="s">
        <v>108</v>
      </c>
      <c r="E762" s="1" t="str">
        <f t="shared" si="311"/>
        <v>FRONTERA</v>
      </c>
      <c r="F762" s="7">
        <v>2</v>
      </c>
      <c r="G762" s="7" t="s">
        <v>476</v>
      </c>
      <c r="H762" s="7" t="s">
        <v>155</v>
      </c>
      <c r="I762" s="7" t="s">
        <v>155</v>
      </c>
      <c r="J762" s="7">
        <v>758</v>
      </c>
      <c r="K762" s="7"/>
    </row>
    <row r="763" spans="1:11" x14ac:dyDescent="0.2">
      <c r="A763" s="7">
        <v>759</v>
      </c>
      <c r="B763" s="7">
        <v>48.1</v>
      </c>
      <c r="C763" s="1" t="str">
        <f t="shared" si="310"/>
        <v>JORGE LUIS REVELES C. 1</v>
      </c>
      <c r="D763" s="7" t="s">
        <v>108</v>
      </c>
      <c r="E763" s="1" t="str">
        <f t="shared" si="311"/>
        <v>FRONTERA</v>
      </c>
      <c r="F763" s="7">
        <v>2</v>
      </c>
      <c r="G763" s="7" t="s">
        <v>476</v>
      </c>
      <c r="H763" s="7" t="s">
        <v>490</v>
      </c>
      <c r="I763" s="9" t="s">
        <v>490</v>
      </c>
      <c r="J763" s="9">
        <v>759</v>
      </c>
      <c r="K763" s="7"/>
    </row>
    <row r="764" spans="1:11" x14ac:dyDescent="0.2">
      <c r="A764" s="7">
        <v>760</v>
      </c>
      <c r="B764" s="7">
        <v>48.1</v>
      </c>
      <c r="C764" s="1" t="str">
        <f t="shared" si="310"/>
        <v>JORGE LUIS REVELES C. 1</v>
      </c>
      <c r="D764" s="7" t="s">
        <v>108</v>
      </c>
      <c r="E764" s="1" t="str">
        <f t="shared" si="311"/>
        <v>FRONTERA</v>
      </c>
      <c r="F764" s="7">
        <v>1</v>
      </c>
      <c r="G764" s="7" t="s">
        <v>477</v>
      </c>
      <c r="H764" s="7" t="s">
        <v>155</v>
      </c>
      <c r="I764" s="7" t="s">
        <v>155</v>
      </c>
      <c r="J764" s="7">
        <v>760</v>
      </c>
      <c r="K764" s="23"/>
    </row>
    <row r="765" spans="1:11" x14ac:dyDescent="0.2">
      <c r="A765" s="7">
        <v>761</v>
      </c>
      <c r="B765" s="7">
        <v>48.1</v>
      </c>
      <c r="C765" s="1" t="str">
        <f t="shared" si="310"/>
        <v>JORGE LUIS REVELES C. 1</v>
      </c>
      <c r="D765" s="7" t="s">
        <v>108</v>
      </c>
      <c r="E765" s="1" t="str">
        <f t="shared" si="311"/>
        <v>FRONTERA</v>
      </c>
      <c r="F765" s="7">
        <v>1</v>
      </c>
      <c r="G765" s="7" t="s">
        <v>477</v>
      </c>
      <c r="H765" s="7" t="s">
        <v>149</v>
      </c>
      <c r="I765" s="7" t="s">
        <v>478</v>
      </c>
      <c r="J765" s="7">
        <v>761</v>
      </c>
      <c r="K765" s="23"/>
    </row>
    <row r="766" spans="1:11" x14ac:dyDescent="0.2">
      <c r="A766" s="7">
        <v>762</v>
      </c>
      <c r="B766" s="7">
        <v>49</v>
      </c>
      <c r="C766" s="1" t="str">
        <f t="shared" si="310"/>
        <v>RANCHO MENDEZ 1</v>
      </c>
      <c r="D766" s="7" t="s">
        <v>108</v>
      </c>
      <c r="E766" s="1" t="str">
        <f t="shared" si="311"/>
        <v>FRONTERA</v>
      </c>
      <c r="F766" s="7">
        <v>1</v>
      </c>
      <c r="G766" s="7" t="s">
        <v>476</v>
      </c>
      <c r="H766" s="7" t="s">
        <v>149</v>
      </c>
      <c r="I766" s="7" t="s">
        <v>478</v>
      </c>
      <c r="J766" s="7">
        <v>762</v>
      </c>
      <c r="K766" s="7"/>
    </row>
    <row r="767" spans="1:11" x14ac:dyDescent="0.2">
      <c r="A767" s="7">
        <v>763</v>
      </c>
      <c r="B767" s="7">
        <v>49</v>
      </c>
      <c r="C767" s="1" t="str">
        <f t="shared" si="310"/>
        <v>RANCHO MENDEZ 1</v>
      </c>
      <c r="D767" s="7" t="s">
        <v>108</v>
      </c>
      <c r="E767" s="1" t="str">
        <f t="shared" si="311"/>
        <v>FRONTERA</v>
      </c>
      <c r="F767" s="7">
        <v>2</v>
      </c>
      <c r="G767" s="7" t="s">
        <v>477</v>
      </c>
      <c r="H767" s="7" t="s">
        <v>155</v>
      </c>
      <c r="I767" s="7" t="s">
        <v>155</v>
      </c>
      <c r="J767" s="7">
        <v>763</v>
      </c>
      <c r="K767" s="23"/>
    </row>
    <row r="768" spans="1:11" x14ac:dyDescent="0.2">
      <c r="A768" s="7">
        <v>764</v>
      </c>
      <c r="B768" s="7">
        <v>49</v>
      </c>
      <c r="C768" s="1" t="str">
        <f t="shared" si="310"/>
        <v>RANCHO MENDEZ 1</v>
      </c>
      <c r="D768" s="7" t="s">
        <v>108</v>
      </c>
      <c r="E768" s="1" t="str">
        <f t="shared" si="311"/>
        <v>FRONTERA</v>
      </c>
      <c r="F768" s="7">
        <v>2</v>
      </c>
      <c r="G768" s="7" t="s">
        <v>477</v>
      </c>
      <c r="H768" s="7" t="s">
        <v>471</v>
      </c>
      <c r="I768" s="7" t="s">
        <v>471</v>
      </c>
      <c r="J768" s="7">
        <v>764</v>
      </c>
      <c r="K768" s="23"/>
    </row>
    <row r="769" spans="1:11" x14ac:dyDescent="0.2">
      <c r="A769" s="7">
        <v>765</v>
      </c>
      <c r="B769" s="7">
        <v>50</v>
      </c>
      <c r="C769" s="1" t="str">
        <f t="shared" si="310"/>
        <v>RANCHO MENDEZ 2</v>
      </c>
      <c r="D769" s="7" t="s">
        <v>108</v>
      </c>
      <c r="E769" s="1" t="str">
        <f t="shared" si="311"/>
        <v>FRONTERA</v>
      </c>
      <c r="F769" s="7">
        <v>1</v>
      </c>
      <c r="G769" s="7" t="s">
        <v>476</v>
      </c>
      <c r="H769" s="7" t="s">
        <v>473</v>
      </c>
      <c r="I769" s="26" t="s">
        <v>473</v>
      </c>
      <c r="J769" s="26">
        <v>765</v>
      </c>
      <c r="K769" s="7"/>
    </row>
    <row r="770" spans="1:11" x14ac:dyDescent="0.2">
      <c r="A770" s="7">
        <v>766</v>
      </c>
      <c r="B770" s="7">
        <v>50</v>
      </c>
      <c r="C770" s="1" t="str">
        <f t="shared" si="310"/>
        <v>RANCHO MENDEZ 2</v>
      </c>
      <c r="D770" s="7" t="s">
        <v>108</v>
      </c>
      <c r="E770" s="1" t="str">
        <f t="shared" si="311"/>
        <v>FRONTERA</v>
      </c>
      <c r="F770" s="7">
        <v>1</v>
      </c>
      <c r="G770" s="7" t="s">
        <v>476</v>
      </c>
      <c r="H770" s="7" t="s">
        <v>473</v>
      </c>
      <c r="I770" s="26" t="s">
        <v>473</v>
      </c>
      <c r="J770" s="26">
        <v>766</v>
      </c>
      <c r="K770" s="7"/>
    </row>
    <row r="771" spans="1:11" x14ac:dyDescent="0.2">
      <c r="A771" s="7">
        <v>767</v>
      </c>
      <c r="B771" s="7">
        <v>50</v>
      </c>
      <c r="C771" s="1" t="str">
        <f t="shared" si="310"/>
        <v>RANCHO MENDEZ 2</v>
      </c>
      <c r="D771" s="7" t="s">
        <v>108</v>
      </c>
      <c r="E771" s="1" t="str">
        <f t="shared" si="311"/>
        <v>FRONTERA</v>
      </c>
      <c r="F771" s="7">
        <v>1</v>
      </c>
      <c r="G771" s="7" t="s">
        <v>477</v>
      </c>
      <c r="H771" s="7" t="s">
        <v>155</v>
      </c>
      <c r="I771" s="7" t="s">
        <v>155</v>
      </c>
      <c r="J771" s="7">
        <v>767</v>
      </c>
      <c r="K771" s="7"/>
    </row>
    <row r="772" spans="1:11" x14ac:dyDescent="0.2">
      <c r="A772" s="7">
        <v>768</v>
      </c>
      <c r="B772" s="7">
        <v>50</v>
      </c>
      <c r="C772" s="1" t="str">
        <f t="shared" si="310"/>
        <v>RANCHO MENDEZ 2</v>
      </c>
      <c r="D772" s="7" t="s">
        <v>108</v>
      </c>
      <c r="E772" s="1" t="str">
        <f t="shared" si="311"/>
        <v>FRONTERA</v>
      </c>
      <c r="F772" s="7">
        <v>1</v>
      </c>
      <c r="G772" s="7" t="s">
        <v>477</v>
      </c>
      <c r="H772" s="7" t="s">
        <v>149</v>
      </c>
      <c r="I772" s="7" t="s">
        <v>478</v>
      </c>
      <c r="J772" s="7">
        <v>768</v>
      </c>
      <c r="K772" s="7"/>
    </row>
    <row r="773" spans="1:11" x14ac:dyDescent="0.2">
      <c r="A773" s="7">
        <v>769</v>
      </c>
      <c r="B773" s="7">
        <v>50</v>
      </c>
      <c r="C773" s="1" t="str">
        <f t="shared" si="310"/>
        <v>RANCHO MENDEZ 2</v>
      </c>
      <c r="D773" s="7" t="s">
        <v>108</v>
      </c>
      <c r="E773" s="1" t="str">
        <f t="shared" si="311"/>
        <v>FRONTERA</v>
      </c>
      <c r="F773" s="7">
        <v>2</v>
      </c>
      <c r="G773" s="7" t="s">
        <v>476</v>
      </c>
      <c r="H773" s="7" t="s">
        <v>155</v>
      </c>
      <c r="I773" s="7" t="s">
        <v>155</v>
      </c>
      <c r="J773" s="7">
        <v>769</v>
      </c>
      <c r="K773" s="7"/>
    </row>
    <row r="774" spans="1:11" x14ac:dyDescent="0.2">
      <c r="A774" s="7">
        <v>770</v>
      </c>
      <c r="B774" s="7">
        <v>50</v>
      </c>
      <c r="C774" s="1" t="str">
        <f t="shared" si="310"/>
        <v>RANCHO MENDEZ 2</v>
      </c>
      <c r="D774" s="7" t="s">
        <v>108</v>
      </c>
      <c r="E774" s="1" t="str">
        <f t="shared" si="311"/>
        <v>FRONTERA</v>
      </c>
      <c r="F774" s="7">
        <v>2</v>
      </c>
      <c r="G774" s="7" t="s">
        <v>476</v>
      </c>
      <c r="H774" s="7" t="s">
        <v>473</v>
      </c>
      <c r="I774" s="26" t="s">
        <v>473</v>
      </c>
      <c r="J774" s="26">
        <v>770</v>
      </c>
      <c r="K774" s="7"/>
    </row>
    <row r="775" spans="1:11" x14ac:dyDescent="0.2">
      <c r="A775" s="7">
        <v>771</v>
      </c>
      <c r="B775" s="7">
        <v>51</v>
      </c>
      <c r="C775" s="1" t="str">
        <f t="shared" si="310"/>
        <v>RANCHO MENDEZ 3</v>
      </c>
      <c r="D775" s="7" t="s">
        <v>108</v>
      </c>
      <c r="E775" s="1" t="str">
        <f t="shared" si="311"/>
        <v>SAN ANDREAS</v>
      </c>
      <c r="F775" s="7">
        <v>1</v>
      </c>
      <c r="G775" s="7" t="s">
        <v>476</v>
      </c>
      <c r="H775" s="7" t="s">
        <v>155</v>
      </c>
      <c r="I775" s="7" t="s">
        <v>155</v>
      </c>
      <c r="J775" s="7">
        <v>771</v>
      </c>
      <c r="K775" s="23"/>
    </row>
    <row r="776" spans="1:11" x14ac:dyDescent="0.2">
      <c r="A776" s="7">
        <v>772</v>
      </c>
      <c r="B776" s="7">
        <v>51</v>
      </c>
      <c r="C776" s="1" t="str">
        <f t="shared" si="310"/>
        <v>RANCHO MENDEZ 3</v>
      </c>
      <c r="D776" s="7" t="s">
        <v>108</v>
      </c>
      <c r="E776" s="1" t="str">
        <f t="shared" si="311"/>
        <v>SAN ANDREAS</v>
      </c>
      <c r="F776" s="7">
        <v>2</v>
      </c>
      <c r="G776" s="7" t="s">
        <v>476</v>
      </c>
      <c r="H776" s="7" t="s">
        <v>485</v>
      </c>
      <c r="I776" s="10" t="s">
        <v>485</v>
      </c>
      <c r="J776" s="10">
        <v>772</v>
      </c>
      <c r="K776" s="7"/>
    </row>
    <row r="777" spans="1:11" x14ac:dyDescent="0.2">
      <c r="A777" s="7">
        <v>773</v>
      </c>
      <c r="B777" s="7">
        <v>51</v>
      </c>
      <c r="C777" s="1" t="str">
        <f t="shared" si="310"/>
        <v>RANCHO MENDEZ 3</v>
      </c>
      <c r="D777" s="7" t="s">
        <v>108</v>
      </c>
      <c r="E777" s="1" t="str">
        <f t="shared" si="311"/>
        <v>SAN ANDREAS</v>
      </c>
      <c r="F777" s="7">
        <v>2</v>
      </c>
      <c r="G777" s="7" t="s">
        <v>476</v>
      </c>
      <c r="H777" s="7" t="s">
        <v>149</v>
      </c>
      <c r="I777" s="7" t="s">
        <v>478</v>
      </c>
      <c r="J777" s="7">
        <v>773</v>
      </c>
      <c r="K777" s="23"/>
    </row>
    <row r="778" spans="1:11" x14ac:dyDescent="0.2">
      <c r="A778" s="7">
        <v>774</v>
      </c>
      <c r="B778" s="7">
        <v>52</v>
      </c>
      <c r="C778" s="1" t="str">
        <f t="shared" si="310"/>
        <v>EL SAUCE</v>
      </c>
      <c r="D778" s="7" t="s">
        <v>108</v>
      </c>
      <c r="E778" s="1" t="str">
        <f t="shared" si="311"/>
        <v>SAYULA</v>
      </c>
      <c r="F778" s="7">
        <v>1</v>
      </c>
      <c r="G778" s="7" t="s">
        <v>476</v>
      </c>
      <c r="H778" s="7" t="s">
        <v>155</v>
      </c>
      <c r="I778" s="7" t="s">
        <v>155</v>
      </c>
      <c r="J778" s="7">
        <v>774</v>
      </c>
      <c r="K778" s="7"/>
    </row>
    <row r="779" spans="1:11" x14ac:dyDescent="0.2">
      <c r="A779" s="7">
        <v>775</v>
      </c>
      <c r="B779" s="7">
        <v>52</v>
      </c>
      <c r="C779" s="1" t="str">
        <f t="shared" si="310"/>
        <v>EL SAUCE</v>
      </c>
      <c r="D779" s="7" t="s">
        <v>108</v>
      </c>
      <c r="E779" s="1" t="str">
        <f t="shared" si="311"/>
        <v>SAYULA</v>
      </c>
      <c r="F779" s="7">
        <v>2</v>
      </c>
      <c r="G779" s="7" t="s">
        <v>476</v>
      </c>
      <c r="H779" s="7" t="s">
        <v>155</v>
      </c>
      <c r="I779" s="7" t="s">
        <v>155</v>
      </c>
      <c r="J779" s="7">
        <v>775</v>
      </c>
      <c r="K779" s="7"/>
    </row>
    <row r="780" spans="1:11" x14ac:dyDescent="0.2">
      <c r="A780" s="7">
        <v>776</v>
      </c>
      <c r="B780" s="7">
        <v>52</v>
      </c>
      <c r="C780" s="1" t="str">
        <f t="shared" si="310"/>
        <v>EL SAUCE</v>
      </c>
      <c r="D780" s="7" t="s">
        <v>108</v>
      </c>
      <c r="E780" s="1" t="str">
        <f t="shared" si="311"/>
        <v>SAYULA</v>
      </c>
      <c r="F780" s="7">
        <v>2</v>
      </c>
      <c r="G780" s="7" t="s">
        <v>476</v>
      </c>
      <c r="H780" s="7" t="s">
        <v>155</v>
      </c>
      <c r="I780" s="7" t="s">
        <v>155</v>
      </c>
      <c r="J780" s="7">
        <v>776</v>
      </c>
      <c r="K780" s="23"/>
    </row>
    <row r="781" spans="1:11" x14ac:dyDescent="0.2">
      <c r="A781" s="7">
        <v>777</v>
      </c>
      <c r="B781" s="7">
        <v>52</v>
      </c>
      <c r="C781" s="1" t="str">
        <f t="shared" si="310"/>
        <v>EL SAUCE</v>
      </c>
      <c r="D781" s="7" t="s">
        <v>108</v>
      </c>
      <c r="E781" s="1" t="str">
        <f t="shared" si="311"/>
        <v>SAYULA</v>
      </c>
      <c r="F781" s="7">
        <v>1</v>
      </c>
      <c r="G781" s="7" t="s">
        <v>477</v>
      </c>
      <c r="H781" s="7" t="s">
        <v>155</v>
      </c>
      <c r="I781" s="7" t="s">
        <v>155</v>
      </c>
      <c r="J781" s="7">
        <v>777</v>
      </c>
      <c r="K781" s="7"/>
    </row>
    <row r="782" spans="1:11" x14ac:dyDescent="0.2">
      <c r="A782" s="7">
        <v>778</v>
      </c>
      <c r="B782" s="7">
        <v>52</v>
      </c>
      <c r="C782" s="1" t="str">
        <f t="shared" si="310"/>
        <v>EL SAUCE</v>
      </c>
      <c r="D782" s="7" t="s">
        <v>108</v>
      </c>
      <c r="E782" s="1" t="str">
        <f t="shared" si="311"/>
        <v>SAYULA</v>
      </c>
      <c r="F782" s="7">
        <v>1</v>
      </c>
      <c r="G782" s="7" t="s">
        <v>477</v>
      </c>
      <c r="H782" s="7" t="s">
        <v>485</v>
      </c>
      <c r="I782" s="10" t="s">
        <v>485</v>
      </c>
      <c r="J782" s="10">
        <v>778</v>
      </c>
      <c r="K782" s="7"/>
    </row>
    <row r="783" spans="1:11" x14ac:dyDescent="0.2">
      <c r="A783" s="7">
        <v>779</v>
      </c>
      <c r="B783" s="7">
        <v>52</v>
      </c>
      <c r="C783" s="1" t="str">
        <f t="shared" si="310"/>
        <v>EL SAUCE</v>
      </c>
      <c r="D783" s="7" t="s">
        <v>108</v>
      </c>
      <c r="E783" s="1" t="str">
        <f t="shared" si="311"/>
        <v>SAYULA</v>
      </c>
      <c r="F783" s="7">
        <v>2</v>
      </c>
      <c r="G783" s="7" t="s">
        <v>477</v>
      </c>
      <c r="H783" s="7" t="s">
        <v>473</v>
      </c>
      <c r="I783" s="26" t="s">
        <v>473</v>
      </c>
      <c r="J783" s="26">
        <v>779</v>
      </c>
      <c r="K783" s="7"/>
    </row>
    <row r="784" spans="1:11" x14ac:dyDescent="0.2">
      <c r="A784" s="7">
        <v>780</v>
      </c>
      <c r="B784" s="7">
        <v>54</v>
      </c>
      <c r="C784" s="1" t="str">
        <f t="shared" si="310"/>
        <v>EL TREBOL</v>
      </c>
      <c r="D784" s="7" t="s">
        <v>108</v>
      </c>
      <c r="E784" s="1" t="str">
        <f t="shared" si="311"/>
        <v>FRONTERA</v>
      </c>
      <c r="F784" s="7">
        <v>2</v>
      </c>
      <c r="G784" s="7" t="s">
        <v>476</v>
      </c>
      <c r="H784" s="7" t="s">
        <v>155</v>
      </c>
      <c r="I784" s="7" t="s">
        <v>155</v>
      </c>
      <c r="J784" s="7">
        <v>780</v>
      </c>
      <c r="K784" s="23"/>
    </row>
    <row r="785" spans="1:11" x14ac:dyDescent="0.2">
      <c r="A785" s="7">
        <v>781</v>
      </c>
      <c r="B785" s="7">
        <v>54</v>
      </c>
      <c r="C785" s="1" t="str">
        <f t="shared" si="310"/>
        <v>EL TREBOL</v>
      </c>
      <c r="D785" s="7" t="s">
        <v>108</v>
      </c>
      <c r="E785" s="1" t="str">
        <f t="shared" si="311"/>
        <v>FRONTERA</v>
      </c>
      <c r="F785" s="7">
        <v>1</v>
      </c>
      <c r="G785" s="7" t="s">
        <v>477</v>
      </c>
      <c r="H785" s="7" t="s">
        <v>155</v>
      </c>
      <c r="I785" s="7" t="s">
        <v>155</v>
      </c>
      <c r="J785" s="7">
        <v>781</v>
      </c>
      <c r="K785" s="7"/>
    </row>
    <row r="786" spans="1:11" x14ac:dyDescent="0.2">
      <c r="A786" s="7">
        <v>782</v>
      </c>
      <c r="B786" s="7">
        <v>54</v>
      </c>
      <c r="C786" s="1" t="str">
        <f t="shared" ref="C786:C817" si="312">IF(B786=40.2,"RANCHO AVENTURA 2",IF(B786=40.3,"RANCHO AVENTURA 3",IF(B786=41,"JAVIER CERVANTES",IF(B786=42,"LA HACHERA 1",IF(B786=43,"LA HACHERA 2",IF(B786=44,"LA HACHERA 3",IF(B786=45,"LA HACHERA 4",IF(B786=46,"LA HACHERA 5",IF(B786=47,"LA HACHERA 6",IF(B786=48.1,"JORGE LUIS REVELES C. 1",IF(B786=48.2,"JORGE LUIS REVELES C. 2",IF(B786=49,"RANCHO MENDEZ 1",IF(B786=50,"RANCHO MENDEZ 2",IF(B786=51,"RANCHO MENDEZ 3",IF(B786=52,"EL SAUCE",IF(B786=53,"LAS LAJAS",IF(B786=54,"EL TREBOL",IF(B786=55,"EL OLIMBO",IF(B786=56.1,"SANTA LUCIA 1",IF(B786=56.2,"SANTA LUCIA 2",IF(B786=57,"PARCELA 57",IF(B786=58,"MESHU",IF(B786=59,"LAS TAPONAS",IF(B786=60,"EL PUENTE",IF(B786=61,"LA ARENA",IF(B786=62,"LA CERCA",IF(B786=63,"PARCELA 63",IF(B786=64,"PARCELA 64",IF(B786=65,"PARCELA 65",IF(B786=66,"PARCELA 66"))))))))))))))))))))))))))))))</f>
        <v>EL TREBOL</v>
      </c>
      <c r="D786" s="7" t="s">
        <v>108</v>
      </c>
      <c r="E786" s="1" t="str">
        <f t="shared" ref="E786:E817" si="313">IF(B786=40.2,"FESTIVAL",IF(B786=40.3,"FESTIVAL",IF(B786=41,"CAMINO REAL",IF(B786=42,"PALMERITAS",IF(B786=43,"FORTUNA",IF(B786=44,"PALMERITAS",IF(B786=45,"FORTUNA",IF(B786=46,"CODIGO",IF(B786=47,"SENSATION",IF(B786=48.1,"FRONTERA",IF(B786=48.2,"FRONTERA",IF(B786=49,"FRONTERA",IF(B786=50,"FRONTERA",IF(B786=51,"SAN ANDREAS",IF(B786=52,"SAYULA",IF(B786=53,"SAYULA",IF(B786=54,"FRONTERA",IF(B786=55,"SAYULA",IF(B786=56.1,"SANTA MARIA",IF(B786=56.2,"SANTA MARIA",IF(B786=57,"ROYAL",IF(B786=58,"SENSATION",IF(B786=59,"FRONTERA",IF(B786=60,"SAYULA",IF(B786=61,"FRONTERA",IF(B786=62,"CAMINO REAL",IF(B786=63,"NO DOCUMENTADO",IF(B786=64,"FRONTERA",IF(B786=65,"SAN ANDREAS")))))))))))))))))))))))))))))</f>
        <v>FRONTERA</v>
      </c>
      <c r="F786" s="7">
        <v>1</v>
      </c>
      <c r="G786" s="7" t="s">
        <v>477</v>
      </c>
      <c r="H786" s="7" t="s">
        <v>149</v>
      </c>
      <c r="I786" s="7" t="s">
        <v>480</v>
      </c>
      <c r="J786" s="7">
        <v>782</v>
      </c>
      <c r="K786" s="23"/>
    </row>
    <row r="787" spans="1:11" x14ac:dyDescent="0.2">
      <c r="A787" s="7">
        <v>783</v>
      </c>
      <c r="B787" s="7">
        <v>55</v>
      </c>
      <c r="C787" s="1" t="str">
        <f t="shared" si="312"/>
        <v>EL OLIMBO</v>
      </c>
      <c r="D787" s="7" t="s">
        <v>108</v>
      </c>
      <c r="E787" s="1" t="str">
        <f t="shared" si="313"/>
        <v>SAYULA</v>
      </c>
      <c r="F787" s="7">
        <v>1</v>
      </c>
      <c r="G787" s="7" t="s">
        <v>477</v>
      </c>
      <c r="H787" s="7" t="s">
        <v>155</v>
      </c>
      <c r="I787" s="7" t="s">
        <v>155</v>
      </c>
      <c r="J787" s="7">
        <v>783</v>
      </c>
      <c r="K787" s="7"/>
    </row>
    <row r="788" spans="1:11" x14ac:dyDescent="0.2">
      <c r="A788" s="7">
        <v>784</v>
      </c>
      <c r="B788" s="7">
        <v>55</v>
      </c>
      <c r="C788" s="1" t="str">
        <f t="shared" si="312"/>
        <v>EL OLIMBO</v>
      </c>
      <c r="D788" s="7" t="s">
        <v>108</v>
      </c>
      <c r="E788" s="1" t="str">
        <f t="shared" si="313"/>
        <v>SAYULA</v>
      </c>
      <c r="F788" s="7">
        <v>1</v>
      </c>
      <c r="G788" s="7" t="s">
        <v>477</v>
      </c>
      <c r="H788" s="7" t="s">
        <v>155</v>
      </c>
      <c r="I788" s="7" t="s">
        <v>155</v>
      </c>
      <c r="J788" s="7">
        <v>784</v>
      </c>
      <c r="K788" s="7"/>
    </row>
    <row r="789" spans="1:11" x14ac:dyDescent="0.2">
      <c r="A789" s="7">
        <v>785</v>
      </c>
      <c r="B789" s="7">
        <v>55</v>
      </c>
      <c r="C789" s="1" t="str">
        <f t="shared" si="312"/>
        <v>EL OLIMBO</v>
      </c>
      <c r="D789" s="7" t="s">
        <v>108</v>
      </c>
      <c r="E789" s="1" t="str">
        <f t="shared" si="313"/>
        <v>SAYULA</v>
      </c>
      <c r="F789" s="7">
        <v>2</v>
      </c>
      <c r="G789" s="7" t="s">
        <v>477</v>
      </c>
      <c r="H789" s="7" t="s">
        <v>155</v>
      </c>
      <c r="I789" s="7" t="s">
        <v>155</v>
      </c>
      <c r="J789" s="7">
        <v>785</v>
      </c>
      <c r="K789" s="7"/>
    </row>
    <row r="790" spans="1:11" x14ac:dyDescent="0.2">
      <c r="A790" s="7">
        <v>786</v>
      </c>
      <c r="B790" s="7">
        <v>55</v>
      </c>
      <c r="C790" s="1" t="str">
        <f t="shared" si="312"/>
        <v>EL OLIMBO</v>
      </c>
      <c r="D790" s="7" t="s">
        <v>108</v>
      </c>
      <c r="E790" s="1" t="str">
        <f t="shared" si="313"/>
        <v>SAYULA</v>
      </c>
      <c r="F790" s="7">
        <v>2</v>
      </c>
      <c r="G790" s="7" t="s">
        <v>477</v>
      </c>
      <c r="H790" s="7" t="s">
        <v>155</v>
      </c>
      <c r="I790" s="7" t="s">
        <v>155</v>
      </c>
      <c r="J790" s="7">
        <v>786</v>
      </c>
      <c r="K790" s="23"/>
    </row>
    <row r="791" spans="1:11" x14ac:dyDescent="0.2">
      <c r="A791" s="7">
        <v>787</v>
      </c>
      <c r="B791" s="7">
        <v>55</v>
      </c>
      <c r="C791" s="1" t="str">
        <f t="shared" si="312"/>
        <v>EL OLIMBO</v>
      </c>
      <c r="D791" s="7" t="s">
        <v>108</v>
      </c>
      <c r="E791" s="1" t="str">
        <f t="shared" si="313"/>
        <v>SAYULA</v>
      </c>
      <c r="F791" s="7">
        <v>2</v>
      </c>
      <c r="G791" s="7" t="s">
        <v>477</v>
      </c>
      <c r="H791" s="7" t="s">
        <v>149</v>
      </c>
      <c r="I791" s="7" t="s">
        <v>480</v>
      </c>
      <c r="J791" s="7">
        <v>787</v>
      </c>
      <c r="K791" s="23"/>
    </row>
    <row r="792" spans="1:11" x14ac:dyDescent="0.2">
      <c r="A792" s="7">
        <v>788</v>
      </c>
      <c r="B792" s="7">
        <v>55</v>
      </c>
      <c r="C792" s="1" t="str">
        <f t="shared" si="312"/>
        <v>EL OLIMBO</v>
      </c>
      <c r="D792" s="7" t="s">
        <v>108</v>
      </c>
      <c r="E792" s="1" t="str">
        <f t="shared" si="313"/>
        <v>SAYULA</v>
      </c>
      <c r="F792" s="7">
        <v>1</v>
      </c>
      <c r="G792" s="7" t="s">
        <v>476</v>
      </c>
      <c r="H792" s="7" t="s">
        <v>155</v>
      </c>
      <c r="I792" s="7" t="s">
        <v>155</v>
      </c>
      <c r="J792" s="7">
        <v>788</v>
      </c>
      <c r="K792" s="7"/>
    </row>
    <row r="793" spans="1:11" x14ac:dyDescent="0.2">
      <c r="A793" s="7">
        <v>789</v>
      </c>
      <c r="B793" s="7">
        <v>55</v>
      </c>
      <c r="C793" s="1" t="str">
        <f t="shared" si="312"/>
        <v>EL OLIMBO</v>
      </c>
      <c r="D793" s="7" t="s">
        <v>108</v>
      </c>
      <c r="E793" s="1" t="str">
        <f t="shared" si="313"/>
        <v>SAYULA</v>
      </c>
      <c r="F793" s="7">
        <v>1</v>
      </c>
      <c r="G793" s="7" t="s">
        <v>476</v>
      </c>
      <c r="H793" s="7" t="s">
        <v>155</v>
      </c>
      <c r="I793" s="7" t="s">
        <v>155</v>
      </c>
      <c r="J793" s="7">
        <v>789</v>
      </c>
      <c r="K793" s="7"/>
    </row>
    <row r="794" spans="1:11" x14ac:dyDescent="0.2">
      <c r="A794" s="7">
        <v>790</v>
      </c>
      <c r="B794" s="7">
        <v>55</v>
      </c>
      <c r="C794" s="1" t="str">
        <f t="shared" si="312"/>
        <v>EL OLIMBO</v>
      </c>
      <c r="D794" s="7" t="s">
        <v>108</v>
      </c>
      <c r="E794" s="1" t="str">
        <f t="shared" si="313"/>
        <v>SAYULA</v>
      </c>
      <c r="F794" s="7">
        <v>2</v>
      </c>
      <c r="G794" s="7" t="s">
        <v>476</v>
      </c>
      <c r="H794" s="7" t="s">
        <v>155</v>
      </c>
      <c r="I794" s="7" t="s">
        <v>155</v>
      </c>
      <c r="J794" s="7">
        <v>790</v>
      </c>
      <c r="K794" s="7"/>
    </row>
    <row r="795" spans="1:11" x14ac:dyDescent="0.2">
      <c r="A795" s="7">
        <v>791</v>
      </c>
      <c r="B795" s="7">
        <v>55</v>
      </c>
      <c r="C795" s="1" t="str">
        <f t="shared" si="312"/>
        <v>EL OLIMBO</v>
      </c>
      <c r="D795" s="7" t="s">
        <v>108</v>
      </c>
      <c r="E795" s="1" t="str">
        <f t="shared" si="313"/>
        <v>SAYULA</v>
      </c>
      <c r="F795" s="7">
        <v>2</v>
      </c>
      <c r="G795" s="7" t="s">
        <v>476</v>
      </c>
      <c r="H795" s="7" t="s">
        <v>155</v>
      </c>
      <c r="I795" s="7" t="s">
        <v>155</v>
      </c>
      <c r="J795" s="7">
        <v>791</v>
      </c>
      <c r="K795" s="7"/>
    </row>
    <row r="796" spans="1:11" x14ac:dyDescent="0.2">
      <c r="A796" s="7">
        <v>792</v>
      </c>
      <c r="B796" s="7">
        <v>56.1</v>
      </c>
      <c r="C796" s="1" t="str">
        <f t="shared" si="312"/>
        <v>SANTA LUCIA 1</v>
      </c>
      <c r="D796" s="7" t="s">
        <v>108</v>
      </c>
      <c r="E796" s="1" t="str">
        <f t="shared" si="313"/>
        <v>SANTA MARIA</v>
      </c>
      <c r="F796" s="7">
        <v>1</v>
      </c>
      <c r="G796" s="7" t="s">
        <v>477</v>
      </c>
      <c r="H796" s="7" t="s">
        <v>155</v>
      </c>
      <c r="I796" s="7" t="s">
        <v>155</v>
      </c>
      <c r="J796" s="7">
        <v>792</v>
      </c>
      <c r="K796" s="7"/>
    </row>
    <row r="797" spans="1:11" x14ac:dyDescent="0.2">
      <c r="A797" s="7">
        <v>793</v>
      </c>
      <c r="B797" s="7">
        <v>56.1</v>
      </c>
      <c r="C797" s="1" t="str">
        <f t="shared" si="312"/>
        <v>SANTA LUCIA 1</v>
      </c>
      <c r="D797" s="7" t="s">
        <v>108</v>
      </c>
      <c r="E797" s="1" t="str">
        <f t="shared" si="313"/>
        <v>SANTA MARIA</v>
      </c>
      <c r="F797" s="7">
        <v>1</v>
      </c>
      <c r="G797" s="7" t="s">
        <v>477</v>
      </c>
      <c r="H797" s="7" t="s">
        <v>155</v>
      </c>
      <c r="I797" s="7" t="s">
        <v>155</v>
      </c>
      <c r="J797" s="7">
        <v>793</v>
      </c>
      <c r="K797" s="23"/>
    </row>
    <row r="798" spans="1:11" x14ac:dyDescent="0.2">
      <c r="A798" s="7">
        <v>794</v>
      </c>
      <c r="B798" s="7">
        <v>57</v>
      </c>
      <c r="C798" s="1" t="str">
        <f t="shared" si="312"/>
        <v>PARCELA 57</v>
      </c>
      <c r="D798" s="7" t="s">
        <v>129</v>
      </c>
      <c r="E798" s="1" t="str">
        <f t="shared" si="313"/>
        <v>ROYAL</v>
      </c>
      <c r="F798" s="7">
        <v>1</v>
      </c>
      <c r="G798" s="7" t="s">
        <v>476</v>
      </c>
      <c r="H798" s="7" t="s">
        <v>149</v>
      </c>
      <c r="I798" s="7" t="s">
        <v>480</v>
      </c>
      <c r="J798" s="7">
        <v>794</v>
      </c>
      <c r="K798" s="23"/>
    </row>
    <row r="799" spans="1:11" x14ac:dyDescent="0.2">
      <c r="A799" s="7">
        <v>795</v>
      </c>
      <c r="B799" s="7">
        <v>57</v>
      </c>
      <c r="C799" s="1" t="str">
        <f t="shared" si="312"/>
        <v>PARCELA 57</v>
      </c>
      <c r="D799" s="7" t="s">
        <v>129</v>
      </c>
      <c r="E799" s="1" t="str">
        <f t="shared" si="313"/>
        <v>ROYAL</v>
      </c>
      <c r="F799" s="7">
        <v>2</v>
      </c>
      <c r="G799" s="7" t="s">
        <v>476</v>
      </c>
      <c r="H799" s="7" t="s">
        <v>155</v>
      </c>
      <c r="I799" s="7" t="s">
        <v>155</v>
      </c>
      <c r="J799" s="7">
        <v>795</v>
      </c>
      <c r="K799" s="23"/>
    </row>
    <row r="800" spans="1:11" x14ac:dyDescent="0.2">
      <c r="A800" s="7">
        <v>796</v>
      </c>
      <c r="B800" s="7">
        <v>57</v>
      </c>
      <c r="C800" s="1" t="str">
        <f t="shared" si="312"/>
        <v>PARCELA 57</v>
      </c>
      <c r="D800" s="7" t="s">
        <v>129</v>
      </c>
      <c r="E800" s="1" t="str">
        <f t="shared" si="313"/>
        <v>ROYAL</v>
      </c>
      <c r="F800" s="7">
        <v>1</v>
      </c>
      <c r="G800" s="7" t="s">
        <v>477</v>
      </c>
      <c r="H800" s="7" t="s">
        <v>155</v>
      </c>
      <c r="I800" s="7" t="s">
        <v>155</v>
      </c>
      <c r="J800" s="7">
        <v>796</v>
      </c>
      <c r="K800" s="7"/>
    </row>
    <row r="801" spans="1:11" x14ac:dyDescent="0.2">
      <c r="A801" s="7">
        <v>797</v>
      </c>
      <c r="B801" s="7">
        <v>57</v>
      </c>
      <c r="C801" s="1" t="str">
        <f t="shared" si="312"/>
        <v>PARCELA 57</v>
      </c>
      <c r="D801" s="7" t="s">
        <v>129</v>
      </c>
      <c r="E801" s="1" t="str">
        <f t="shared" si="313"/>
        <v>ROYAL</v>
      </c>
      <c r="F801" s="7">
        <v>1</v>
      </c>
      <c r="G801" s="7" t="s">
        <v>477</v>
      </c>
      <c r="H801" s="7" t="s">
        <v>155</v>
      </c>
      <c r="I801" s="7" t="s">
        <v>155</v>
      </c>
      <c r="J801" s="7">
        <v>797</v>
      </c>
      <c r="K801" s="7"/>
    </row>
    <row r="802" spans="1:11" x14ac:dyDescent="0.2">
      <c r="A802" s="7">
        <v>798</v>
      </c>
      <c r="B802" s="7">
        <v>57</v>
      </c>
      <c r="C802" s="1" t="str">
        <f t="shared" si="312"/>
        <v>PARCELA 57</v>
      </c>
      <c r="D802" s="7" t="s">
        <v>129</v>
      </c>
      <c r="E802" s="1" t="str">
        <f t="shared" si="313"/>
        <v>ROYAL</v>
      </c>
      <c r="F802" s="7">
        <v>1</v>
      </c>
      <c r="G802" s="7" t="s">
        <v>477</v>
      </c>
      <c r="H802" s="7" t="s">
        <v>155</v>
      </c>
      <c r="I802" s="7" t="s">
        <v>155</v>
      </c>
      <c r="J802" s="7">
        <v>798</v>
      </c>
      <c r="K802" s="7"/>
    </row>
    <row r="803" spans="1:11" x14ac:dyDescent="0.2">
      <c r="A803" s="7">
        <v>799</v>
      </c>
      <c r="B803" s="7">
        <v>57</v>
      </c>
      <c r="C803" s="1" t="str">
        <f t="shared" si="312"/>
        <v>PARCELA 57</v>
      </c>
      <c r="D803" s="7" t="s">
        <v>129</v>
      </c>
      <c r="E803" s="1" t="str">
        <f t="shared" si="313"/>
        <v>ROYAL</v>
      </c>
      <c r="F803" s="7">
        <v>1</v>
      </c>
      <c r="G803" s="7" t="s">
        <v>477</v>
      </c>
      <c r="H803" s="7" t="s">
        <v>155</v>
      </c>
      <c r="I803" s="7" t="s">
        <v>155</v>
      </c>
      <c r="J803" s="7">
        <v>799</v>
      </c>
      <c r="K803" s="7"/>
    </row>
    <row r="804" spans="1:11" x14ac:dyDescent="0.2">
      <c r="A804" s="7">
        <v>800</v>
      </c>
      <c r="B804" s="7">
        <v>58</v>
      </c>
      <c r="C804" s="1" t="str">
        <f t="shared" si="312"/>
        <v>MESHU</v>
      </c>
      <c r="D804" s="7" t="s">
        <v>129</v>
      </c>
      <c r="E804" s="1" t="str">
        <f t="shared" si="313"/>
        <v>SENSATION</v>
      </c>
      <c r="F804" s="7">
        <v>1</v>
      </c>
      <c r="G804" s="7" t="s">
        <v>476</v>
      </c>
      <c r="H804" s="7" t="s">
        <v>149</v>
      </c>
      <c r="I804" s="7" t="s">
        <v>480</v>
      </c>
      <c r="J804" s="7">
        <v>800</v>
      </c>
      <c r="K804" s="7"/>
    </row>
    <row r="805" spans="1:11" x14ac:dyDescent="0.2">
      <c r="A805" s="7">
        <v>801</v>
      </c>
      <c r="B805" s="7">
        <v>58</v>
      </c>
      <c r="C805" s="1" t="str">
        <f t="shared" si="312"/>
        <v>MESHU</v>
      </c>
      <c r="D805" s="7" t="s">
        <v>129</v>
      </c>
      <c r="E805" s="1" t="str">
        <f t="shared" si="313"/>
        <v>SENSATION</v>
      </c>
      <c r="F805" s="7">
        <v>1</v>
      </c>
      <c r="G805" s="7" t="s">
        <v>477</v>
      </c>
      <c r="H805" s="7" t="s">
        <v>149</v>
      </c>
      <c r="I805" s="7" t="s">
        <v>478</v>
      </c>
      <c r="J805" s="7">
        <v>801</v>
      </c>
      <c r="K805" s="23"/>
    </row>
    <row r="806" spans="1:11" x14ac:dyDescent="0.2">
      <c r="A806" s="7">
        <v>802</v>
      </c>
      <c r="B806" s="7">
        <v>58</v>
      </c>
      <c r="C806" s="1" t="str">
        <f t="shared" si="312"/>
        <v>MESHU</v>
      </c>
      <c r="D806" s="7" t="s">
        <v>129</v>
      </c>
      <c r="E806" s="1" t="str">
        <f t="shared" si="313"/>
        <v>SENSATION</v>
      </c>
      <c r="F806" s="7">
        <v>1</v>
      </c>
      <c r="G806" s="7" t="s">
        <v>477</v>
      </c>
      <c r="H806" s="7" t="s">
        <v>155</v>
      </c>
      <c r="I806" s="7" t="s">
        <v>155</v>
      </c>
      <c r="J806" s="7">
        <v>802</v>
      </c>
      <c r="K806" s="23"/>
    </row>
    <row r="807" spans="1:11" x14ac:dyDescent="0.2">
      <c r="A807" s="7">
        <v>803</v>
      </c>
      <c r="B807" s="7">
        <v>58</v>
      </c>
      <c r="C807" s="1" t="str">
        <f t="shared" si="312"/>
        <v>MESHU</v>
      </c>
      <c r="D807" s="7" t="s">
        <v>129</v>
      </c>
      <c r="E807" s="1" t="str">
        <f t="shared" si="313"/>
        <v>SENSATION</v>
      </c>
      <c r="F807" s="7">
        <v>1</v>
      </c>
      <c r="G807" s="7" t="s">
        <v>477</v>
      </c>
      <c r="H807" s="7" t="s">
        <v>155</v>
      </c>
      <c r="I807" s="7" t="s">
        <v>155</v>
      </c>
      <c r="J807" s="7">
        <v>803</v>
      </c>
      <c r="K807" s="7"/>
    </row>
    <row r="808" spans="1:11" x14ac:dyDescent="0.2">
      <c r="A808" s="7">
        <v>804</v>
      </c>
      <c r="B808" s="7">
        <v>58</v>
      </c>
      <c r="C808" s="1" t="str">
        <f t="shared" si="312"/>
        <v>MESHU</v>
      </c>
      <c r="D808" s="7" t="s">
        <v>129</v>
      </c>
      <c r="E808" s="1" t="str">
        <f t="shared" si="313"/>
        <v>SENSATION</v>
      </c>
      <c r="F808" s="7">
        <v>2</v>
      </c>
      <c r="G808" s="7" t="s">
        <v>477</v>
      </c>
      <c r="H808" s="7" t="s">
        <v>155</v>
      </c>
      <c r="I808" s="7" t="s">
        <v>155</v>
      </c>
      <c r="J808" s="7">
        <v>804</v>
      </c>
      <c r="K808" s="7"/>
    </row>
    <row r="809" spans="1:11" x14ac:dyDescent="0.2">
      <c r="A809" s="7">
        <v>805</v>
      </c>
      <c r="B809" s="7">
        <v>59</v>
      </c>
      <c r="C809" s="1" t="str">
        <f t="shared" si="312"/>
        <v>LAS TAPONAS</v>
      </c>
      <c r="D809" s="7" t="s">
        <v>129</v>
      </c>
      <c r="E809" s="1" t="str">
        <f t="shared" si="313"/>
        <v>FRONTERA</v>
      </c>
      <c r="F809" s="7">
        <v>2</v>
      </c>
      <c r="G809" s="7" t="s">
        <v>476</v>
      </c>
      <c r="H809" s="7" t="s">
        <v>155</v>
      </c>
      <c r="I809" s="7" t="s">
        <v>155</v>
      </c>
      <c r="J809" s="7">
        <v>805</v>
      </c>
      <c r="K809" s="7"/>
    </row>
    <row r="810" spans="1:11" x14ac:dyDescent="0.2">
      <c r="A810" s="7">
        <v>806</v>
      </c>
      <c r="B810" s="7">
        <v>59</v>
      </c>
      <c r="C810" s="1" t="str">
        <f t="shared" si="312"/>
        <v>LAS TAPONAS</v>
      </c>
      <c r="D810" s="7" t="s">
        <v>129</v>
      </c>
      <c r="E810" s="1" t="str">
        <f t="shared" si="313"/>
        <v>FRONTERA</v>
      </c>
      <c r="F810" s="7">
        <v>2</v>
      </c>
      <c r="G810" s="7" t="s">
        <v>476</v>
      </c>
      <c r="H810" s="7" t="s">
        <v>155</v>
      </c>
      <c r="I810" s="7" t="s">
        <v>155</v>
      </c>
      <c r="J810" s="7">
        <v>806</v>
      </c>
      <c r="K810" s="23"/>
    </row>
    <row r="811" spans="1:11" x14ac:dyDescent="0.2">
      <c r="A811" s="7">
        <v>807</v>
      </c>
      <c r="B811" s="7">
        <v>59</v>
      </c>
      <c r="C811" s="1" t="str">
        <f t="shared" si="312"/>
        <v>LAS TAPONAS</v>
      </c>
      <c r="D811" s="7" t="s">
        <v>129</v>
      </c>
      <c r="E811" s="1" t="str">
        <f t="shared" si="313"/>
        <v>FRONTERA</v>
      </c>
      <c r="F811" s="7">
        <v>1</v>
      </c>
      <c r="G811" s="7" t="s">
        <v>477</v>
      </c>
      <c r="H811" s="7" t="s">
        <v>149</v>
      </c>
      <c r="I811" s="7" t="s">
        <v>478</v>
      </c>
      <c r="J811" s="7">
        <v>807</v>
      </c>
      <c r="K811" s="23"/>
    </row>
    <row r="812" spans="1:11" x14ac:dyDescent="0.2">
      <c r="A812" s="7">
        <v>808</v>
      </c>
      <c r="B812" s="7">
        <v>59</v>
      </c>
      <c r="C812" s="1" t="str">
        <f t="shared" si="312"/>
        <v>LAS TAPONAS</v>
      </c>
      <c r="D812" s="7" t="s">
        <v>129</v>
      </c>
      <c r="E812" s="1" t="str">
        <f t="shared" si="313"/>
        <v>FRONTERA</v>
      </c>
      <c r="F812" s="7">
        <v>1</v>
      </c>
      <c r="G812" s="7" t="s">
        <v>476</v>
      </c>
      <c r="H812" s="7" t="s">
        <v>149</v>
      </c>
      <c r="I812" s="7" t="s">
        <v>478</v>
      </c>
      <c r="J812" s="7">
        <v>808</v>
      </c>
      <c r="K812" s="7"/>
    </row>
    <row r="813" spans="1:11" x14ac:dyDescent="0.2">
      <c r="A813" s="7">
        <v>809</v>
      </c>
      <c r="B813" s="7">
        <v>59</v>
      </c>
      <c r="C813" s="1" t="str">
        <f t="shared" si="312"/>
        <v>LAS TAPONAS</v>
      </c>
      <c r="D813" s="7" t="s">
        <v>129</v>
      </c>
      <c r="E813" s="1" t="str">
        <f t="shared" si="313"/>
        <v>FRONTERA</v>
      </c>
      <c r="F813" s="7">
        <v>1</v>
      </c>
      <c r="G813" s="7" t="s">
        <v>476</v>
      </c>
      <c r="H813" s="7" t="s">
        <v>155</v>
      </c>
      <c r="I813" s="7" t="s">
        <v>155</v>
      </c>
      <c r="J813" s="7">
        <v>809</v>
      </c>
      <c r="K813" s="7"/>
    </row>
    <row r="814" spans="1:11" x14ac:dyDescent="0.2">
      <c r="A814" s="7">
        <v>810</v>
      </c>
      <c r="B814" s="7">
        <v>59</v>
      </c>
      <c r="C814" s="1" t="str">
        <f t="shared" si="312"/>
        <v>LAS TAPONAS</v>
      </c>
      <c r="D814" s="7" t="s">
        <v>129</v>
      </c>
      <c r="E814" s="1" t="str">
        <f t="shared" si="313"/>
        <v>FRONTERA</v>
      </c>
      <c r="F814" s="7">
        <v>1</v>
      </c>
      <c r="G814" s="7" t="s">
        <v>476</v>
      </c>
      <c r="H814" s="7" t="s">
        <v>155</v>
      </c>
      <c r="I814" s="7" t="s">
        <v>155</v>
      </c>
      <c r="J814" s="7">
        <v>810</v>
      </c>
      <c r="K814" s="23"/>
    </row>
    <row r="815" spans="1:11" x14ac:dyDescent="0.2">
      <c r="A815" s="7">
        <v>811</v>
      </c>
      <c r="B815" s="7">
        <v>59</v>
      </c>
      <c r="C815" s="1" t="str">
        <f t="shared" si="312"/>
        <v>LAS TAPONAS</v>
      </c>
      <c r="D815" s="7" t="s">
        <v>129</v>
      </c>
      <c r="E815" s="1" t="str">
        <f t="shared" si="313"/>
        <v>FRONTERA</v>
      </c>
      <c r="F815" s="7">
        <v>1</v>
      </c>
      <c r="G815" s="7" t="s">
        <v>477</v>
      </c>
      <c r="H815" s="7" t="s">
        <v>155</v>
      </c>
      <c r="I815" s="7" t="s">
        <v>155</v>
      </c>
      <c r="J815" s="7">
        <v>811</v>
      </c>
      <c r="K815" s="7"/>
    </row>
    <row r="816" spans="1:11" x14ac:dyDescent="0.2">
      <c r="A816" s="7">
        <v>812</v>
      </c>
      <c r="B816" s="7">
        <v>59</v>
      </c>
      <c r="C816" s="1" t="str">
        <f t="shared" si="312"/>
        <v>LAS TAPONAS</v>
      </c>
      <c r="D816" s="7" t="s">
        <v>129</v>
      </c>
      <c r="E816" s="1" t="str">
        <f t="shared" si="313"/>
        <v>FRONTERA</v>
      </c>
      <c r="F816" s="7">
        <v>1</v>
      </c>
      <c r="G816" s="7" t="s">
        <v>477</v>
      </c>
      <c r="H816" s="7" t="s">
        <v>149</v>
      </c>
      <c r="I816" s="7" t="s">
        <v>478</v>
      </c>
      <c r="J816" s="7">
        <v>812</v>
      </c>
      <c r="K816" s="7"/>
    </row>
    <row r="817" spans="1:11" x14ac:dyDescent="0.2">
      <c r="A817" s="7">
        <v>813</v>
      </c>
      <c r="B817" s="7">
        <v>60</v>
      </c>
      <c r="C817" s="1" t="str">
        <f t="shared" si="312"/>
        <v>EL PUENTE</v>
      </c>
      <c r="D817" s="7" t="s">
        <v>129</v>
      </c>
      <c r="E817" s="1" t="str">
        <f t="shared" si="313"/>
        <v>SAYULA</v>
      </c>
      <c r="F817" s="7">
        <v>1</v>
      </c>
      <c r="G817" s="7" t="s">
        <v>476</v>
      </c>
      <c r="H817" s="7" t="s">
        <v>228</v>
      </c>
      <c r="I817" s="9" t="s">
        <v>482</v>
      </c>
      <c r="J817" s="9">
        <v>813</v>
      </c>
      <c r="K817" s="7"/>
    </row>
    <row r="818" spans="1:11" x14ac:dyDescent="0.2">
      <c r="A818" s="7">
        <v>814</v>
      </c>
      <c r="B818" s="7">
        <v>60</v>
      </c>
      <c r="C818" s="1" t="str">
        <f t="shared" ref="C818:C849" si="314">IF(B818=40.2,"RANCHO AVENTURA 2",IF(B818=40.3,"RANCHO AVENTURA 3",IF(B818=41,"JAVIER CERVANTES",IF(B818=42,"LA HACHERA 1",IF(B818=43,"LA HACHERA 2",IF(B818=44,"LA HACHERA 3",IF(B818=45,"LA HACHERA 4",IF(B818=46,"LA HACHERA 5",IF(B818=47,"LA HACHERA 6",IF(B818=48.1,"JORGE LUIS REVELES C. 1",IF(B818=48.2,"JORGE LUIS REVELES C. 2",IF(B818=49,"RANCHO MENDEZ 1",IF(B818=50,"RANCHO MENDEZ 2",IF(B818=51,"RANCHO MENDEZ 3",IF(B818=52,"EL SAUCE",IF(B818=53,"LAS LAJAS",IF(B818=54,"EL TREBOL",IF(B818=55,"EL OLIMBO",IF(B818=56.1,"SANTA LUCIA 1",IF(B818=56.2,"SANTA LUCIA 2",IF(B818=57,"PARCELA 57",IF(B818=58,"MESHU",IF(B818=59,"LAS TAPONAS",IF(B818=60,"EL PUENTE",IF(B818=61,"LA ARENA",IF(B818=62,"LA CERCA",IF(B818=63,"PARCELA 63",IF(B818=64,"PARCELA 64",IF(B818=65,"PARCELA 65",IF(B818=66,"PARCELA 66"))))))))))))))))))))))))))))))</f>
        <v>EL PUENTE</v>
      </c>
      <c r="D818" s="7" t="s">
        <v>129</v>
      </c>
      <c r="E818" s="1" t="str">
        <f t="shared" ref="E818:E830" si="315">IF(B818=40.2,"FESTIVAL",IF(B818=40.3,"FESTIVAL",IF(B818=41,"CAMINO REAL",IF(B818=42,"PALMERITAS",IF(B818=43,"FORTUNA",IF(B818=44,"PALMERITAS",IF(B818=45,"FORTUNA",IF(B818=46,"CODIGO",IF(B818=47,"SENSATION",IF(B818=48.1,"FRONTERA",IF(B818=48.2,"FRONTERA",IF(B818=49,"FRONTERA",IF(B818=50,"FRONTERA",IF(B818=51,"SAN ANDREAS",IF(B818=52,"SAYULA",IF(B818=53,"SAYULA",IF(B818=54,"FRONTERA",IF(B818=55,"SAYULA",IF(B818=56.1,"SANTA MARIA",IF(B818=56.2,"SANTA MARIA",IF(B818=57,"ROYAL",IF(B818=58,"SENSATION",IF(B818=59,"FRONTERA",IF(B818=60,"SAYULA",IF(B818=61,"FRONTERA",IF(B818=62,"CAMINO REAL",IF(B818=63,"NO DOCUMENTADO",IF(B818=64,"FRONTERA",IF(B818=65,"SAN ANDREAS")))))))))))))))))))))))))))))</f>
        <v>SAYULA</v>
      </c>
      <c r="F818" s="7">
        <v>1</v>
      </c>
      <c r="G818" s="7" t="s">
        <v>477</v>
      </c>
      <c r="H818" s="7" t="s">
        <v>155</v>
      </c>
      <c r="I818" s="7" t="s">
        <v>155</v>
      </c>
      <c r="J818" s="7">
        <v>814</v>
      </c>
      <c r="K818" s="7"/>
    </row>
    <row r="819" spans="1:11" x14ac:dyDescent="0.2">
      <c r="A819" s="7">
        <v>815</v>
      </c>
      <c r="B819" s="7">
        <v>60</v>
      </c>
      <c r="C819" s="1" t="str">
        <f t="shared" si="314"/>
        <v>EL PUENTE</v>
      </c>
      <c r="D819" s="7" t="s">
        <v>129</v>
      </c>
      <c r="E819" s="1" t="str">
        <f t="shared" si="315"/>
        <v>SAYULA</v>
      </c>
      <c r="F819" s="7">
        <v>2</v>
      </c>
      <c r="G819" s="7" t="s">
        <v>477</v>
      </c>
      <c r="H819" s="7" t="s">
        <v>155</v>
      </c>
      <c r="I819" s="7" t="s">
        <v>155</v>
      </c>
      <c r="J819" s="7">
        <v>815</v>
      </c>
      <c r="K819" s="7"/>
    </row>
    <row r="820" spans="1:11" x14ac:dyDescent="0.2">
      <c r="A820" s="7">
        <v>816</v>
      </c>
      <c r="B820" s="7">
        <v>60</v>
      </c>
      <c r="C820" s="1" t="str">
        <f t="shared" si="314"/>
        <v>EL PUENTE</v>
      </c>
      <c r="D820" s="7" t="s">
        <v>129</v>
      </c>
      <c r="E820" s="1" t="str">
        <f t="shared" si="315"/>
        <v>SAYULA</v>
      </c>
      <c r="F820" s="7">
        <v>2</v>
      </c>
      <c r="G820" s="7" t="s">
        <v>477</v>
      </c>
      <c r="H820" s="7" t="s">
        <v>155</v>
      </c>
      <c r="I820" s="7" t="s">
        <v>155</v>
      </c>
      <c r="J820" s="7">
        <v>816</v>
      </c>
      <c r="K820" s="23"/>
    </row>
    <row r="821" spans="1:11" x14ac:dyDescent="0.2">
      <c r="A821" s="7">
        <v>817</v>
      </c>
      <c r="B821" s="7">
        <v>60</v>
      </c>
      <c r="C821" s="1" t="str">
        <f t="shared" si="314"/>
        <v>EL PUENTE</v>
      </c>
      <c r="D821" s="7" t="s">
        <v>129</v>
      </c>
      <c r="E821" s="1" t="str">
        <f t="shared" si="315"/>
        <v>SAYULA</v>
      </c>
      <c r="F821" s="7">
        <v>1</v>
      </c>
      <c r="G821" s="7" t="s">
        <v>476</v>
      </c>
      <c r="H821" s="7" t="s">
        <v>149</v>
      </c>
      <c r="I821" s="7" t="s">
        <v>480</v>
      </c>
      <c r="J821" s="7">
        <v>817</v>
      </c>
      <c r="K821" s="23"/>
    </row>
    <row r="822" spans="1:11" x14ac:dyDescent="0.2">
      <c r="A822" s="7">
        <v>818</v>
      </c>
      <c r="B822" s="7">
        <v>60</v>
      </c>
      <c r="C822" s="1" t="str">
        <f t="shared" si="314"/>
        <v>EL PUENTE</v>
      </c>
      <c r="D822" s="7" t="s">
        <v>129</v>
      </c>
      <c r="E822" s="1" t="str">
        <f t="shared" si="315"/>
        <v>SAYULA</v>
      </c>
      <c r="F822" s="7">
        <v>2</v>
      </c>
      <c r="G822" s="7" t="s">
        <v>476</v>
      </c>
      <c r="H822" s="7" t="s">
        <v>149</v>
      </c>
      <c r="I822" s="7" t="s">
        <v>480</v>
      </c>
      <c r="J822" s="7">
        <v>818</v>
      </c>
      <c r="K822" s="7"/>
    </row>
    <row r="823" spans="1:11" x14ac:dyDescent="0.2">
      <c r="A823" s="7">
        <v>819</v>
      </c>
      <c r="B823" s="7">
        <v>60</v>
      </c>
      <c r="C823" s="1" t="str">
        <f t="shared" si="314"/>
        <v>EL PUENTE</v>
      </c>
      <c r="D823" s="7" t="s">
        <v>129</v>
      </c>
      <c r="E823" s="1" t="str">
        <f t="shared" si="315"/>
        <v>SAYULA</v>
      </c>
      <c r="F823" s="7">
        <v>2</v>
      </c>
      <c r="G823" s="7" t="s">
        <v>476</v>
      </c>
      <c r="H823" s="7" t="s">
        <v>485</v>
      </c>
      <c r="I823" s="10" t="s">
        <v>485</v>
      </c>
      <c r="J823" s="10">
        <v>819</v>
      </c>
      <c r="K823" s="7"/>
    </row>
    <row r="824" spans="1:11" x14ac:dyDescent="0.2">
      <c r="A824" s="7">
        <v>820</v>
      </c>
      <c r="B824" s="7">
        <v>60</v>
      </c>
      <c r="C824" s="1" t="str">
        <f t="shared" si="314"/>
        <v>EL PUENTE</v>
      </c>
      <c r="D824" s="7" t="s">
        <v>129</v>
      </c>
      <c r="E824" s="1" t="str">
        <f t="shared" si="315"/>
        <v>SAYULA</v>
      </c>
      <c r="F824" s="7">
        <v>1</v>
      </c>
      <c r="G824" s="7" t="s">
        <v>477</v>
      </c>
      <c r="H824" s="7" t="s">
        <v>155</v>
      </c>
      <c r="I824" s="7" t="s">
        <v>155</v>
      </c>
      <c r="J824" s="7">
        <v>820</v>
      </c>
      <c r="K824" s="7"/>
    </row>
    <row r="825" spans="1:11" x14ac:dyDescent="0.2">
      <c r="A825" s="7">
        <v>821</v>
      </c>
      <c r="B825" s="7">
        <v>60</v>
      </c>
      <c r="C825" s="1" t="str">
        <f t="shared" si="314"/>
        <v>EL PUENTE</v>
      </c>
      <c r="D825" s="7" t="s">
        <v>129</v>
      </c>
      <c r="E825" s="1" t="str">
        <f t="shared" si="315"/>
        <v>SAYULA</v>
      </c>
      <c r="F825" s="7">
        <v>1</v>
      </c>
      <c r="G825" s="7" t="s">
        <v>477</v>
      </c>
      <c r="H825" s="7" t="s">
        <v>228</v>
      </c>
      <c r="I825" s="9" t="s">
        <v>482</v>
      </c>
      <c r="J825" s="9">
        <v>821</v>
      </c>
      <c r="K825" s="7"/>
    </row>
    <row r="826" spans="1:11" x14ac:dyDescent="0.2">
      <c r="A826" s="7">
        <v>822</v>
      </c>
      <c r="B826" s="7">
        <v>60</v>
      </c>
      <c r="C826" s="1" t="str">
        <f t="shared" si="314"/>
        <v>EL PUENTE</v>
      </c>
      <c r="D826" s="7" t="s">
        <v>129</v>
      </c>
      <c r="E826" s="1" t="str">
        <f t="shared" si="315"/>
        <v>SAYULA</v>
      </c>
      <c r="F826" s="7">
        <v>2</v>
      </c>
      <c r="G826" s="7" t="s">
        <v>477</v>
      </c>
      <c r="H826" s="7" t="s">
        <v>155</v>
      </c>
      <c r="I826" s="7" t="s">
        <v>155</v>
      </c>
      <c r="J826" s="7">
        <v>822</v>
      </c>
      <c r="K826" s="23"/>
    </row>
    <row r="827" spans="1:11" x14ac:dyDescent="0.2">
      <c r="A827" s="7">
        <v>823</v>
      </c>
      <c r="B827" s="7">
        <v>60</v>
      </c>
      <c r="C827" s="1" t="str">
        <f t="shared" si="314"/>
        <v>EL PUENTE</v>
      </c>
      <c r="D827" s="7" t="s">
        <v>129</v>
      </c>
      <c r="E827" s="1" t="str">
        <f t="shared" si="315"/>
        <v>SAYULA</v>
      </c>
      <c r="F827" s="7">
        <v>1</v>
      </c>
      <c r="G827" s="7" t="s">
        <v>476</v>
      </c>
      <c r="H827" s="7" t="s">
        <v>155</v>
      </c>
      <c r="I827" s="7" t="s">
        <v>155</v>
      </c>
      <c r="J827" s="7">
        <v>823</v>
      </c>
      <c r="K827" s="7"/>
    </row>
    <row r="828" spans="1:11" x14ac:dyDescent="0.2">
      <c r="A828" s="7">
        <v>824</v>
      </c>
      <c r="B828" s="7">
        <v>61</v>
      </c>
      <c r="C828" s="1" t="str">
        <f t="shared" si="314"/>
        <v>LA ARENA</v>
      </c>
      <c r="D828" s="7" t="s">
        <v>129</v>
      </c>
      <c r="E828" s="1" t="str">
        <f t="shared" si="315"/>
        <v>FRONTERA</v>
      </c>
      <c r="F828" s="7">
        <v>1</v>
      </c>
      <c r="G828" s="7" t="s">
        <v>476</v>
      </c>
      <c r="H828" s="7" t="s">
        <v>149</v>
      </c>
      <c r="I828" s="7" t="s">
        <v>480</v>
      </c>
      <c r="J828" s="7">
        <v>824</v>
      </c>
      <c r="K828" s="23"/>
    </row>
    <row r="829" spans="1:11" x14ac:dyDescent="0.2">
      <c r="A829" s="7">
        <v>825</v>
      </c>
      <c r="B829" s="7">
        <v>61</v>
      </c>
      <c r="C829" s="1" t="str">
        <f t="shared" si="314"/>
        <v>LA ARENA</v>
      </c>
      <c r="D829" s="7" t="s">
        <v>129</v>
      </c>
      <c r="E829" s="1" t="str">
        <f t="shared" si="315"/>
        <v>FRONTERA</v>
      </c>
      <c r="F829" s="7">
        <v>1</v>
      </c>
      <c r="G829" s="7" t="s">
        <v>476</v>
      </c>
      <c r="H829" s="7" t="s">
        <v>155</v>
      </c>
      <c r="I829" s="7" t="s">
        <v>155</v>
      </c>
      <c r="J829" s="7">
        <v>825</v>
      </c>
      <c r="K829" s="23"/>
    </row>
    <row r="830" spans="1:11" x14ac:dyDescent="0.2">
      <c r="A830" s="7">
        <v>826</v>
      </c>
      <c r="B830" s="7">
        <v>61</v>
      </c>
      <c r="C830" s="1" t="str">
        <f t="shared" si="314"/>
        <v>LA ARENA</v>
      </c>
      <c r="D830" s="7" t="s">
        <v>129</v>
      </c>
      <c r="E830" s="1" t="str">
        <f t="shared" si="315"/>
        <v>FRONTERA</v>
      </c>
      <c r="F830" s="7">
        <v>2</v>
      </c>
      <c r="G830" s="7" t="s">
        <v>477</v>
      </c>
      <c r="H830" s="7" t="s">
        <v>155</v>
      </c>
      <c r="I830" s="7" t="s">
        <v>155</v>
      </c>
      <c r="J830" s="7">
        <v>826</v>
      </c>
      <c r="K830" s="7"/>
    </row>
    <row r="831" spans="1:11" x14ac:dyDescent="0.2">
      <c r="A831" s="7">
        <v>827</v>
      </c>
      <c r="B831" s="7">
        <v>62</v>
      </c>
      <c r="C831" s="1" t="str">
        <f t="shared" si="314"/>
        <v>LA CERCA</v>
      </c>
      <c r="D831" s="7" t="s">
        <v>129</v>
      </c>
      <c r="E831" s="1" t="s">
        <v>126</v>
      </c>
      <c r="F831" s="7">
        <v>1</v>
      </c>
      <c r="G831" s="7" t="s">
        <v>476</v>
      </c>
      <c r="H831" s="7" t="s">
        <v>149</v>
      </c>
      <c r="I831" s="7" t="s">
        <v>480</v>
      </c>
      <c r="J831" s="7">
        <v>827</v>
      </c>
      <c r="K831" s="7"/>
    </row>
    <row r="832" spans="1:11" x14ac:dyDescent="0.2">
      <c r="A832" s="7">
        <v>828</v>
      </c>
      <c r="B832" s="7">
        <v>62</v>
      </c>
      <c r="C832" s="1" t="str">
        <f t="shared" si="314"/>
        <v>LA CERCA</v>
      </c>
      <c r="D832" s="7" t="s">
        <v>129</v>
      </c>
      <c r="E832" s="1" t="s">
        <v>126</v>
      </c>
      <c r="F832" s="7">
        <v>1</v>
      </c>
      <c r="G832" s="7" t="s">
        <v>477</v>
      </c>
      <c r="H832" s="7" t="s">
        <v>155</v>
      </c>
      <c r="I832" s="7" t="s">
        <v>155</v>
      </c>
      <c r="J832" s="7">
        <v>828</v>
      </c>
      <c r="K832" s="7"/>
    </row>
    <row r="833" spans="1:11" x14ac:dyDescent="0.2">
      <c r="A833" s="7">
        <v>829</v>
      </c>
      <c r="B833" s="7">
        <v>63</v>
      </c>
      <c r="C833" s="1" t="str">
        <f t="shared" si="314"/>
        <v>PARCELA 63</v>
      </c>
      <c r="D833" s="7" t="s">
        <v>129</v>
      </c>
      <c r="E833" s="1" t="str">
        <f t="shared" ref="E833:E847" si="316">IF(B833=40.2,"FESTIVAL",IF(B833=40.3,"FESTIVAL",IF(B833=41,"CAMINO REAL",IF(B833=42,"PALMERITAS",IF(B833=43,"FORTUNA",IF(B833=44,"PALMERITAS",IF(B833=45,"FORTUNA",IF(B833=46,"CODIGO",IF(B833=47,"SENSATION",IF(B833=48.1,"FRONTERA",IF(B833=48.2,"FRONTERA",IF(B833=49,"FRONTERA",IF(B833=50,"FRONTERA",IF(B833=51,"SAN ANDREAS",IF(B833=52,"SAYULA",IF(B833=53,"SAYULA",IF(B833=54,"FRONTERA",IF(B833=55,"SAYULA",IF(B833=56.1,"SANTA MARIA",IF(B833=56.2,"SANTA MARIA",IF(B833=57,"ROYAL",IF(B833=58,"SENSATION",IF(B833=59,"FRONTERA",IF(B833=60,"SAYULA",IF(B833=61,"FRONTERA",IF(B833=62,"CAMINO REAL",IF(B833=63,"NO DOCUMENTADO",IF(B833=64,"FRONTERA",IF(B833=65,"SAN ANDREAS")))))))))))))))))))))))))))))</f>
        <v>NO DOCUMENTADO</v>
      </c>
      <c r="F833" s="7">
        <v>1</v>
      </c>
      <c r="G833" s="7" t="s">
        <v>476</v>
      </c>
      <c r="H833" s="7" t="s">
        <v>473</v>
      </c>
      <c r="I833" s="26" t="s">
        <v>473</v>
      </c>
      <c r="J833" s="26">
        <v>829</v>
      </c>
      <c r="K833" s="7"/>
    </row>
    <row r="834" spans="1:11" x14ac:dyDescent="0.2">
      <c r="A834" s="7">
        <v>830</v>
      </c>
      <c r="B834" s="7">
        <v>63</v>
      </c>
      <c r="C834" s="1" t="str">
        <f t="shared" si="314"/>
        <v>PARCELA 63</v>
      </c>
      <c r="D834" s="7" t="s">
        <v>129</v>
      </c>
      <c r="E834" s="1" t="str">
        <f t="shared" si="316"/>
        <v>NO DOCUMENTADO</v>
      </c>
      <c r="F834" s="7">
        <v>1</v>
      </c>
      <c r="G834" s="7" t="s">
        <v>476</v>
      </c>
      <c r="H834" s="7" t="s">
        <v>485</v>
      </c>
      <c r="I834" s="10" t="s">
        <v>485</v>
      </c>
      <c r="J834" s="10">
        <v>830</v>
      </c>
      <c r="K834" s="7"/>
    </row>
    <row r="835" spans="1:11" x14ac:dyDescent="0.2">
      <c r="A835" s="7">
        <v>831</v>
      </c>
      <c r="B835" s="7">
        <v>63</v>
      </c>
      <c r="C835" s="1" t="str">
        <f t="shared" si="314"/>
        <v>PARCELA 63</v>
      </c>
      <c r="D835" s="7" t="s">
        <v>129</v>
      </c>
      <c r="E835" s="1" t="str">
        <f t="shared" si="316"/>
        <v>NO DOCUMENTADO</v>
      </c>
      <c r="F835" s="7">
        <v>2</v>
      </c>
      <c r="G835" s="7" t="s">
        <v>476</v>
      </c>
      <c r="H835" s="7" t="s">
        <v>155</v>
      </c>
      <c r="I835" s="7" t="s">
        <v>155</v>
      </c>
      <c r="J835" s="7">
        <v>831</v>
      </c>
      <c r="K835" s="28" t="s">
        <v>638</v>
      </c>
    </row>
    <row r="836" spans="1:11" x14ac:dyDescent="0.2">
      <c r="A836" s="7">
        <v>832</v>
      </c>
      <c r="B836" s="7">
        <v>63</v>
      </c>
      <c r="C836" s="1" t="str">
        <f t="shared" si="314"/>
        <v>PARCELA 63</v>
      </c>
      <c r="D836" s="7" t="s">
        <v>129</v>
      </c>
      <c r="E836" s="1" t="str">
        <f t="shared" si="316"/>
        <v>NO DOCUMENTADO</v>
      </c>
      <c r="F836" s="7">
        <v>1</v>
      </c>
      <c r="G836" s="7" t="s">
        <v>477</v>
      </c>
      <c r="H836" s="7" t="s">
        <v>473</v>
      </c>
      <c r="I836" s="26" t="s">
        <v>473</v>
      </c>
      <c r="J836" s="26">
        <v>832</v>
      </c>
      <c r="K836" s="7"/>
    </row>
    <row r="837" spans="1:11" x14ac:dyDescent="0.2">
      <c r="A837" s="7">
        <v>833</v>
      </c>
      <c r="B837" s="7">
        <v>63</v>
      </c>
      <c r="C837" s="1" t="str">
        <f t="shared" si="314"/>
        <v>PARCELA 63</v>
      </c>
      <c r="D837" s="7" t="s">
        <v>129</v>
      </c>
      <c r="E837" s="1" t="str">
        <f t="shared" si="316"/>
        <v>NO DOCUMENTADO</v>
      </c>
      <c r="F837" s="7">
        <v>1</v>
      </c>
      <c r="G837" s="7" t="s">
        <v>477</v>
      </c>
      <c r="H837" s="7" t="s">
        <v>473</v>
      </c>
      <c r="I837" s="26" t="s">
        <v>473</v>
      </c>
      <c r="J837" s="26">
        <v>833</v>
      </c>
      <c r="K837" s="7"/>
    </row>
    <row r="838" spans="1:11" x14ac:dyDescent="0.2">
      <c r="A838" s="7">
        <v>834</v>
      </c>
      <c r="B838" s="7">
        <v>63</v>
      </c>
      <c r="C838" s="1" t="str">
        <f t="shared" si="314"/>
        <v>PARCELA 63</v>
      </c>
      <c r="D838" s="7" t="s">
        <v>129</v>
      </c>
      <c r="E838" s="1" t="str">
        <f t="shared" si="316"/>
        <v>NO DOCUMENTADO</v>
      </c>
      <c r="F838" s="7">
        <v>1</v>
      </c>
      <c r="G838" s="7" t="s">
        <v>477</v>
      </c>
      <c r="H838" s="7" t="s">
        <v>473</v>
      </c>
      <c r="I838" s="26" t="s">
        <v>473</v>
      </c>
      <c r="J838" s="26">
        <v>834</v>
      </c>
      <c r="K838" s="7"/>
    </row>
    <row r="839" spans="1:11" x14ac:dyDescent="0.2">
      <c r="A839" s="7">
        <v>835</v>
      </c>
      <c r="B839" s="7">
        <v>63</v>
      </c>
      <c r="C839" s="1" t="str">
        <f t="shared" si="314"/>
        <v>PARCELA 63</v>
      </c>
      <c r="D839" s="7" t="s">
        <v>129</v>
      </c>
      <c r="E839" s="1" t="str">
        <f t="shared" si="316"/>
        <v>NO DOCUMENTADO</v>
      </c>
      <c r="F839" s="7">
        <v>2</v>
      </c>
      <c r="G839" s="7" t="s">
        <v>477</v>
      </c>
      <c r="H839" s="7" t="s">
        <v>155</v>
      </c>
      <c r="I839" s="7" t="s">
        <v>155</v>
      </c>
      <c r="J839" s="7">
        <v>835</v>
      </c>
      <c r="K839" s="7"/>
    </row>
    <row r="840" spans="1:11" x14ac:dyDescent="0.2">
      <c r="A840" s="7">
        <v>836</v>
      </c>
      <c r="B840" s="7">
        <v>64</v>
      </c>
      <c r="C840" s="1" t="str">
        <f t="shared" si="314"/>
        <v>PARCELA 64</v>
      </c>
      <c r="D840" s="7" t="s">
        <v>129</v>
      </c>
      <c r="E840" s="1" t="str">
        <f t="shared" si="316"/>
        <v>FRONTERA</v>
      </c>
      <c r="F840" s="7">
        <v>1</v>
      </c>
      <c r="G840" s="7" t="s">
        <v>477</v>
      </c>
      <c r="H840" s="7" t="s">
        <v>155</v>
      </c>
      <c r="I840" s="7" t="s">
        <v>155</v>
      </c>
      <c r="J840" s="7">
        <v>836</v>
      </c>
      <c r="K840" s="7"/>
    </row>
    <row r="841" spans="1:11" x14ac:dyDescent="0.2">
      <c r="A841" s="7">
        <v>837</v>
      </c>
      <c r="B841" s="7">
        <v>64</v>
      </c>
      <c r="C841" s="1" t="str">
        <f t="shared" si="314"/>
        <v>PARCELA 64</v>
      </c>
      <c r="D841" s="7" t="s">
        <v>129</v>
      </c>
      <c r="E841" s="1" t="str">
        <f t="shared" si="316"/>
        <v>FRONTERA</v>
      </c>
      <c r="F841" s="7">
        <v>1</v>
      </c>
      <c r="G841" s="7" t="s">
        <v>477</v>
      </c>
      <c r="H841" s="7" t="s">
        <v>155</v>
      </c>
      <c r="I841" s="7" t="s">
        <v>155</v>
      </c>
      <c r="J841" s="7">
        <v>837</v>
      </c>
      <c r="K841" s="7"/>
    </row>
    <row r="842" spans="1:11" x14ac:dyDescent="0.2">
      <c r="A842" s="7">
        <v>838</v>
      </c>
      <c r="B842" s="7">
        <v>64</v>
      </c>
      <c r="C842" s="1" t="str">
        <f t="shared" si="314"/>
        <v>PARCELA 64</v>
      </c>
      <c r="D842" s="7" t="s">
        <v>129</v>
      </c>
      <c r="E842" s="1" t="str">
        <f t="shared" si="316"/>
        <v>FRONTERA</v>
      </c>
      <c r="F842" s="7">
        <v>1</v>
      </c>
      <c r="G842" s="7" t="s">
        <v>476</v>
      </c>
      <c r="H842" s="7" t="s">
        <v>155</v>
      </c>
      <c r="I842" s="7" t="s">
        <v>155</v>
      </c>
      <c r="J842" s="7">
        <v>838</v>
      </c>
      <c r="K842" s="7"/>
    </row>
    <row r="843" spans="1:11" x14ac:dyDescent="0.2">
      <c r="A843" s="7">
        <v>839</v>
      </c>
      <c r="B843" s="7">
        <v>65</v>
      </c>
      <c r="C843" s="1" t="str">
        <f t="shared" si="314"/>
        <v>PARCELA 65</v>
      </c>
      <c r="D843" s="7" t="s">
        <v>129</v>
      </c>
      <c r="E843" s="1" t="str">
        <f t="shared" si="316"/>
        <v>SAN ANDREAS</v>
      </c>
      <c r="F843" s="7">
        <v>1</v>
      </c>
      <c r="G843" s="7" t="s">
        <v>476</v>
      </c>
      <c r="H843" s="7" t="s">
        <v>473</v>
      </c>
      <c r="I843" s="26" t="s">
        <v>473</v>
      </c>
      <c r="J843" s="26">
        <v>839</v>
      </c>
      <c r="K843" s="7"/>
    </row>
    <row r="844" spans="1:11" x14ac:dyDescent="0.2">
      <c r="A844" s="7">
        <v>840</v>
      </c>
      <c r="B844" s="7">
        <v>65</v>
      </c>
      <c r="C844" s="1" t="str">
        <f t="shared" si="314"/>
        <v>PARCELA 65</v>
      </c>
      <c r="D844" s="7" t="s">
        <v>129</v>
      </c>
      <c r="E844" s="1" t="str">
        <f t="shared" si="316"/>
        <v>SAN ANDREAS</v>
      </c>
      <c r="F844" s="7">
        <v>2</v>
      </c>
      <c r="G844" s="7" t="s">
        <v>476</v>
      </c>
      <c r="H844" s="7" t="s">
        <v>155</v>
      </c>
      <c r="I844" s="7" t="s">
        <v>155</v>
      </c>
      <c r="J844" s="7">
        <v>840</v>
      </c>
      <c r="K844" s="7"/>
    </row>
    <row r="845" spans="1:11" x14ac:dyDescent="0.2">
      <c r="A845" s="7">
        <v>841</v>
      </c>
      <c r="B845" s="7">
        <v>65</v>
      </c>
      <c r="C845" s="1" t="str">
        <f t="shared" si="314"/>
        <v>PARCELA 65</v>
      </c>
      <c r="D845" s="7" t="s">
        <v>129</v>
      </c>
      <c r="E845" s="1" t="str">
        <f t="shared" si="316"/>
        <v>SAN ANDREAS</v>
      </c>
      <c r="F845" s="7">
        <v>1</v>
      </c>
      <c r="G845" s="7" t="s">
        <v>477</v>
      </c>
      <c r="H845" s="7" t="s">
        <v>149</v>
      </c>
      <c r="I845" s="7" t="s">
        <v>149</v>
      </c>
      <c r="J845" s="7">
        <v>841</v>
      </c>
      <c r="K845" s="28" t="s">
        <v>638</v>
      </c>
    </row>
    <row r="846" spans="1:11" x14ac:dyDescent="0.2">
      <c r="A846" s="7">
        <v>842</v>
      </c>
      <c r="B846" s="7">
        <v>65</v>
      </c>
      <c r="C846" s="1" t="str">
        <f t="shared" si="314"/>
        <v>PARCELA 65</v>
      </c>
      <c r="D846" s="7" t="s">
        <v>129</v>
      </c>
      <c r="E846" s="1" t="str">
        <f t="shared" si="316"/>
        <v>SAN ANDREAS</v>
      </c>
      <c r="F846" s="7">
        <v>1</v>
      </c>
      <c r="G846" s="7" t="s">
        <v>476</v>
      </c>
      <c r="H846" s="7" t="s">
        <v>473</v>
      </c>
      <c r="I846" s="26" t="s">
        <v>473</v>
      </c>
      <c r="J846" s="26">
        <v>842</v>
      </c>
      <c r="K846" s="7"/>
    </row>
    <row r="847" spans="1:11" x14ac:dyDescent="0.2">
      <c r="A847" s="7">
        <v>843</v>
      </c>
      <c r="B847" s="7">
        <v>65</v>
      </c>
      <c r="C847" s="1" t="str">
        <f t="shared" si="314"/>
        <v>PARCELA 65</v>
      </c>
      <c r="D847" s="7" t="s">
        <v>129</v>
      </c>
      <c r="E847" s="1" t="str">
        <f t="shared" si="316"/>
        <v>SAN ANDREAS</v>
      </c>
      <c r="F847" s="7">
        <v>1</v>
      </c>
      <c r="G847" s="7" t="s">
        <v>477</v>
      </c>
      <c r="H847" s="7" t="s">
        <v>155</v>
      </c>
      <c r="I847" s="7" t="s">
        <v>155</v>
      </c>
      <c r="J847" s="7">
        <v>843</v>
      </c>
      <c r="K847" s="29"/>
    </row>
    <row r="848" spans="1:11" x14ac:dyDescent="0.2">
      <c r="A848" s="7">
        <v>844</v>
      </c>
      <c r="B848" s="7">
        <v>66</v>
      </c>
      <c r="C848" s="1" t="str">
        <f t="shared" si="314"/>
        <v>PARCELA 66</v>
      </c>
      <c r="D848" s="7" t="s">
        <v>129</v>
      </c>
      <c r="E848" s="1" t="str">
        <f t="shared" ref="E848:E879" si="317">IF(B848=66,"FRONTERA",IF(B848=67,"FRONTERA",IF(B848=68,"FRONTERA",IF(B848=69,"SAN ANDREAS",IF(B848=70,"FRONTERA",IF(B848=71,"FRONTERA",IF(B848=72,"FRONTERA",IF(B848=73,"SAN ANDREAS",IF(B848=74.1,"FRONTERA",IF(B848=74.2,"SAN ANDREAS",IF(B848=75,"CHILENAS",IF(B848=76.1,"SAN ANDREAS",IF(B848=76.2,"FRONTERA",IF(B848=76.3,"FRONTERA",IF(B848=77,"FRONTERA",IF(B848=78,"CAMINO REAL",IF(B848=79,"FRONTERA",IF(B848=80,"FRONTERA",IF(B848=81,"FRONTERA",IF(B848=82,"FRONTERA",IF(B848=83,"FRONTERA",IF(B848=84,"FRONTERA",IF(B848=85,"FRONTERA",IF(B848=86,"CABRILLO",IF(B848=87,"VICTOR",IF(B848=88,"MONTERREY",IF(B848=89,"ROYAL",IF(B848=90,"NO DOCUMENTADO",IF(B848=91,"FRONTERA")))))))))))))))))))))))))))))</f>
        <v>FRONTERA</v>
      </c>
      <c r="F848" s="7">
        <v>1</v>
      </c>
      <c r="G848" s="7" t="s">
        <v>476</v>
      </c>
      <c r="H848" s="7" t="s">
        <v>155</v>
      </c>
      <c r="I848" s="7" t="s">
        <v>155</v>
      </c>
      <c r="J848" s="7">
        <v>844</v>
      </c>
      <c r="K848" s="7"/>
    </row>
    <row r="849" spans="1:11" x14ac:dyDescent="0.2">
      <c r="A849" s="7">
        <v>845</v>
      </c>
      <c r="B849" s="7">
        <v>66</v>
      </c>
      <c r="C849" s="1" t="str">
        <f t="shared" si="314"/>
        <v>PARCELA 66</v>
      </c>
      <c r="D849" s="7" t="s">
        <v>129</v>
      </c>
      <c r="E849" s="1" t="str">
        <f t="shared" si="317"/>
        <v>FRONTERA</v>
      </c>
      <c r="F849" s="7">
        <v>1</v>
      </c>
      <c r="G849" s="7" t="s">
        <v>477</v>
      </c>
      <c r="H849" s="7" t="s">
        <v>473</v>
      </c>
      <c r="I849" s="26" t="s">
        <v>473</v>
      </c>
      <c r="J849" s="26">
        <v>845</v>
      </c>
      <c r="K849" s="7"/>
    </row>
    <row r="850" spans="1:11" x14ac:dyDescent="0.2">
      <c r="A850" s="7">
        <v>846</v>
      </c>
      <c r="B850" s="7">
        <v>66</v>
      </c>
      <c r="C850" s="1" t="str">
        <f t="shared" ref="C850:C857" si="318">IF(B850=40.2,"RANCHO AVENTURA 2",IF(B850=40.3,"RANCHO AVENTURA 3",IF(B850=41,"JAVIER CERVANTES",IF(B850=42,"LA HACHERA 1",IF(B850=43,"LA HACHERA 2",IF(B850=44,"LA HACHERA 3",IF(B850=45,"LA HACHERA 4",IF(B850=46,"LA HACHERA 5",IF(B850=47,"LA HACHERA 6",IF(B850=48.1,"JORGE LUIS REVELES C. 1",IF(B850=48.2,"JORGE LUIS REVELES C. 2",IF(B850=49,"RANCHO MENDEZ 1",IF(B850=50,"RANCHO MENDEZ 2",IF(B850=51,"RANCHO MENDEZ 3",IF(B850=52,"EL SAUCE",IF(B850=53,"LAS LAJAS",IF(B850=54,"EL TREBOL",IF(B850=55,"EL OLIMBO",IF(B850=56.1,"SANTA LUCIA 1",IF(B850=56.2,"SANTA LUCIA 2",IF(B850=57,"PARCELA 57",IF(B850=58,"MESHU",IF(B850=59,"LAS TAPONAS",IF(B850=60,"EL PUENTE",IF(B850=61,"LA ARENA",IF(B850=62,"LA CERCA",IF(B850=63,"PARCELA 63",IF(B850=64,"PARCELA 64",IF(B850=65,"PARCELA 65",IF(B850=66,"PARCELA 66"))))))))))))))))))))))))))))))</f>
        <v>PARCELA 66</v>
      </c>
      <c r="D850" s="7" t="s">
        <v>129</v>
      </c>
      <c r="E850" s="1" t="str">
        <f t="shared" si="317"/>
        <v>FRONTERA</v>
      </c>
      <c r="F850" s="7">
        <v>2</v>
      </c>
      <c r="G850" s="7" t="s">
        <v>476</v>
      </c>
      <c r="H850" s="7" t="s">
        <v>485</v>
      </c>
      <c r="I850" s="10" t="s">
        <v>485</v>
      </c>
      <c r="J850" s="10">
        <v>846</v>
      </c>
      <c r="K850" s="7"/>
    </row>
    <row r="851" spans="1:11" x14ac:dyDescent="0.2">
      <c r="A851" s="7">
        <v>847</v>
      </c>
      <c r="B851" s="7">
        <v>66</v>
      </c>
      <c r="C851" s="1" t="str">
        <f t="shared" si="318"/>
        <v>PARCELA 66</v>
      </c>
      <c r="D851" s="7" t="s">
        <v>129</v>
      </c>
      <c r="E851" s="1" t="str">
        <f t="shared" si="317"/>
        <v>FRONTERA</v>
      </c>
      <c r="F851" s="7">
        <v>2</v>
      </c>
      <c r="G851" s="7" t="s">
        <v>477</v>
      </c>
      <c r="H851" s="7" t="s">
        <v>490</v>
      </c>
      <c r="I851" s="26" t="s">
        <v>490</v>
      </c>
      <c r="J851" s="26">
        <v>847</v>
      </c>
      <c r="K851" s="7"/>
    </row>
    <row r="852" spans="1:11" x14ac:dyDescent="0.2">
      <c r="A852" s="7">
        <v>848</v>
      </c>
      <c r="B852" s="7">
        <v>66</v>
      </c>
      <c r="C852" s="1" t="str">
        <f t="shared" si="318"/>
        <v>PARCELA 66</v>
      </c>
      <c r="D852" s="7" t="s">
        <v>129</v>
      </c>
      <c r="E852" s="1" t="str">
        <f t="shared" si="317"/>
        <v>FRONTERA</v>
      </c>
      <c r="F852" s="7">
        <v>2</v>
      </c>
      <c r="G852" s="7" t="s">
        <v>477</v>
      </c>
      <c r="H852" s="7" t="s">
        <v>475</v>
      </c>
      <c r="I852" s="7" t="s">
        <v>641</v>
      </c>
      <c r="J852" s="7">
        <v>848</v>
      </c>
      <c r="K852" s="7"/>
    </row>
    <row r="853" spans="1:11" x14ac:dyDescent="0.2">
      <c r="A853" s="7">
        <v>849</v>
      </c>
      <c r="B853" s="7">
        <v>66</v>
      </c>
      <c r="C853" s="1" t="str">
        <f t="shared" si="318"/>
        <v>PARCELA 66</v>
      </c>
      <c r="D853" s="7" t="s">
        <v>129</v>
      </c>
      <c r="E853" s="1" t="str">
        <f t="shared" si="317"/>
        <v>FRONTERA</v>
      </c>
      <c r="F853" s="7">
        <v>1</v>
      </c>
      <c r="G853" s="7" t="s">
        <v>477</v>
      </c>
      <c r="H853" s="7" t="s">
        <v>473</v>
      </c>
      <c r="I853" s="26" t="s">
        <v>473</v>
      </c>
      <c r="J853" s="26">
        <v>849</v>
      </c>
      <c r="K853" s="7"/>
    </row>
    <row r="854" spans="1:11" x14ac:dyDescent="0.2">
      <c r="A854" s="7">
        <v>850</v>
      </c>
      <c r="B854" s="7">
        <v>66</v>
      </c>
      <c r="C854" s="1" t="str">
        <f t="shared" si="318"/>
        <v>PARCELA 66</v>
      </c>
      <c r="D854" s="7" t="s">
        <v>129</v>
      </c>
      <c r="E854" s="1" t="str">
        <f t="shared" si="317"/>
        <v>FRONTERA</v>
      </c>
      <c r="F854" s="7">
        <v>1</v>
      </c>
      <c r="G854" s="7" t="s">
        <v>477</v>
      </c>
      <c r="H854" s="7" t="s">
        <v>155</v>
      </c>
      <c r="I854" s="7" t="s">
        <v>155</v>
      </c>
      <c r="J854" s="7">
        <v>850</v>
      </c>
      <c r="K854" s="7"/>
    </row>
    <row r="855" spans="1:11" x14ac:dyDescent="0.2">
      <c r="A855" s="7">
        <v>851</v>
      </c>
      <c r="B855" s="7">
        <v>66</v>
      </c>
      <c r="C855" s="1" t="str">
        <f t="shared" si="318"/>
        <v>PARCELA 66</v>
      </c>
      <c r="D855" s="7" t="s">
        <v>129</v>
      </c>
      <c r="E855" s="1" t="str">
        <f t="shared" si="317"/>
        <v>FRONTERA</v>
      </c>
      <c r="F855" s="7">
        <v>1</v>
      </c>
      <c r="G855" s="7" t="s">
        <v>477</v>
      </c>
      <c r="H855" s="7" t="s">
        <v>155</v>
      </c>
      <c r="I855" s="7" t="s">
        <v>155</v>
      </c>
      <c r="J855" s="7">
        <v>851</v>
      </c>
      <c r="K855" s="28" t="s">
        <v>638</v>
      </c>
    </row>
    <row r="856" spans="1:11" x14ac:dyDescent="0.2">
      <c r="A856" s="7">
        <v>852</v>
      </c>
      <c r="B856" s="7">
        <v>66</v>
      </c>
      <c r="C856" s="1" t="str">
        <f t="shared" si="318"/>
        <v>PARCELA 66</v>
      </c>
      <c r="D856" s="7" t="s">
        <v>129</v>
      </c>
      <c r="E856" s="1" t="str">
        <f t="shared" si="317"/>
        <v>FRONTERA</v>
      </c>
      <c r="F856" s="7">
        <v>1</v>
      </c>
      <c r="G856" s="7" t="s">
        <v>476</v>
      </c>
      <c r="H856" s="7" t="s">
        <v>149</v>
      </c>
      <c r="I856" s="7" t="s">
        <v>149</v>
      </c>
      <c r="J856" s="7">
        <v>852</v>
      </c>
      <c r="K856" s="7"/>
    </row>
    <row r="857" spans="1:11" x14ac:dyDescent="0.2">
      <c r="A857" s="7">
        <v>853</v>
      </c>
      <c r="B857" s="7">
        <v>66</v>
      </c>
      <c r="C857" s="1" t="str">
        <f t="shared" si="318"/>
        <v>PARCELA 66</v>
      </c>
      <c r="D857" s="7" t="s">
        <v>129</v>
      </c>
      <c r="E857" s="1" t="str">
        <f t="shared" si="317"/>
        <v>FRONTERA</v>
      </c>
      <c r="F857" s="7">
        <v>1</v>
      </c>
      <c r="G857" s="7" t="s">
        <v>476</v>
      </c>
      <c r="H857" s="7" t="s">
        <v>149</v>
      </c>
      <c r="I857" s="7" t="s">
        <v>149</v>
      </c>
      <c r="J857" s="7">
        <v>853</v>
      </c>
      <c r="K857" s="7"/>
    </row>
    <row r="858" spans="1:11" x14ac:dyDescent="0.2">
      <c r="A858" s="7">
        <v>854</v>
      </c>
      <c r="B858" s="7">
        <v>67</v>
      </c>
      <c r="C858" s="1" t="s">
        <v>55</v>
      </c>
      <c r="D858" s="7" t="s">
        <v>129</v>
      </c>
      <c r="E858" s="1" t="str">
        <f t="shared" si="317"/>
        <v>FRONTERA</v>
      </c>
      <c r="F858" s="7">
        <v>1</v>
      </c>
      <c r="G858" s="7" t="s">
        <v>476</v>
      </c>
      <c r="H858" s="7" t="s">
        <v>155</v>
      </c>
      <c r="I858" s="7" t="s">
        <v>155</v>
      </c>
      <c r="J858" s="7">
        <v>854</v>
      </c>
      <c r="K858" s="7"/>
    </row>
    <row r="859" spans="1:11" x14ac:dyDescent="0.2">
      <c r="A859" s="7">
        <v>855</v>
      </c>
      <c r="B859" s="7">
        <v>67</v>
      </c>
      <c r="C859" s="1" t="s">
        <v>55</v>
      </c>
      <c r="D859" s="7" t="s">
        <v>129</v>
      </c>
      <c r="E859" s="1" t="str">
        <f t="shared" si="317"/>
        <v>FRONTERA</v>
      </c>
      <c r="F859" s="7">
        <v>1</v>
      </c>
      <c r="G859" s="7" t="s">
        <v>476</v>
      </c>
      <c r="H859" s="7" t="s">
        <v>155</v>
      </c>
      <c r="I859" s="7" t="s">
        <v>155</v>
      </c>
      <c r="J859" s="7">
        <v>855</v>
      </c>
      <c r="K859" s="7"/>
    </row>
    <row r="860" spans="1:11" x14ac:dyDescent="0.2">
      <c r="A860" s="7">
        <v>856</v>
      </c>
      <c r="B860" s="7">
        <v>67</v>
      </c>
      <c r="C860" s="1" t="s">
        <v>55</v>
      </c>
      <c r="D860" s="7" t="s">
        <v>129</v>
      </c>
      <c r="E860" s="1" t="str">
        <f t="shared" si="317"/>
        <v>FRONTERA</v>
      </c>
      <c r="F860" s="7">
        <v>1</v>
      </c>
      <c r="G860" s="7" t="s">
        <v>476</v>
      </c>
      <c r="H860" s="7" t="s">
        <v>155</v>
      </c>
      <c r="I860" s="7" t="s">
        <v>155</v>
      </c>
      <c r="J860" s="7">
        <v>856</v>
      </c>
      <c r="K860" s="7"/>
    </row>
    <row r="861" spans="1:11" x14ac:dyDescent="0.2">
      <c r="A861" s="7">
        <v>857</v>
      </c>
      <c r="B861" s="7">
        <v>67</v>
      </c>
      <c r="C861" s="1" t="s">
        <v>55</v>
      </c>
      <c r="D861" s="7" t="s">
        <v>129</v>
      </c>
      <c r="E861" s="1" t="str">
        <f t="shared" si="317"/>
        <v>FRONTERA</v>
      </c>
      <c r="F861" s="7">
        <v>1</v>
      </c>
      <c r="G861" s="7" t="s">
        <v>477</v>
      </c>
      <c r="H861" s="7" t="s">
        <v>473</v>
      </c>
      <c r="I861" s="26" t="s">
        <v>473</v>
      </c>
      <c r="J861" s="26">
        <v>857</v>
      </c>
      <c r="K861" s="7"/>
    </row>
    <row r="862" spans="1:11" x14ac:dyDescent="0.2">
      <c r="A862" s="7">
        <v>858</v>
      </c>
      <c r="B862" s="7">
        <v>67</v>
      </c>
      <c r="C862" s="1" t="s">
        <v>55</v>
      </c>
      <c r="D862" s="7" t="s">
        <v>129</v>
      </c>
      <c r="E862" s="1" t="str">
        <f t="shared" si="317"/>
        <v>FRONTERA</v>
      </c>
      <c r="F862" s="7">
        <v>1</v>
      </c>
      <c r="G862" s="7" t="s">
        <v>477</v>
      </c>
      <c r="H862" s="7" t="s">
        <v>155</v>
      </c>
      <c r="I862" s="7" t="s">
        <v>155</v>
      </c>
      <c r="J862" s="7">
        <v>858</v>
      </c>
      <c r="K862" s="7"/>
    </row>
    <row r="863" spans="1:11" x14ac:dyDescent="0.2">
      <c r="A863" s="7">
        <v>859</v>
      </c>
      <c r="B863" s="7">
        <v>67</v>
      </c>
      <c r="C863" s="1" t="s">
        <v>55</v>
      </c>
      <c r="D863" s="7" t="s">
        <v>129</v>
      </c>
      <c r="E863" s="1" t="str">
        <f t="shared" si="317"/>
        <v>FRONTERA</v>
      </c>
      <c r="F863" s="7">
        <v>1</v>
      </c>
      <c r="G863" s="7" t="s">
        <v>476</v>
      </c>
      <c r="H863" s="7" t="s">
        <v>155</v>
      </c>
      <c r="I863" s="7" t="s">
        <v>155</v>
      </c>
      <c r="J863" s="7">
        <v>859</v>
      </c>
      <c r="K863" s="7"/>
    </row>
    <row r="864" spans="1:11" x14ac:dyDescent="0.2">
      <c r="A864" s="7">
        <v>860</v>
      </c>
      <c r="B864" s="7">
        <v>67</v>
      </c>
      <c r="C864" s="1" t="s">
        <v>55</v>
      </c>
      <c r="D864" s="7" t="s">
        <v>129</v>
      </c>
      <c r="E864" s="1" t="str">
        <f t="shared" si="317"/>
        <v>FRONTERA</v>
      </c>
      <c r="F864" s="7">
        <v>1</v>
      </c>
      <c r="G864" s="7" t="s">
        <v>476</v>
      </c>
      <c r="H864" s="7" t="s">
        <v>155</v>
      </c>
      <c r="I864" s="7" t="s">
        <v>155</v>
      </c>
      <c r="J864" s="7">
        <v>860</v>
      </c>
      <c r="K864" s="7"/>
    </row>
    <row r="865" spans="1:11" x14ac:dyDescent="0.2">
      <c r="A865" s="7">
        <v>861</v>
      </c>
      <c r="B865" s="7">
        <v>67</v>
      </c>
      <c r="C865" s="1" t="s">
        <v>55</v>
      </c>
      <c r="D865" s="7" t="s">
        <v>129</v>
      </c>
      <c r="E865" s="1" t="str">
        <f t="shared" si="317"/>
        <v>FRONTERA</v>
      </c>
      <c r="F865" s="7">
        <v>1</v>
      </c>
      <c r="G865" s="7" t="s">
        <v>476</v>
      </c>
      <c r="H865" s="7" t="s">
        <v>155</v>
      </c>
      <c r="I865" s="7" t="s">
        <v>155</v>
      </c>
      <c r="J865" s="7">
        <v>861</v>
      </c>
      <c r="K865" s="7"/>
    </row>
    <row r="866" spans="1:11" x14ac:dyDescent="0.2">
      <c r="A866" s="7">
        <v>862</v>
      </c>
      <c r="B866" s="7">
        <v>67</v>
      </c>
      <c r="C866" s="1" t="s">
        <v>55</v>
      </c>
      <c r="D866" s="7" t="s">
        <v>129</v>
      </c>
      <c r="E866" s="1" t="str">
        <f t="shared" si="317"/>
        <v>FRONTERA</v>
      </c>
      <c r="F866" s="7">
        <v>2</v>
      </c>
      <c r="G866" s="7" t="s">
        <v>476</v>
      </c>
      <c r="H866" s="7" t="s">
        <v>155</v>
      </c>
      <c r="I866" s="7" t="s">
        <v>155</v>
      </c>
      <c r="J866" s="7">
        <v>862</v>
      </c>
      <c r="K866" s="7"/>
    </row>
    <row r="867" spans="1:11" x14ac:dyDescent="0.2">
      <c r="A867" s="7">
        <v>863</v>
      </c>
      <c r="B867" s="7">
        <v>67</v>
      </c>
      <c r="C867" s="1" t="s">
        <v>55</v>
      </c>
      <c r="D867" s="7" t="s">
        <v>129</v>
      </c>
      <c r="E867" s="1" t="str">
        <f t="shared" si="317"/>
        <v>FRONTERA</v>
      </c>
      <c r="F867" s="7">
        <v>1</v>
      </c>
      <c r="G867" s="7" t="s">
        <v>477</v>
      </c>
      <c r="H867" s="7" t="s">
        <v>473</v>
      </c>
      <c r="I867" s="26" t="s">
        <v>473</v>
      </c>
      <c r="J867" s="26">
        <v>863</v>
      </c>
      <c r="K867" s="7"/>
    </row>
    <row r="868" spans="1:11" x14ac:dyDescent="0.2">
      <c r="A868" s="7">
        <v>864</v>
      </c>
      <c r="B868" s="7">
        <v>67</v>
      </c>
      <c r="C868" s="1" t="s">
        <v>55</v>
      </c>
      <c r="D868" s="7" t="s">
        <v>129</v>
      </c>
      <c r="E868" s="1" t="str">
        <f t="shared" si="317"/>
        <v>FRONTERA</v>
      </c>
      <c r="F868" s="7">
        <v>1</v>
      </c>
      <c r="G868" s="7" t="s">
        <v>477</v>
      </c>
      <c r="H868" s="7" t="s">
        <v>149</v>
      </c>
      <c r="I868" s="7" t="s">
        <v>149</v>
      </c>
      <c r="J868" s="7">
        <v>864</v>
      </c>
      <c r="K868" s="28" t="s">
        <v>638</v>
      </c>
    </row>
    <row r="869" spans="1:11" x14ac:dyDescent="0.2">
      <c r="A869" s="7">
        <v>865</v>
      </c>
      <c r="B869" s="7">
        <v>67</v>
      </c>
      <c r="C869" s="1" t="s">
        <v>55</v>
      </c>
      <c r="D869" s="7" t="s">
        <v>129</v>
      </c>
      <c r="E869" s="1" t="str">
        <f t="shared" si="317"/>
        <v>FRONTERA</v>
      </c>
      <c r="F869" s="7">
        <v>2</v>
      </c>
      <c r="G869" s="7" t="s">
        <v>477</v>
      </c>
      <c r="H869" s="7" t="s">
        <v>155</v>
      </c>
      <c r="I869" s="7" t="s">
        <v>155</v>
      </c>
      <c r="J869" s="7">
        <v>865</v>
      </c>
      <c r="K869" s="7"/>
    </row>
    <row r="870" spans="1:11" x14ac:dyDescent="0.2">
      <c r="A870" s="7">
        <v>866</v>
      </c>
      <c r="B870" s="7">
        <v>67</v>
      </c>
      <c r="C870" s="1" t="s">
        <v>55</v>
      </c>
      <c r="D870" s="7" t="s">
        <v>129</v>
      </c>
      <c r="E870" s="1" t="str">
        <f t="shared" si="317"/>
        <v>FRONTERA</v>
      </c>
      <c r="F870" s="7">
        <v>1</v>
      </c>
      <c r="G870" s="7" t="s">
        <v>476</v>
      </c>
      <c r="H870" s="7" t="s">
        <v>155</v>
      </c>
      <c r="I870" s="7" t="s">
        <v>155</v>
      </c>
      <c r="J870" s="7">
        <v>866</v>
      </c>
      <c r="K870" s="7"/>
    </row>
    <row r="871" spans="1:11" x14ac:dyDescent="0.2">
      <c r="A871" s="7">
        <v>867</v>
      </c>
      <c r="B871" s="7">
        <v>67</v>
      </c>
      <c r="C871" s="1" t="s">
        <v>55</v>
      </c>
      <c r="D871" s="7" t="s">
        <v>129</v>
      </c>
      <c r="E871" s="1" t="str">
        <f t="shared" si="317"/>
        <v>FRONTERA</v>
      </c>
      <c r="F871" s="7">
        <v>1</v>
      </c>
      <c r="G871" s="23" t="s">
        <v>476</v>
      </c>
      <c r="H871" s="7" t="s">
        <v>155</v>
      </c>
      <c r="I871" s="23" t="s">
        <v>155</v>
      </c>
      <c r="J871" s="23">
        <v>886</v>
      </c>
      <c r="K871" s="7"/>
    </row>
    <row r="872" spans="1:11" x14ac:dyDescent="0.2">
      <c r="A872" s="7">
        <v>868</v>
      </c>
      <c r="B872" s="7">
        <v>67</v>
      </c>
      <c r="C872" s="1" t="s">
        <v>55</v>
      </c>
      <c r="D872" s="7" t="s">
        <v>129</v>
      </c>
      <c r="E872" s="1" t="str">
        <f t="shared" si="317"/>
        <v>FRONTERA</v>
      </c>
      <c r="F872" s="7">
        <v>1</v>
      </c>
      <c r="G872" s="7" t="s">
        <v>476</v>
      </c>
      <c r="H872" s="7" t="s">
        <v>155</v>
      </c>
      <c r="I872" s="7" t="s">
        <v>155</v>
      </c>
      <c r="J872" s="7">
        <v>867</v>
      </c>
      <c r="K872" s="7"/>
    </row>
    <row r="873" spans="1:11" x14ac:dyDescent="0.2">
      <c r="A873" s="7">
        <v>869</v>
      </c>
      <c r="B873" s="7">
        <v>67</v>
      </c>
      <c r="C873" s="1" t="s">
        <v>55</v>
      </c>
      <c r="D873" s="7" t="s">
        <v>129</v>
      </c>
      <c r="E873" s="1" t="str">
        <f t="shared" si="317"/>
        <v>FRONTERA</v>
      </c>
      <c r="F873" s="7">
        <v>1</v>
      </c>
      <c r="G873" s="7" t="s">
        <v>477</v>
      </c>
      <c r="H873" s="7" t="s">
        <v>155</v>
      </c>
      <c r="I873" s="7" t="s">
        <v>155</v>
      </c>
      <c r="J873" s="7">
        <v>868</v>
      </c>
      <c r="K873" s="7"/>
    </row>
    <row r="874" spans="1:11" x14ac:dyDescent="0.2">
      <c r="A874" s="7">
        <v>870</v>
      </c>
      <c r="B874" s="7">
        <v>67</v>
      </c>
      <c r="C874" s="1" t="s">
        <v>55</v>
      </c>
      <c r="D874" s="7" t="s">
        <v>129</v>
      </c>
      <c r="E874" s="1" t="str">
        <f t="shared" si="317"/>
        <v>FRONTERA</v>
      </c>
      <c r="F874" s="7">
        <v>1</v>
      </c>
      <c r="G874" s="7" t="s">
        <v>477</v>
      </c>
      <c r="H874" s="7" t="s">
        <v>155</v>
      </c>
      <c r="I874" s="7" t="s">
        <v>155</v>
      </c>
      <c r="J874" s="7">
        <v>869</v>
      </c>
      <c r="K874" s="7"/>
    </row>
    <row r="875" spans="1:11" x14ac:dyDescent="0.2">
      <c r="A875" s="7">
        <v>871</v>
      </c>
      <c r="B875" s="7">
        <v>68</v>
      </c>
      <c r="C875" s="1" t="s">
        <v>56</v>
      </c>
      <c r="D875" s="7" t="s">
        <v>129</v>
      </c>
      <c r="E875" s="1" t="str">
        <f t="shared" si="317"/>
        <v>FRONTERA</v>
      </c>
      <c r="F875" s="7">
        <v>2</v>
      </c>
      <c r="G875" s="7" t="s">
        <v>476</v>
      </c>
      <c r="H875" s="7" t="s">
        <v>473</v>
      </c>
      <c r="I875" s="26" t="s">
        <v>473</v>
      </c>
      <c r="J875" s="26">
        <v>870</v>
      </c>
      <c r="K875" s="7"/>
    </row>
    <row r="876" spans="1:11" x14ac:dyDescent="0.2">
      <c r="A876" s="7">
        <v>872</v>
      </c>
      <c r="B876" s="7">
        <v>68</v>
      </c>
      <c r="C876" s="1" t="s">
        <v>56</v>
      </c>
      <c r="D876" s="7" t="s">
        <v>129</v>
      </c>
      <c r="E876" s="1" t="str">
        <f t="shared" si="317"/>
        <v>FRONTERA</v>
      </c>
      <c r="F876" s="7">
        <v>2</v>
      </c>
      <c r="G876" s="7" t="s">
        <v>476</v>
      </c>
      <c r="H876" s="7" t="s">
        <v>149</v>
      </c>
      <c r="I876" s="7" t="s">
        <v>149</v>
      </c>
      <c r="J876" s="7">
        <v>871</v>
      </c>
      <c r="K876" s="7"/>
    </row>
    <row r="877" spans="1:11" x14ac:dyDescent="0.2">
      <c r="A877" s="7">
        <v>873</v>
      </c>
      <c r="B877" s="7">
        <v>68</v>
      </c>
      <c r="C877" s="1" t="s">
        <v>56</v>
      </c>
      <c r="D877" s="7" t="s">
        <v>129</v>
      </c>
      <c r="E877" s="1" t="str">
        <f t="shared" si="317"/>
        <v>FRONTERA</v>
      </c>
      <c r="F877" s="7">
        <v>2</v>
      </c>
      <c r="G877" s="7" t="s">
        <v>477</v>
      </c>
      <c r="H877" s="7" t="s">
        <v>149</v>
      </c>
      <c r="I877" s="7" t="s">
        <v>149</v>
      </c>
      <c r="J877" s="7">
        <v>872</v>
      </c>
      <c r="K877" s="28"/>
    </row>
    <row r="878" spans="1:11" x14ac:dyDescent="0.2">
      <c r="A878" s="7">
        <v>874</v>
      </c>
      <c r="B878" s="7">
        <v>68</v>
      </c>
      <c r="C878" s="1" t="s">
        <v>56</v>
      </c>
      <c r="D878" s="7" t="s">
        <v>129</v>
      </c>
      <c r="E878" s="1" t="str">
        <f t="shared" si="317"/>
        <v>FRONTERA</v>
      </c>
      <c r="F878" s="7">
        <v>2</v>
      </c>
      <c r="G878" s="7" t="s">
        <v>477</v>
      </c>
      <c r="H878" s="7" t="s">
        <v>471</v>
      </c>
      <c r="I878" s="7" t="s">
        <v>471</v>
      </c>
      <c r="J878" s="7">
        <v>873</v>
      </c>
      <c r="K878" s="28"/>
    </row>
    <row r="879" spans="1:11" x14ac:dyDescent="0.2">
      <c r="A879" s="7">
        <v>875</v>
      </c>
      <c r="B879" s="7">
        <v>68</v>
      </c>
      <c r="C879" s="1" t="s">
        <v>56</v>
      </c>
      <c r="D879" s="7" t="s">
        <v>129</v>
      </c>
      <c r="E879" s="1" t="str">
        <f t="shared" si="317"/>
        <v>FRONTERA</v>
      </c>
      <c r="F879" s="7">
        <v>2</v>
      </c>
      <c r="G879" s="7" t="s">
        <v>477</v>
      </c>
      <c r="H879" s="7" t="s">
        <v>474</v>
      </c>
      <c r="I879" s="9" t="s">
        <v>474</v>
      </c>
      <c r="J879" s="9">
        <v>874</v>
      </c>
      <c r="K879" s="7"/>
    </row>
    <row r="880" spans="1:11" x14ac:dyDescent="0.2">
      <c r="A880" s="7">
        <v>876</v>
      </c>
      <c r="B880" s="7">
        <v>68</v>
      </c>
      <c r="C880" s="1" t="s">
        <v>56</v>
      </c>
      <c r="D880" s="7" t="s">
        <v>129</v>
      </c>
      <c r="E880" s="1" t="str">
        <f t="shared" ref="E880:E911" si="319">IF(B880=66,"FRONTERA",IF(B880=67,"FRONTERA",IF(B880=68,"FRONTERA",IF(B880=69,"SAN ANDREAS",IF(B880=70,"FRONTERA",IF(B880=71,"FRONTERA",IF(B880=72,"FRONTERA",IF(B880=73,"SAN ANDREAS",IF(B880=74.1,"FRONTERA",IF(B880=74.2,"SAN ANDREAS",IF(B880=75,"CHILENAS",IF(B880=76.1,"SAN ANDREAS",IF(B880=76.2,"FRONTERA",IF(B880=76.3,"FRONTERA",IF(B880=77,"FRONTERA",IF(B880=78,"CAMINO REAL",IF(B880=79,"FRONTERA",IF(B880=80,"FRONTERA",IF(B880=81,"FRONTERA",IF(B880=82,"FRONTERA",IF(B880=83,"FRONTERA",IF(B880=84,"FRONTERA",IF(B880=85,"FRONTERA",IF(B880=86,"CABRILLO",IF(B880=87,"VICTOR",IF(B880=88,"MONTERREY",IF(B880=89,"ROYAL",IF(B880=90,"NO DOCUMENTADO",IF(B880=91,"FRONTERA")))))))))))))))))))))))))))))</f>
        <v>FRONTERA</v>
      </c>
      <c r="F880" s="7">
        <v>2</v>
      </c>
      <c r="G880" s="7" t="s">
        <v>477</v>
      </c>
      <c r="H880" s="7" t="s">
        <v>473</v>
      </c>
      <c r="I880" s="26" t="s">
        <v>473</v>
      </c>
      <c r="J880" s="26">
        <v>875</v>
      </c>
      <c r="K880" s="7"/>
    </row>
    <row r="881" spans="1:11" x14ac:dyDescent="0.2">
      <c r="A881" s="7">
        <v>877</v>
      </c>
      <c r="B881" s="7">
        <v>68</v>
      </c>
      <c r="C881" s="1" t="s">
        <v>56</v>
      </c>
      <c r="D881" s="7" t="s">
        <v>129</v>
      </c>
      <c r="E881" s="1" t="str">
        <f t="shared" si="319"/>
        <v>FRONTERA</v>
      </c>
      <c r="F881" s="7">
        <v>2</v>
      </c>
      <c r="G881" s="7" t="s">
        <v>477</v>
      </c>
      <c r="H881" s="7" t="s">
        <v>155</v>
      </c>
      <c r="I881" s="7" t="s">
        <v>155</v>
      </c>
      <c r="J881" s="7">
        <v>876</v>
      </c>
      <c r="K881" s="28" t="s">
        <v>638</v>
      </c>
    </row>
    <row r="882" spans="1:11" x14ac:dyDescent="0.2">
      <c r="A882" s="7">
        <v>878</v>
      </c>
      <c r="B882" s="7">
        <v>69</v>
      </c>
      <c r="C882" s="1" t="s">
        <v>57</v>
      </c>
      <c r="D882" s="7" t="s">
        <v>129</v>
      </c>
      <c r="E882" s="1" t="str">
        <f t="shared" si="319"/>
        <v>SAN ANDREAS</v>
      </c>
      <c r="F882" s="7">
        <v>1</v>
      </c>
      <c r="G882" s="7" t="s">
        <v>476</v>
      </c>
      <c r="H882" s="7" t="s">
        <v>155</v>
      </c>
      <c r="I882" s="7" t="s">
        <v>155</v>
      </c>
      <c r="J882" s="7">
        <v>877</v>
      </c>
      <c r="K882" s="7"/>
    </row>
    <row r="883" spans="1:11" x14ac:dyDescent="0.2">
      <c r="A883" s="7">
        <v>879</v>
      </c>
      <c r="B883" s="7">
        <v>69</v>
      </c>
      <c r="C883" s="1" t="s">
        <v>57</v>
      </c>
      <c r="D883" s="7" t="s">
        <v>129</v>
      </c>
      <c r="E883" s="1" t="str">
        <f t="shared" si="319"/>
        <v>SAN ANDREAS</v>
      </c>
      <c r="F883" s="7">
        <v>1</v>
      </c>
      <c r="G883" s="7" t="s">
        <v>476</v>
      </c>
      <c r="H883" s="7" t="s">
        <v>155</v>
      </c>
      <c r="I883" s="7" t="s">
        <v>155</v>
      </c>
      <c r="J883" s="7">
        <v>878</v>
      </c>
      <c r="K883" s="7"/>
    </row>
    <row r="884" spans="1:11" x14ac:dyDescent="0.2">
      <c r="A884" s="7">
        <v>880</v>
      </c>
      <c r="B884" s="7">
        <v>69</v>
      </c>
      <c r="C884" s="1" t="s">
        <v>57</v>
      </c>
      <c r="D884" s="7" t="s">
        <v>129</v>
      </c>
      <c r="E884" s="1" t="str">
        <f t="shared" si="319"/>
        <v>SAN ANDREAS</v>
      </c>
      <c r="F884" s="7">
        <v>2</v>
      </c>
      <c r="G884" s="7" t="s">
        <v>476</v>
      </c>
      <c r="H884" s="7" t="s">
        <v>155</v>
      </c>
      <c r="I884" s="7" t="s">
        <v>155</v>
      </c>
      <c r="J884" s="7">
        <v>879</v>
      </c>
      <c r="K884" s="7"/>
    </row>
    <row r="885" spans="1:11" x14ac:dyDescent="0.2">
      <c r="A885" s="7">
        <v>881</v>
      </c>
      <c r="B885" s="7">
        <v>69</v>
      </c>
      <c r="C885" s="1" t="s">
        <v>57</v>
      </c>
      <c r="D885" s="7" t="s">
        <v>129</v>
      </c>
      <c r="E885" s="1" t="str">
        <f t="shared" si="319"/>
        <v>SAN ANDREAS</v>
      </c>
      <c r="F885" s="7">
        <v>2</v>
      </c>
      <c r="G885" s="7" t="s">
        <v>476</v>
      </c>
      <c r="H885" s="7" t="s">
        <v>149</v>
      </c>
      <c r="I885" s="7" t="s">
        <v>149</v>
      </c>
      <c r="J885" s="7">
        <v>880</v>
      </c>
      <c r="K885" s="7"/>
    </row>
    <row r="886" spans="1:11" x14ac:dyDescent="0.2">
      <c r="A886" s="7">
        <v>882</v>
      </c>
      <c r="B886" s="7">
        <v>69</v>
      </c>
      <c r="C886" s="1" t="s">
        <v>57</v>
      </c>
      <c r="D886" s="7" t="s">
        <v>129</v>
      </c>
      <c r="E886" s="1" t="str">
        <f t="shared" si="319"/>
        <v>SAN ANDREAS</v>
      </c>
      <c r="F886" s="7">
        <v>2</v>
      </c>
      <c r="G886" s="7" t="s">
        <v>476</v>
      </c>
      <c r="H886" s="7" t="s">
        <v>155</v>
      </c>
      <c r="I886" s="7" t="s">
        <v>155</v>
      </c>
      <c r="J886" s="7">
        <v>881</v>
      </c>
      <c r="K886" s="28" t="s">
        <v>638</v>
      </c>
    </row>
    <row r="887" spans="1:11" x14ac:dyDescent="0.2">
      <c r="A887" s="7">
        <v>883</v>
      </c>
      <c r="B887" s="7">
        <v>69</v>
      </c>
      <c r="C887" s="1" t="s">
        <v>57</v>
      </c>
      <c r="D887" s="7" t="s">
        <v>129</v>
      </c>
      <c r="E887" s="1" t="str">
        <f t="shared" si="319"/>
        <v>SAN ANDREAS</v>
      </c>
      <c r="F887" s="7">
        <v>1</v>
      </c>
      <c r="G887" s="7" t="s">
        <v>477</v>
      </c>
      <c r="H887" s="7" t="s">
        <v>155</v>
      </c>
      <c r="I887" s="7" t="s">
        <v>155</v>
      </c>
      <c r="J887" s="7">
        <v>882</v>
      </c>
      <c r="K887" s="7"/>
    </row>
    <row r="888" spans="1:11" x14ac:dyDescent="0.2">
      <c r="A888" s="7">
        <v>884</v>
      </c>
      <c r="B888" s="7">
        <v>69</v>
      </c>
      <c r="C888" s="1" t="s">
        <v>57</v>
      </c>
      <c r="D888" s="7" t="s">
        <v>129</v>
      </c>
      <c r="E888" s="1" t="str">
        <f t="shared" si="319"/>
        <v>SAN ANDREAS</v>
      </c>
      <c r="F888" s="7">
        <v>1</v>
      </c>
      <c r="G888" s="7" t="s">
        <v>477</v>
      </c>
      <c r="H888" s="7" t="s">
        <v>155</v>
      </c>
      <c r="I888" s="7" t="s">
        <v>155</v>
      </c>
      <c r="J888" s="7">
        <v>883</v>
      </c>
      <c r="K888" s="28" t="s">
        <v>638</v>
      </c>
    </row>
    <row r="889" spans="1:11" x14ac:dyDescent="0.2">
      <c r="A889" s="7">
        <v>885</v>
      </c>
      <c r="B889" s="7">
        <v>69</v>
      </c>
      <c r="C889" s="1" t="s">
        <v>57</v>
      </c>
      <c r="D889" s="7" t="s">
        <v>129</v>
      </c>
      <c r="E889" s="1" t="str">
        <f t="shared" si="319"/>
        <v>SAN ANDREAS</v>
      </c>
      <c r="F889" s="7">
        <v>1</v>
      </c>
      <c r="G889" s="7" t="s">
        <v>477</v>
      </c>
      <c r="H889" s="7" t="s">
        <v>485</v>
      </c>
      <c r="I889" s="10" t="s">
        <v>485</v>
      </c>
      <c r="J889" s="10">
        <v>884</v>
      </c>
      <c r="K889" s="7"/>
    </row>
    <row r="890" spans="1:11" x14ac:dyDescent="0.2">
      <c r="A890" s="7">
        <v>886</v>
      </c>
      <c r="B890" s="7">
        <v>69</v>
      </c>
      <c r="C890" s="1" t="s">
        <v>57</v>
      </c>
      <c r="D890" s="7" t="s">
        <v>129</v>
      </c>
      <c r="E890" s="1" t="str">
        <f t="shared" si="319"/>
        <v>SAN ANDREAS</v>
      </c>
      <c r="F890" s="7">
        <v>1</v>
      </c>
      <c r="G890" s="7" t="s">
        <v>477</v>
      </c>
      <c r="H890" s="7" t="s">
        <v>149</v>
      </c>
      <c r="I890" s="7" t="s">
        <v>149</v>
      </c>
      <c r="J890" s="7">
        <v>885</v>
      </c>
      <c r="K890" s="28" t="s">
        <v>638</v>
      </c>
    </row>
    <row r="891" spans="1:11" x14ac:dyDescent="0.2">
      <c r="A891" s="7">
        <v>887</v>
      </c>
      <c r="B891" s="7">
        <v>69</v>
      </c>
      <c r="C891" s="1" t="s">
        <v>57</v>
      </c>
      <c r="D891" s="7" t="s">
        <v>129</v>
      </c>
      <c r="E891" s="1" t="str">
        <f t="shared" si="319"/>
        <v>SAN ANDREAS</v>
      </c>
      <c r="F891" s="7">
        <v>2</v>
      </c>
      <c r="G891" s="7" t="s">
        <v>477</v>
      </c>
      <c r="H891" s="7" t="s">
        <v>155</v>
      </c>
      <c r="I891" s="7" t="s">
        <v>155</v>
      </c>
      <c r="J891" s="7">
        <v>887</v>
      </c>
      <c r="K891" s="7"/>
    </row>
    <row r="892" spans="1:11" x14ac:dyDescent="0.2">
      <c r="A892" s="7">
        <v>888</v>
      </c>
      <c r="B892" s="7">
        <v>69</v>
      </c>
      <c r="C892" s="1" t="s">
        <v>57</v>
      </c>
      <c r="D892" s="7" t="s">
        <v>129</v>
      </c>
      <c r="E892" s="1" t="str">
        <f t="shared" si="319"/>
        <v>SAN ANDREAS</v>
      </c>
      <c r="F892" s="7">
        <v>2</v>
      </c>
      <c r="G892" s="7" t="s">
        <v>477</v>
      </c>
      <c r="H892" s="7" t="s">
        <v>149</v>
      </c>
      <c r="I892" s="7" t="s">
        <v>480</v>
      </c>
      <c r="J892" s="7">
        <v>888</v>
      </c>
      <c r="K892" s="7"/>
    </row>
    <row r="893" spans="1:11" x14ac:dyDescent="0.2">
      <c r="A893" s="7">
        <v>889</v>
      </c>
      <c r="B893" s="7">
        <v>69</v>
      </c>
      <c r="C893" s="1" t="s">
        <v>57</v>
      </c>
      <c r="D893" s="7" t="s">
        <v>129</v>
      </c>
      <c r="E893" s="1" t="str">
        <f t="shared" si="319"/>
        <v>SAN ANDREAS</v>
      </c>
      <c r="F893" s="7">
        <v>2</v>
      </c>
      <c r="G893" s="7" t="s">
        <v>477</v>
      </c>
      <c r="H893" s="7" t="s">
        <v>475</v>
      </c>
      <c r="I893" s="7" t="s">
        <v>475</v>
      </c>
      <c r="J893" s="7">
        <v>889</v>
      </c>
      <c r="K893" s="7"/>
    </row>
    <row r="894" spans="1:11" x14ac:dyDescent="0.2">
      <c r="A894" s="7">
        <v>890</v>
      </c>
      <c r="B894" s="7">
        <v>70</v>
      </c>
      <c r="C894" s="1" t="s">
        <v>58</v>
      </c>
      <c r="D894" s="7" t="s">
        <v>129</v>
      </c>
      <c r="E894" s="1" t="str">
        <f t="shared" si="319"/>
        <v>FRONTERA</v>
      </c>
      <c r="F894" s="7">
        <v>1</v>
      </c>
      <c r="G894" s="7" t="s">
        <v>476</v>
      </c>
      <c r="H894" s="7" t="s">
        <v>149</v>
      </c>
      <c r="I894" s="7" t="s">
        <v>149</v>
      </c>
      <c r="J894" s="7">
        <v>890</v>
      </c>
      <c r="K894" s="7"/>
    </row>
    <row r="895" spans="1:11" x14ac:dyDescent="0.2">
      <c r="A895" s="7">
        <v>891</v>
      </c>
      <c r="B895" s="7">
        <v>70</v>
      </c>
      <c r="C895" s="1" t="s">
        <v>58</v>
      </c>
      <c r="D895" s="7" t="s">
        <v>129</v>
      </c>
      <c r="E895" s="1" t="str">
        <f t="shared" si="319"/>
        <v>FRONTERA</v>
      </c>
      <c r="F895" s="7">
        <v>1</v>
      </c>
      <c r="G895" s="7" t="s">
        <v>476</v>
      </c>
      <c r="H895" s="7" t="s">
        <v>642</v>
      </c>
      <c r="I895" s="7" t="s">
        <v>642</v>
      </c>
      <c r="J895" s="7">
        <v>891</v>
      </c>
      <c r="K895" s="7"/>
    </row>
    <row r="896" spans="1:11" x14ac:dyDescent="0.2">
      <c r="A896" s="7">
        <v>892</v>
      </c>
      <c r="B896" s="7">
        <v>70</v>
      </c>
      <c r="C896" s="1" t="s">
        <v>58</v>
      </c>
      <c r="D896" s="7" t="s">
        <v>129</v>
      </c>
      <c r="E896" s="1" t="str">
        <f t="shared" si="319"/>
        <v>FRONTERA</v>
      </c>
      <c r="F896" s="7">
        <v>1</v>
      </c>
      <c r="G896" s="7" t="s">
        <v>476</v>
      </c>
      <c r="H896" s="7" t="s">
        <v>155</v>
      </c>
      <c r="I896" s="7" t="s">
        <v>155</v>
      </c>
      <c r="J896" s="7">
        <v>892</v>
      </c>
      <c r="K896" s="28"/>
    </row>
    <row r="897" spans="1:11" x14ac:dyDescent="0.2">
      <c r="A897" s="7">
        <v>893</v>
      </c>
      <c r="B897" s="7">
        <v>70</v>
      </c>
      <c r="C897" s="1" t="s">
        <v>58</v>
      </c>
      <c r="D897" s="7" t="s">
        <v>129</v>
      </c>
      <c r="E897" s="1" t="str">
        <f t="shared" si="319"/>
        <v>FRONTERA</v>
      </c>
      <c r="F897" s="7">
        <v>1</v>
      </c>
      <c r="G897" s="7" t="s">
        <v>476</v>
      </c>
      <c r="H897" s="7" t="s">
        <v>155</v>
      </c>
      <c r="I897" s="7" t="s">
        <v>155</v>
      </c>
      <c r="J897" s="7">
        <v>893</v>
      </c>
      <c r="K897" s="7"/>
    </row>
    <row r="898" spans="1:11" x14ac:dyDescent="0.2">
      <c r="A898" s="7">
        <v>894</v>
      </c>
      <c r="B898" s="7">
        <v>70</v>
      </c>
      <c r="C898" s="1" t="s">
        <v>58</v>
      </c>
      <c r="D898" s="7" t="s">
        <v>129</v>
      </c>
      <c r="E898" s="1" t="str">
        <f t="shared" si="319"/>
        <v>FRONTERA</v>
      </c>
      <c r="F898" s="7">
        <v>1</v>
      </c>
      <c r="G898" s="7" t="s">
        <v>477</v>
      </c>
      <c r="H898" s="7" t="s">
        <v>149</v>
      </c>
      <c r="I898" s="7" t="s">
        <v>149</v>
      </c>
      <c r="J898" s="7">
        <v>894</v>
      </c>
      <c r="K898" s="28"/>
    </row>
    <row r="899" spans="1:11" x14ac:dyDescent="0.2">
      <c r="A899" s="7">
        <v>895</v>
      </c>
      <c r="B899" s="7">
        <v>70</v>
      </c>
      <c r="C899" s="1" t="s">
        <v>58</v>
      </c>
      <c r="D899" s="7" t="s">
        <v>129</v>
      </c>
      <c r="E899" s="1" t="str">
        <f t="shared" si="319"/>
        <v>FRONTERA</v>
      </c>
      <c r="F899" s="7">
        <v>2</v>
      </c>
      <c r="G899" s="7" t="s">
        <v>477</v>
      </c>
      <c r="H899" s="7" t="s">
        <v>155</v>
      </c>
      <c r="I899" s="7" t="s">
        <v>155</v>
      </c>
      <c r="J899" s="7">
        <v>895</v>
      </c>
      <c r="K899" s="7"/>
    </row>
    <row r="900" spans="1:11" x14ac:dyDescent="0.2">
      <c r="A900" s="7">
        <v>896</v>
      </c>
      <c r="B900" s="7">
        <v>70</v>
      </c>
      <c r="C900" s="1" t="s">
        <v>58</v>
      </c>
      <c r="D900" s="7" t="s">
        <v>129</v>
      </c>
      <c r="E900" s="1" t="str">
        <f t="shared" si="319"/>
        <v>FRONTERA</v>
      </c>
      <c r="F900" s="7">
        <v>1</v>
      </c>
      <c r="G900" s="7" t="s">
        <v>476</v>
      </c>
      <c r="H900" s="7" t="s">
        <v>155</v>
      </c>
      <c r="I900" s="7" t="s">
        <v>155</v>
      </c>
      <c r="J900" s="7">
        <v>896</v>
      </c>
      <c r="K900" s="7"/>
    </row>
    <row r="901" spans="1:11" x14ac:dyDescent="0.2">
      <c r="A901" s="7">
        <v>897</v>
      </c>
      <c r="B901" s="7">
        <v>70</v>
      </c>
      <c r="C901" s="1" t="s">
        <v>58</v>
      </c>
      <c r="D901" s="7" t="s">
        <v>129</v>
      </c>
      <c r="E901" s="1" t="str">
        <f t="shared" si="319"/>
        <v>FRONTERA</v>
      </c>
      <c r="F901" s="7">
        <v>1</v>
      </c>
      <c r="G901" s="7" t="s">
        <v>476</v>
      </c>
      <c r="H901" s="7" t="s">
        <v>155</v>
      </c>
      <c r="I901" s="7" t="s">
        <v>155</v>
      </c>
      <c r="J901" s="7">
        <v>897</v>
      </c>
      <c r="K901" s="7"/>
    </row>
    <row r="902" spans="1:11" x14ac:dyDescent="0.2">
      <c r="A902" s="7">
        <v>898</v>
      </c>
      <c r="B902" s="7">
        <v>70</v>
      </c>
      <c r="C902" s="1" t="s">
        <v>58</v>
      </c>
      <c r="D902" s="7" t="s">
        <v>129</v>
      </c>
      <c r="E902" s="1" t="str">
        <f t="shared" si="319"/>
        <v>FRONTERA</v>
      </c>
      <c r="F902" s="7">
        <v>1</v>
      </c>
      <c r="G902" s="7" t="s">
        <v>476</v>
      </c>
      <c r="H902" s="7" t="s">
        <v>155</v>
      </c>
      <c r="I902" s="7" t="s">
        <v>155</v>
      </c>
      <c r="J902" s="7">
        <v>898</v>
      </c>
      <c r="K902" s="28" t="s">
        <v>638</v>
      </c>
    </row>
    <row r="903" spans="1:11" x14ac:dyDescent="0.2">
      <c r="A903" s="7">
        <v>899</v>
      </c>
      <c r="B903" s="7">
        <v>70</v>
      </c>
      <c r="C903" s="1" t="s">
        <v>58</v>
      </c>
      <c r="D903" s="7" t="s">
        <v>129</v>
      </c>
      <c r="E903" s="1" t="str">
        <f t="shared" si="319"/>
        <v>FRONTERA</v>
      </c>
      <c r="F903" s="7">
        <v>1</v>
      </c>
      <c r="G903" s="7" t="s">
        <v>477</v>
      </c>
      <c r="H903" s="7" t="s">
        <v>473</v>
      </c>
      <c r="I903" s="26" t="s">
        <v>473</v>
      </c>
      <c r="J903" s="26">
        <v>899</v>
      </c>
      <c r="K903" s="7"/>
    </row>
    <row r="904" spans="1:11" x14ac:dyDescent="0.2">
      <c r="A904" s="7">
        <v>900</v>
      </c>
      <c r="B904" s="7">
        <v>70</v>
      </c>
      <c r="C904" s="1" t="s">
        <v>58</v>
      </c>
      <c r="D904" s="7" t="s">
        <v>129</v>
      </c>
      <c r="E904" s="1" t="str">
        <f t="shared" si="319"/>
        <v>FRONTERA</v>
      </c>
      <c r="F904" s="7">
        <v>1</v>
      </c>
      <c r="G904" s="7" t="s">
        <v>476</v>
      </c>
      <c r="H904" s="7" t="s">
        <v>475</v>
      </c>
      <c r="I904" s="7" t="s">
        <v>475</v>
      </c>
      <c r="J904" s="7">
        <v>900</v>
      </c>
      <c r="K904" s="7"/>
    </row>
    <row r="905" spans="1:11" x14ac:dyDescent="0.2">
      <c r="A905" s="7">
        <v>901</v>
      </c>
      <c r="B905" s="7">
        <v>70</v>
      </c>
      <c r="C905" s="1" t="s">
        <v>58</v>
      </c>
      <c r="D905" s="7" t="s">
        <v>129</v>
      </c>
      <c r="E905" s="1" t="str">
        <f t="shared" si="319"/>
        <v>FRONTERA</v>
      </c>
      <c r="F905" s="7">
        <v>1</v>
      </c>
      <c r="G905" s="7" t="s">
        <v>476</v>
      </c>
      <c r="H905" s="7" t="s">
        <v>149</v>
      </c>
      <c r="I905" s="7" t="s">
        <v>149</v>
      </c>
      <c r="J905" s="7">
        <v>901</v>
      </c>
      <c r="K905" s="7"/>
    </row>
    <row r="906" spans="1:11" x14ac:dyDescent="0.2">
      <c r="A906" s="7">
        <v>902</v>
      </c>
      <c r="B906" s="7">
        <v>70</v>
      </c>
      <c r="C906" s="1" t="s">
        <v>58</v>
      </c>
      <c r="D906" s="7" t="s">
        <v>129</v>
      </c>
      <c r="E906" s="1" t="str">
        <f t="shared" si="319"/>
        <v>FRONTERA</v>
      </c>
      <c r="F906" s="7">
        <v>1</v>
      </c>
      <c r="G906" s="7" t="s">
        <v>476</v>
      </c>
      <c r="H906" s="7" t="s">
        <v>642</v>
      </c>
      <c r="I906" s="7" t="s">
        <v>642</v>
      </c>
      <c r="J906" s="7">
        <v>902</v>
      </c>
      <c r="K906" s="7"/>
    </row>
    <row r="907" spans="1:11" x14ac:dyDescent="0.2">
      <c r="A907" s="7">
        <v>903</v>
      </c>
      <c r="B907" s="7">
        <v>70</v>
      </c>
      <c r="C907" s="1" t="s">
        <v>58</v>
      </c>
      <c r="D907" s="7" t="s">
        <v>129</v>
      </c>
      <c r="E907" s="1" t="str">
        <f t="shared" si="319"/>
        <v>FRONTERA</v>
      </c>
      <c r="F907" s="7">
        <v>1</v>
      </c>
      <c r="G907" s="7" t="s">
        <v>476</v>
      </c>
      <c r="H907" s="7" t="s">
        <v>642</v>
      </c>
      <c r="I907" s="7" t="s">
        <v>642</v>
      </c>
      <c r="J907" s="7">
        <v>903</v>
      </c>
      <c r="K907" s="7"/>
    </row>
    <row r="908" spans="1:11" x14ac:dyDescent="0.2">
      <c r="A908" s="7">
        <v>904</v>
      </c>
      <c r="B908" s="7">
        <v>70</v>
      </c>
      <c r="C908" s="1" t="s">
        <v>58</v>
      </c>
      <c r="D908" s="7" t="s">
        <v>129</v>
      </c>
      <c r="E908" s="1" t="str">
        <f t="shared" si="319"/>
        <v>FRONTERA</v>
      </c>
      <c r="F908" s="7">
        <v>1</v>
      </c>
      <c r="G908" s="7" t="s">
        <v>477</v>
      </c>
      <c r="H908" s="7" t="s">
        <v>155</v>
      </c>
      <c r="I908" s="7" t="s">
        <v>155</v>
      </c>
      <c r="J908" s="7">
        <v>904</v>
      </c>
      <c r="K908" s="7"/>
    </row>
    <row r="909" spans="1:11" x14ac:dyDescent="0.2">
      <c r="A909" s="7">
        <v>905</v>
      </c>
      <c r="B909" s="7">
        <v>70</v>
      </c>
      <c r="C909" s="1" t="s">
        <v>58</v>
      </c>
      <c r="D909" s="7" t="s">
        <v>129</v>
      </c>
      <c r="E909" s="1" t="str">
        <f t="shared" si="319"/>
        <v>FRONTERA</v>
      </c>
      <c r="F909" s="7">
        <v>1</v>
      </c>
      <c r="G909" s="7" t="s">
        <v>477</v>
      </c>
      <c r="H909" s="7" t="s">
        <v>149</v>
      </c>
      <c r="I909" s="7" t="s">
        <v>480</v>
      </c>
      <c r="J909" s="7">
        <v>905</v>
      </c>
      <c r="K909" s="7"/>
    </row>
    <row r="910" spans="1:11" x14ac:dyDescent="0.2">
      <c r="A910" s="7">
        <v>906</v>
      </c>
      <c r="B910" s="7">
        <v>70</v>
      </c>
      <c r="C910" s="1" t="s">
        <v>58</v>
      </c>
      <c r="D910" s="7" t="s">
        <v>129</v>
      </c>
      <c r="E910" s="1" t="str">
        <f t="shared" si="319"/>
        <v>FRONTERA</v>
      </c>
      <c r="F910" s="7">
        <v>1</v>
      </c>
      <c r="G910" s="7" t="s">
        <v>477</v>
      </c>
      <c r="H910" s="7" t="s">
        <v>471</v>
      </c>
      <c r="I910" s="7" t="s">
        <v>471</v>
      </c>
      <c r="J910" s="7">
        <v>906</v>
      </c>
      <c r="K910" s="7"/>
    </row>
    <row r="911" spans="1:11" x14ac:dyDescent="0.2">
      <c r="A911" s="7">
        <v>1148</v>
      </c>
      <c r="B911" s="7">
        <v>71</v>
      </c>
      <c r="C911" t="s">
        <v>59</v>
      </c>
      <c r="D911" s="7" t="s">
        <v>129</v>
      </c>
      <c r="E911" s="1" t="str">
        <f t="shared" si="319"/>
        <v>FRONTERA</v>
      </c>
      <c r="F911" s="7">
        <v>2</v>
      </c>
      <c r="G911" s="7" t="s">
        <v>477</v>
      </c>
      <c r="H911" s="7" t="s">
        <v>473</v>
      </c>
      <c r="I911" s="30" t="s">
        <v>473</v>
      </c>
      <c r="J911" s="7">
        <v>1148</v>
      </c>
      <c r="K911" s="7"/>
    </row>
    <row r="912" spans="1:11" x14ac:dyDescent="0.2">
      <c r="A912" s="7">
        <v>1149</v>
      </c>
      <c r="B912" s="7">
        <v>71</v>
      </c>
      <c r="C912" t="s">
        <v>59</v>
      </c>
      <c r="D912" s="7" t="s">
        <v>129</v>
      </c>
      <c r="E912" s="1" t="str">
        <f t="shared" ref="E912:E943" si="320">IF(B912=66,"FRONTERA",IF(B912=67,"FRONTERA",IF(B912=68,"FRONTERA",IF(B912=69,"SAN ANDREAS",IF(B912=70,"FRONTERA",IF(B912=71,"FRONTERA",IF(B912=72,"FRONTERA",IF(B912=73,"SAN ANDREAS",IF(B912=74.1,"FRONTERA",IF(B912=74.2,"SAN ANDREAS",IF(B912=75,"CHILENAS",IF(B912=76.1,"SAN ANDREAS",IF(B912=76.2,"FRONTERA",IF(B912=76.3,"FRONTERA",IF(B912=77,"FRONTERA",IF(B912=78,"CAMINO REAL",IF(B912=79,"FRONTERA",IF(B912=80,"FRONTERA",IF(B912=81,"FRONTERA",IF(B912=82,"FRONTERA",IF(B912=83,"FRONTERA",IF(B912=84,"FRONTERA",IF(B912=85,"FRONTERA",IF(B912=86,"CABRILLO",IF(B912=87,"VICTOR",IF(B912=88,"MONTERREY",IF(B912=89,"ROYAL",IF(B912=90,"NO DOCUMENTADO",IF(B912=91,"FRONTERA")))))))))))))))))))))))))))))</f>
        <v>FRONTERA</v>
      </c>
      <c r="F912" s="7">
        <v>1</v>
      </c>
      <c r="G912" s="7" t="s">
        <v>477</v>
      </c>
      <c r="H912" s="7" t="s">
        <v>149</v>
      </c>
      <c r="I912" s="30" t="s">
        <v>149</v>
      </c>
      <c r="J912" s="7">
        <v>1149</v>
      </c>
      <c r="K912" s="7"/>
    </row>
    <row r="913" spans="1:11" x14ac:dyDescent="0.2">
      <c r="A913" s="7">
        <v>1150</v>
      </c>
      <c r="B913" s="7">
        <v>71</v>
      </c>
      <c r="C913" t="s">
        <v>59</v>
      </c>
      <c r="D913" s="7" t="s">
        <v>129</v>
      </c>
      <c r="E913" s="1" t="str">
        <f t="shared" si="320"/>
        <v>FRONTERA</v>
      </c>
      <c r="F913" s="7">
        <v>1</v>
      </c>
      <c r="G913" s="7" t="s">
        <v>477</v>
      </c>
      <c r="H913" s="35" t="s">
        <v>473</v>
      </c>
      <c r="I913" s="30" t="s">
        <v>473</v>
      </c>
      <c r="J913" s="7">
        <v>1150</v>
      </c>
      <c r="K913" s="7"/>
    </row>
    <row r="914" spans="1:11" x14ac:dyDescent="0.2">
      <c r="A914" s="7">
        <v>1151</v>
      </c>
      <c r="B914" s="7">
        <v>71</v>
      </c>
      <c r="C914" t="s">
        <v>59</v>
      </c>
      <c r="D914" s="7" t="s">
        <v>129</v>
      </c>
      <c r="E914" s="1" t="str">
        <f t="shared" si="320"/>
        <v>FRONTERA</v>
      </c>
      <c r="F914" s="7">
        <v>1</v>
      </c>
      <c r="G914" s="7" t="s">
        <v>477</v>
      </c>
      <c r="H914" s="7" t="s">
        <v>642</v>
      </c>
      <c r="I914" s="30" t="s">
        <v>642</v>
      </c>
      <c r="J914" s="7">
        <v>1151</v>
      </c>
      <c r="K914" s="7"/>
    </row>
    <row r="915" spans="1:11" x14ac:dyDescent="0.2">
      <c r="A915" s="7">
        <v>1152</v>
      </c>
      <c r="B915" s="7">
        <v>72</v>
      </c>
      <c r="C915" t="s">
        <v>60</v>
      </c>
      <c r="D915" s="7" t="s">
        <v>129</v>
      </c>
      <c r="E915" s="1" t="str">
        <f t="shared" si="320"/>
        <v>FRONTERA</v>
      </c>
      <c r="F915" s="7">
        <v>1</v>
      </c>
      <c r="G915" s="7" t="s">
        <v>477</v>
      </c>
      <c r="H915" s="7" t="s">
        <v>155</v>
      </c>
      <c r="I915" s="30" t="s">
        <v>155</v>
      </c>
      <c r="J915" s="7">
        <v>1152</v>
      </c>
      <c r="K915" s="7"/>
    </row>
    <row r="916" spans="1:11" x14ac:dyDescent="0.2">
      <c r="A916" s="7">
        <v>1153</v>
      </c>
      <c r="B916" s="7">
        <v>72</v>
      </c>
      <c r="C916" t="s">
        <v>60</v>
      </c>
      <c r="D916" s="7" t="s">
        <v>129</v>
      </c>
      <c r="E916" s="1" t="str">
        <f t="shared" si="320"/>
        <v>FRONTERA</v>
      </c>
      <c r="F916" s="7">
        <v>1</v>
      </c>
      <c r="G916" s="7" t="s">
        <v>477</v>
      </c>
      <c r="H916" s="7" t="s">
        <v>149</v>
      </c>
      <c r="I916" s="30" t="s">
        <v>149</v>
      </c>
      <c r="J916" s="7">
        <v>1153</v>
      </c>
      <c r="K916" s="7"/>
    </row>
    <row r="917" spans="1:11" x14ac:dyDescent="0.2">
      <c r="A917" s="7">
        <v>1154</v>
      </c>
      <c r="B917" s="7">
        <v>72</v>
      </c>
      <c r="C917" t="s">
        <v>60</v>
      </c>
      <c r="D917" s="7" t="s">
        <v>129</v>
      </c>
      <c r="E917" s="1" t="str">
        <f t="shared" si="320"/>
        <v>FRONTERA</v>
      </c>
      <c r="F917" s="7">
        <v>2</v>
      </c>
      <c r="G917" s="7" t="s">
        <v>477</v>
      </c>
      <c r="H917" s="7" t="s">
        <v>471</v>
      </c>
      <c r="I917" s="30" t="s">
        <v>471</v>
      </c>
      <c r="J917" s="7">
        <v>1154</v>
      </c>
      <c r="K917" s="7"/>
    </row>
    <row r="918" spans="1:11" x14ac:dyDescent="0.2">
      <c r="A918" s="7">
        <v>1155</v>
      </c>
      <c r="B918" s="7">
        <v>72</v>
      </c>
      <c r="C918" t="s">
        <v>60</v>
      </c>
      <c r="D918" s="7" t="s">
        <v>129</v>
      </c>
      <c r="E918" s="1" t="str">
        <f t="shared" si="320"/>
        <v>FRONTERA</v>
      </c>
      <c r="F918" s="7">
        <v>2</v>
      </c>
      <c r="G918" s="7" t="s">
        <v>477</v>
      </c>
      <c r="H918" s="7" t="s">
        <v>473</v>
      </c>
      <c r="I918" s="30" t="s">
        <v>473</v>
      </c>
      <c r="J918" s="7">
        <v>1155</v>
      </c>
      <c r="K918" s="7"/>
    </row>
    <row r="919" spans="1:11" x14ac:dyDescent="0.2">
      <c r="A919" s="7">
        <v>1156</v>
      </c>
      <c r="B919" s="7">
        <v>72</v>
      </c>
      <c r="C919" t="s">
        <v>60</v>
      </c>
      <c r="D919" s="7" t="s">
        <v>129</v>
      </c>
      <c r="E919" s="1" t="str">
        <f t="shared" si="320"/>
        <v>FRONTERA</v>
      </c>
      <c r="F919" s="7">
        <v>1</v>
      </c>
      <c r="G919" s="7" t="s">
        <v>476</v>
      </c>
      <c r="H919" s="7" t="s">
        <v>149</v>
      </c>
      <c r="I919" s="30" t="s">
        <v>149</v>
      </c>
      <c r="J919" s="7">
        <v>1156</v>
      </c>
      <c r="K919" s="7"/>
    </row>
    <row r="920" spans="1:11" x14ac:dyDescent="0.2">
      <c r="A920" s="7">
        <v>1157</v>
      </c>
      <c r="B920" s="7">
        <v>72</v>
      </c>
      <c r="C920" t="s">
        <v>60</v>
      </c>
      <c r="D920" s="7" t="s">
        <v>129</v>
      </c>
      <c r="E920" s="1" t="str">
        <f t="shared" si="320"/>
        <v>FRONTERA</v>
      </c>
      <c r="F920" s="7">
        <v>1</v>
      </c>
      <c r="G920" s="7" t="s">
        <v>476</v>
      </c>
      <c r="H920" s="7" t="s">
        <v>149</v>
      </c>
      <c r="I920" s="30" t="s">
        <v>149</v>
      </c>
      <c r="J920" s="7">
        <v>1157</v>
      </c>
      <c r="K920" s="7"/>
    </row>
    <row r="921" spans="1:11" x14ac:dyDescent="0.2">
      <c r="A921" s="7">
        <v>1158</v>
      </c>
      <c r="B921" s="7">
        <v>72</v>
      </c>
      <c r="C921" t="s">
        <v>60</v>
      </c>
      <c r="D921" s="7" t="s">
        <v>129</v>
      </c>
      <c r="E921" s="1" t="str">
        <f t="shared" si="320"/>
        <v>FRONTERA</v>
      </c>
      <c r="F921" s="7">
        <v>2</v>
      </c>
      <c r="G921" s="7" t="s">
        <v>476</v>
      </c>
      <c r="H921" s="7" t="s">
        <v>155</v>
      </c>
      <c r="I921" s="30" t="s">
        <v>155</v>
      </c>
      <c r="J921" s="7">
        <v>1158</v>
      </c>
      <c r="K921" s="7"/>
    </row>
    <row r="922" spans="1:11" x14ac:dyDescent="0.2">
      <c r="A922" s="7">
        <v>1159</v>
      </c>
      <c r="B922" s="7">
        <v>73</v>
      </c>
      <c r="C922" s="56" t="s">
        <v>62</v>
      </c>
      <c r="D922" s="7" t="s">
        <v>129</v>
      </c>
      <c r="E922" s="1" t="str">
        <f t="shared" si="320"/>
        <v>SAN ANDREAS</v>
      </c>
      <c r="F922" s="7">
        <v>1</v>
      </c>
      <c r="G922" s="7" t="s">
        <v>476</v>
      </c>
      <c r="H922" s="7" t="s">
        <v>149</v>
      </c>
      <c r="I922" s="30" t="s">
        <v>149</v>
      </c>
      <c r="J922" s="7">
        <v>1159</v>
      </c>
      <c r="K922" s="7"/>
    </row>
    <row r="923" spans="1:11" x14ac:dyDescent="0.2">
      <c r="A923" s="7">
        <v>1160</v>
      </c>
      <c r="B923" s="7">
        <v>73</v>
      </c>
      <c r="C923" s="56" t="s">
        <v>62</v>
      </c>
      <c r="D923" s="7" t="s">
        <v>129</v>
      </c>
      <c r="E923" s="1" t="str">
        <f t="shared" si="320"/>
        <v>SAN ANDREAS</v>
      </c>
      <c r="F923" s="7">
        <v>1</v>
      </c>
      <c r="G923" s="7" t="s">
        <v>476</v>
      </c>
      <c r="H923" s="7" t="s">
        <v>155</v>
      </c>
      <c r="I923" s="30" t="s">
        <v>155</v>
      </c>
      <c r="J923" s="7">
        <v>1160</v>
      </c>
      <c r="K923" s="7"/>
    </row>
    <row r="924" spans="1:11" x14ac:dyDescent="0.2">
      <c r="A924" s="7">
        <v>1161</v>
      </c>
      <c r="B924" s="7">
        <v>73</v>
      </c>
      <c r="C924" s="56" t="s">
        <v>62</v>
      </c>
      <c r="D924" s="7" t="s">
        <v>129</v>
      </c>
      <c r="E924" s="1" t="str">
        <f t="shared" si="320"/>
        <v>SAN ANDREAS</v>
      </c>
      <c r="F924" s="7">
        <v>1</v>
      </c>
      <c r="G924" s="7" t="s">
        <v>477</v>
      </c>
      <c r="H924" s="7" t="s">
        <v>155</v>
      </c>
      <c r="I924" s="30" t="s">
        <v>155</v>
      </c>
      <c r="J924" s="7">
        <v>1161</v>
      </c>
      <c r="K924" s="7"/>
    </row>
    <row r="925" spans="1:11" x14ac:dyDescent="0.2">
      <c r="A925" s="7">
        <v>1162</v>
      </c>
      <c r="B925" s="7">
        <v>73</v>
      </c>
      <c r="C925" s="56" t="s">
        <v>62</v>
      </c>
      <c r="D925" s="7" t="s">
        <v>129</v>
      </c>
      <c r="E925" s="1" t="str">
        <f t="shared" si="320"/>
        <v>SAN ANDREAS</v>
      </c>
      <c r="F925" s="7">
        <v>1</v>
      </c>
      <c r="G925" s="7" t="s">
        <v>477</v>
      </c>
      <c r="H925" s="7" t="s">
        <v>642</v>
      </c>
      <c r="I925" s="30" t="s">
        <v>642</v>
      </c>
      <c r="J925" s="7">
        <v>1162</v>
      </c>
      <c r="K925" s="7"/>
    </row>
    <row r="926" spans="1:11" x14ac:dyDescent="0.2">
      <c r="A926" s="7">
        <v>1163</v>
      </c>
      <c r="B926" s="7">
        <v>73</v>
      </c>
      <c r="C926" s="56" t="s">
        <v>62</v>
      </c>
      <c r="D926" s="7" t="s">
        <v>129</v>
      </c>
      <c r="E926" s="1" t="str">
        <f t="shared" si="320"/>
        <v>SAN ANDREAS</v>
      </c>
      <c r="F926" s="7">
        <v>1</v>
      </c>
      <c r="G926" s="7" t="s">
        <v>477</v>
      </c>
      <c r="H926" s="7" t="s">
        <v>473</v>
      </c>
      <c r="I926" s="30" t="s">
        <v>473</v>
      </c>
      <c r="J926" s="7">
        <v>1163</v>
      </c>
      <c r="K926" s="7"/>
    </row>
    <row r="927" spans="1:11" x14ac:dyDescent="0.2">
      <c r="A927" s="7">
        <v>1164</v>
      </c>
      <c r="B927" s="7">
        <v>73</v>
      </c>
      <c r="C927" s="56" t="s">
        <v>62</v>
      </c>
      <c r="D927" s="7" t="s">
        <v>129</v>
      </c>
      <c r="E927" s="1" t="str">
        <f t="shared" si="320"/>
        <v>SAN ANDREAS</v>
      </c>
      <c r="F927" s="7">
        <v>2</v>
      </c>
      <c r="G927" s="7" t="s">
        <v>477</v>
      </c>
      <c r="H927" s="7" t="s">
        <v>149</v>
      </c>
      <c r="I927" s="30" t="s">
        <v>149</v>
      </c>
      <c r="J927" s="7">
        <v>1164</v>
      </c>
      <c r="K927" s="7"/>
    </row>
    <row r="928" spans="1:11" x14ac:dyDescent="0.2">
      <c r="A928" s="7">
        <v>1165</v>
      </c>
      <c r="B928" s="7">
        <v>73</v>
      </c>
      <c r="C928" s="56" t="s">
        <v>62</v>
      </c>
      <c r="D928" s="7" t="s">
        <v>129</v>
      </c>
      <c r="E928" s="1" t="str">
        <f t="shared" si="320"/>
        <v>SAN ANDREAS</v>
      </c>
      <c r="F928" s="7">
        <v>2</v>
      </c>
      <c r="G928" s="7" t="s">
        <v>477</v>
      </c>
      <c r="H928" s="7" t="s">
        <v>155</v>
      </c>
      <c r="I928" s="30" t="s">
        <v>155</v>
      </c>
      <c r="J928" s="7">
        <v>1165</v>
      </c>
      <c r="K928" s="7"/>
    </row>
    <row r="929" spans="1:11" x14ac:dyDescent="0.2">
      <c r="A929" s="7">
        <v>1166</v>
      </c>
      <c r="B929" s="7">
        <v>74.099999999999994</v>
      </c>
      <c r="C929" s="56" t="s">
        <v>698</v>
      </c>
      <c r="D929" s="7" t="s">
        <v>129</v>
      </c>
      <c r="E929" s="1" t="str">
        <f t="shared" si="320"/>
        <v>FRONTERA</v>
      </c>
      <c r="F929" s="7">
        <v>1</v>
      </c>
      <c r="G929" s="7" t="s">
        <v>476</v>
      </c>
      <c r="H929" s="7" t="s">
        <v>155</v>
      </c>
      <c r="I929" s="30" t="s">
        <v>155</v>
      </c>
      <c r="J929" s="7">
        <v>1166</v>
      </c>
      <c r="K929" s="7"/>
    </row>
    <row r="930" spans="1:11" x14ac:dyDescent="0.2">
      <c r="A930" s="7">
        <v>1167</v>
      </c>
      <c r="B930" s="7">
        <v>74.099999999999994</v>
      </c>
      <c r="C930" s="56" t="s">
        <v>698</v>
      </c>
      <c r="D930" s="7" t="s">
        <v>129</v>
      </c>
      <c r="E930" s="1" t="str">
        <f t="shared" si="320"/>
        <v>FRONTERA</v>
      </c>
      <c r="F930" s="7">
        <v>1</v>
      </c>
      <c r="G930" s="7" t="s">
        <v>477</v>
      </c>
      <c r="H930" s="7" t="s">
        <v>149</v>
      </c>
      <c r="I930" s="30" t="s">
        <v>149</v>
      </c>
      <c r="J930" s="7">
        <v>1167</v>
      </c>
      <c r="K930" s="7"/>
    </row>
    <row r="931" spans="1:11" x14ac:dyDescent="0.2">
      <c r="A931" s="7">
        <v>1168</v>
      </c>
      <c r="B931" s="7">
        <v>74.099999999999994</v>
      </c>
      <c r="C931" s="56" t="s">
        <v>698</v>
      </c>
      <c r="D931" s="7" t="s">
        <v>129</v>
      </c>
      <c r="E931" s="1" t="str">
        <f t="shared" si="320"/>
        <v>FRONTERA</v>
      </c>
      <c r="F931" s="7">
        <v>1</v>
      </c>
      <c r="G931" s="7" t="s">
        <v>477</v>
      </c>
      <c r="H931" s="7" t="s">
        <v>155</v>
      </c>
      <c r="I931" s="30" t="s">
        <v>155</v>
      </c>
      <c r="J931" s="7">
        <v>1168</v>
      </c>
      <c r="K931" s="7"/>
    </row>
    <row r="932" spans="1:11" x14ac:dyDescent="0.2">
      <c r="A932" s="7">
        <v>1169</v>
      </c>
      <c r="B932" s="7">
        <v>74.099999999999994</v>
      </c>
      <c r="C932" s="56" t="s">
        <v>698</v>
      </c>
      <c r="D932" s="7" t="s">
        <v>129</v>
      </c>
      <c r="E932" s="1" t="str">
        <f t="shared" si="320"/>
        <v>FRONTERA</v>
      </c>
      <c r="F932" s="7">
        <v>1</v>
      </c>
      <c r="G932" s="7" t="s">
        <v>477</v>
      </c>
      <c r="H932" s="35" t="s">
        <v>149</v>
      </c>
      <c r="I932" s="30" t="s">
        <v>149</v>
      </c>
      <c r="J932" s="7">
        <v>1169</v>
      </c>
      <c r="K932" s="7"/>
    </row>
    <row r="933" spans="1:11" x14ac:dyDescent="0.2">
      <c r="A933" s="7">
        <v>1170</v>
      </c>
      <c r="B933" s="7">
        <v>74.2</v>
      </c>
      <c r="C933" s="56" t="s">
        <v>698</v>
      </c>
      <c r="D933" s="7" t="s">
        <v>129</v>
      </c>
      <c r="E933" s="1" t="str">
        <f t="shared" si="320"/>
        <v>SAN ANDREAS</v>
      </c>
      <c r="F933" s="7">
        <v>1</v>
      </c>
      <c r="G933" s="7" t="s">
        <v>476</v>
      </c>
      <c r="H933" s="7" t="s">
        <v>149</v>
      </c>
      <c r="I933" s="30" t="s">
        <v>149</v>
      </c>
      <c r="J933" s="7">
        <v>1170</v>
      </c>
      <c r="K933" s="7"/>
    </row>
    <row r="934" spans="1:11" x14ac:dyDescent="0.2">
      <c r="A934" s="7">
        <v>1171</v>
      </c>
      <c r="B934" s="7">
        <v>74.2</v>
      </c>
      <c r="C934" s="56" t="s">
        <v>698</v>
      </c>
      <c r="D934" s="7" t="s">
        <v>129</v>
      </c>
      <c r="E934" s="1" t="str">
        <f t="shared" si="320"/>
        <v>SAN ANDREAS</v>
      </c>
      <c r="F934" s="7">
        <v>1</v>
      </c>
      <c r="G934" s="7" t="s">
        <v>476</v>
      </c>
      <c r="H934" s="7" t="s">
        <v>155</v>
      </c>
      <c r="I934" s="30" t="s">
        <v>155</v>
      </c>
      <c r="J934" s="7">
        <v>1171</v>
      </c>
      <c r="K934" s="7"/>
    </row>
    <row r="935" spans="1:11" x14ac:dyDescent="0.2">
      <c r="A935" s="7">
        <v>1172</v>
      </c>
      <c r="B935" s="7">
        <v>74.2</v>
      </c>
      <c r="C935" s="56" t="s">
        <v>698</v>
      </c>
      <c r="D935" s="7" t="s">
        <v>129</v>
      </c>
      <c r="E935" s="1" t="str">
        <f t="shared" si="320"/>
        <v>SAN ANDREAS</v>
      </c>
      <c r="F935" s="7">
        <v>1</v>
      </c>
      <c r="G935" s="7" t="s">
        <v>477</v>
      </c>
      <c r="H935" s="7" t="s">
        <v>149</v>
      </c>
      <c r="I935" s="30" t="s">
        <v>149</v>
      </c>
      <c r="J935" s="7">
        <v>1172</v>
      </c>
      <c r="K935" s="7"/>
    </row>
    <row r="936" spans="1:11" x14ac:dyDescent="0.2">
      <c r="A936" s="7">
        <v>1173</v>
      </c>
      <c r="B936" s="7">
        <v>74.2</v>
      </c>
      <c r="C936" s="56" t="s">
        <v>698</v>
      </c>
      <c r="D936" s="7" t="s">
        <v>129</v>
      </c>
      <c r="E936" s="1" t="str">
        <f t="shared" si="320"/>
        <v>SAN ANDREAS</v>
      </c>
      <c r="F936" s="7">
        <v>1</v>
      </c>
      <c r="G936" s="7" t="s">
        <v>477</v>
      </c>
      <c r="H936" s="7" t="s">
        <v>155</v>
      </c>
      <c r="I936" s="30" t="s">
        <v>155</v>
      </c>
      <c r="J936" s="7">
        <v>1173</v>
      </c>
      <c r="K936" s="7"/>
    </row>
    <row r="937" spans="1:11" x14ac:dyDescent="0.2">
      <c r="A937" s="7">
        <v>1174</v>
      </c>
      <c r="B937" s="7">
        <v>75</v>
      </c>
      <c r="C937" s="56" t="s">
        <v>63</v>
      </c>
      <c r="D937" s="7" t="s">
        <v>129</v>
      </c>
      <c r="E937" s="1" t="str">
        <f t="shared" si="320"/>
        <v>CHILENAS</v>
      </c>
      <c r="F937" s="7">
        <v>1</v>
      </c>
      <c r="G937" s="7" t="s">
        <v>476</v>
      </c>
      <c r="H937" s="7" t="s">
        <v>155</v>
      </c>
      <c r="I937" s="30" t="s">
        <v>155</v>
      </c>
      <c r="J937" s="7">
        <v>1174</v>
      </c>
      <c r="K937" s="7"/>
    </row>
    <row r="938" spans="1:11" x14ac:dyDescent="0.2">
      <c r="A938" s="7">
        <v>1175</v>
      </c>
      <c r="B938" s="7">
        <v>75</v>
      </c>
      <c r="C938" s="56" t="s">
        <v>63</v>
      </c>
      <c r="D938" s="7" t="s">
        <v>129</v>
      </c>
      <c r="E938" s="1" t="str">
        <f t="shared" si="320"/>
        <v>CHILENAS</v>
      </c>
      <c r="F938" s="7">
        <v>1</v>
      </c>
      <c r="G938" s="7" t="s">
        <v>477</v>
      </c>
      <c r="H938" s="35" t="s">
        <v>473</v>
      </c>
      <c r="I938" s="30" t="s">
        <v>473</v>
      </c>
      <c r="J938" s="7">
        <v>1175</v>
      </c>
      <c r="K938" s="7"/>
    </row>
    <row r="939" spans="1:11" x14ac:dyDescent="0.2">
      <c r="A939" s="7">
        <v>1176</v>
      </c>
      <c r="B939" s="7">
        <v>75</v>
      </c>
      <c r="C939" s="56" t="s">
        <v>63</v>
      </c>
      <c r="D939" s="7" t="s">
        <v>129</v>
      </c>
      <c r="E939" s="1" t="str">
        <f t="shared" si="320"/>
        <v>CHILENAS</v>
      </c>
      <c r="F939" s="7">
        <v>2</v>
      </c>
      <c r="G939" s="7" t="s">
        <v>476</v>
      </c>
      <c r="H939" s="7" t="s">
        <v>485</v>
      </c>
      <c r="I939" s="30" t="s">
        <v>485</v>
      </c>
      <c r="J939" s="7">
        <v>1176</v>
      </c>
      <c r="K939" s="7"/>
    </row>
    <row r="940" spans="1:11" x14ac:dyDescent="0.2">
      <c r="A940" s="7">
        <v>1177</v>
      </c>
      <c r="B940" s="7">
        <v>75</v>
      </c>
      <c r="C940" s="56" t="s">
        <v>63</v>
      </c>
      <c r="D940" s="7" t="s">
        <v>129</v>
      </c>
      <c r="E940" s="1" t="str">
        <f t="shared" si="320"/>
        <v>CHILENAS</v>
      </c>
      <c r="F940" s="7">
        <v>2</v>
      </c>
      <c r="G940" s="7" t="s">
        <v>476</v>
      </c>
      <c r="H940" s="7" t="s">
        <v>149</v>
      </c>
      <c r="I940" s="35" t="s">
        <v>149</v>
      </c>
      <c r="J940" s="7">
        <v>1177</v>
      </c>
      <c r="K940" s="7"/>
    </row>
    <row r="941" spans="1:11" x14ac:dyDescent="0.2">
      <c r="A941" s="7">
        <v>1178</v>
      </c>
      <c r="B941" s="7">
        <v>75</v>
      </c>
      <c r="C941" s="56" t="s">
        <v>63</v>
      </c>
      <c r="D941" s="7" t="s">
        <v>129</v>
      </c>
      <c r="E941" s="1" t="str">
        <f t="shared" si="320"/>
        <v>CHILENAS</v>
      </c>
      <c r="F941" s="7">
        <v>2</v>
      </c>
      <c r="G941" s="7" t="s">
        <v>477</v>
      </c>
      <c r="H941" s="7" t="s">
        <v>149</v>
      </c>
      <c r="I941" s="30" t="s">
        <v>149</v>
      </c>
      <c r="J941" s="7">
        <v>1178</v>
      </c>
      <c r="K941" s="7"/>
    </row>
    <row r="942" spans="1:11" x14ac:dyDescent="0.2">
      <c r="A942" s="7">
        <v>1179</v>
      </c>
      <c r="B942" s="7">
        <v>75</v>
      </c>
      <c r="C942" s="56" t="s">
        <v>63</v>
      </c>
      <c r="D942" s="7" t="s">
        <v>129</v>
      </c>
      <c r="E942" s="1" t="str">
        <f t="shared" si="320"/>
        <v>CHILENAS</v>
      </c>
      <c r="F942" s="7">
        <v>2</v>
      </c>
      <c r="G942" s="7" t="s">
        <v>477</v>
      </c>
      <c r="H942" s="7" t="s">
        <v>155</v>
      </c>
      <c r="I942" s="30" t="s">
        <v>155</v>
      </c>
      <c r="J942" s="7">
        <v>1179</v>
      </c>
      <c r="K942" s="7"/>
    </row>
    <row r="943" spans="1:11" x14ac:dyDescent="0.2">
      <c r="A943" s="7">
        <v>1180</v>
      </c>
      <c r="B943" s="7">
        <v>75</v>
      </c>
      <c r="C943" s="56" t="s">
        <v>63</v>
      </c>
      <c r="D943" s="7" t="s">
        <v>129</v>
      </c>
      <c r="E943" s="1" t="str">
        <f t="shared" si="320"/>
        <v>CHILENAS</v>
      </c>
      <c r="F943" s="7">
        <v>2</v>
      </c>
      <c r="G943" s="7" t="s">
        <v>477</v>
      </c>
      <c r="H943" s="7" t="s">
        <v>471</v>
      </c>
      <c r="I943" s="30" t="s">
        <v>471</v>
      </c>
      <c r="J943" s="7">
        <v>1180</v>
      </c>
      <c r="K943" s="7"/>
    </row>
    <row r="944" spans="1:11" x14ac:dyDescent="0.2">
      <c r="A944" s="7">
        <v>1181</v>
      </c>
      <c r="B944" s="7">
        <v>76.099999999999994</v>
      </c>
      <c r="C944" s="56" t="s">
        <v>700</v>
      </c>
      <c r="D944" s="7" t="s">
        <v>129</v>
      </c>
      <c r="E944" s="1" t="str">
        <f t="shared" ref="E944:E960" si="321">IF(B944=66,"FRONTERA",IF(B944=67,"FRONTERA",IF(B944=68,"FRONTERA",IF(B944=69,"SAN ANDREAS",IF(B944=70,"FRONTERA",IF(B944=71,"FRONTERA",IF(B944=72,"FRONTERA",IF(B944=73,"SAN ANDREAS",IF(B944=74.1,"FRONTERA",IF(B944=74.2,"SAN ANDREAS",IF(B944=75,"CHILENAS",IF(B944=76.1,"SAN ANDREAS",IF(B944=76.2,"FRONTERA",IF(B944=76.3,"FRONTERA",IF(B944=77,"FRONTERA",IF(B944=78,"CAMINO REAL",IF(B944=79,"FRONTERA",IF(B944=80,"FRONTERA",IF(B944=81,"FRONTERA",IF(B944=82,"FRONTERA",IF(B944=83,"FRONTERA",IF(B944=84,"FRONTERA",IF(B944=85,"FRONTERA",IF(B944=86,"CABRILLO",IF(B944=87,"VICTOR",IF(B944=88,"MONTERREY",IF(B944=89,"ROYAL",IF(B944=90,"NO DOCUMENTADO",IF(B944=91,"FRONTERA")))))))))))))))))))))))))))))</f>
        <v>SAN ANDREAS</v>
      </c>
      <c r="F944" s="7">
        <v>1</v>
      </c>
      <c r="G944" s="7" t="s">
        <v>476</v>
      </c>
      <c r="H944" s="7" t="s">
        <v>155</v>
      </c>
      <c r="I944" s="30" t="s">
        <v>155</v>
      </c>
      <c r="J944" s="7">
        <v>1181</v>
      </c>
      <c r="K944" s="7"/>
    </row>
    <row r="945" spans="1:11" x14ac:dyDescent="0.2">
      <c r="A945" s="7">
        <v>1182</v>
      </c>
      <c r="B945" s="7">
        <v>76.099999999999994</v>
      </c>
      <c r="C945" s="56" t="s">
        <v>700</v>
      </c>
      <c r="D945" s="7" t="s">
        <v>129</v>
      </c>
      <c r="E945" s="1" t="str">
        <f t="shared" si="321"/>
        <v>SAN ANDREAS</v>
      </c>
      <c r="F945" s="7">
        <v>1</v>
      </c>
      <c r="G945" s="7" t="s">
        <v>477</v>
      </c>
      <c r="H945" s="35" t="s">
        <v>155</v>
      </c>
      <c r="I945" s="30" t="s">
        <v>155</v>
      </c>
      <c r="J945" s="7">
        <v>1182</v>
      </c>
      <c r="K945" s="7"/>
    </row>
    <row r="946" spans="1:11" x14ac:dyDescent="0.2">
      <c r="A946" s="7">
        <v>1183</v>
      </c>
      <c r="B946" s="7">
        <v>76.099999999999994</v>
      </c>
      <c r="C946" s="56" t="s">
        <v>700</v>
      </c>
      <c r="D946" s="7" t="s">
        <v>129</v>
      </c>
      <c r="E946" s="1" t="str">
        <f t="shared" si="321"/>
        <v>SAN ANDREAS</v>
      </c>
      <c r="F946" s="7">
        <v>1</v>
      </c>
      <c r="G946" s="7" t="s">
        <v>477</v>
      </c>
      <c r="H946" s="7" t="s">
        <v>149</v>
      </c>
      <c r="I946" s="30" t="s">
        <v>149</v>
      </c>
      <c r="J946" s="7">
        <v>1183</v>
      </c>
      <c r="K946" s="7"/>
    </row>
    <row r="947" spans="1:11" x14ac:dyDescent="0.2">
      <c r="A947" s="7">
        <v>1184</v>
      </c>
      <c r="B947" s="7">
        <v>76.2</v>
      </c>
      <c r="C947" s="56" t="s">
        <v>701</v>
      </c>
      <c r="D947" s="7" t="s">
        <v>129</v>
      </c>
      <c r="E947" s="1" t="str">
        <f t="shared" si="321"/>
        <v>FRONTERA</v>
      </c>
      <c r="F947" s="7">
        <v>1</v>
      </c>
      <c r="G947" s="7" t="s">
        <v>477</v>
      </c>
      <c r="H947" s="35" t="s">
        <v>155</v>
      </c>
      <c r="I947" s="30" t="s">
        <v>155</v>
      </c>
      <c r="J947" s="7">
        <v>1184</v>
      </c>
      <c r="K947" s="7"/>
    </row>
    <row r="948" spans="1:11" x14ac:dyDescent="0.2">
      <c r="A948" s="7">
        <v>1185</v>
      </c>
      <c r="B948" s="7">
        <v>76.2</v>
      </c>
      <c r="C948" s="56" t="s">
        <v>701</v>
      </c>
      <c r="D948" s="7" t="s">
        <v>129</v>
      </c>
      <c r="E948" s="1" t="str">
        <f t="shared" si="321"/>
        <v>FRONTERA</v>
      </c>
      <c r="F948" s="7">
        <v>1</v>
      </c>
      <c r="G948" s="7" t="s">
        <v>477</v>
      </c>
      <c r="H948" s="7" t="s">
        <v>473</v>
      </c>
      <c r="I948" s="30" t="s">
        <v>473</v>
      </c>
      <c r="J948" s="7">
        <v>1185</v>
      </c>
      <c r="K948" s="7"/>
    </row>
    <row r="949" spans="1:11" x14ac:dyDescent="0.2">
      <c r="A949" s="7">
        <v>1186</v>
      </c>
      <c r="B949" s="7">
        <v>76.2</v>
      </c>
      <c r="C949" s="56" t="s">
        <v>701</v>
      </c>
      <c r="D949" s="7" t="s">
        <v>129</v>
      </c>
      <c r="E949" s="1" t="str">
        <f t="shared" si="321"/>
        <v>FRONTERA</v>
      </c>
      <c r="F949" s="7">
        <v>1</v>
      </c>
      <c r="G949" s="7" t="s">
        <v>476</v>
      </c>
      <c r="H949" s="7" t="s">
        <v>149</v>
      </c>
      <c r="I949" s="30" t="s">
        <v>149</v>
      </c>
      <c r="J949" s="7">
        <v>1186</v>
      </c>
      <c r="K949" s="7"/>
    </row>
    <row r="950" spans="1:11" x14ac:dyDescent="0.2">
      <c r="A950" s="7">
        <v>1187</v>
      </c>
      <c r="B950" s="7">
        <v>76.2</v>
      </c>
      <c r="C950" s="56" t="s">
        <v>701</v>
      </c>
      <c r="D950" s="7" t="s">
        <v>129</v>
      </c>
      <c r="E950" s="1" t="str">
        <f t="shared" si="321"/>
        <v>FRONTERA</v>
      </c>
      <c r="F950" s="7">
        <v>1</v>
      </c>
      <c r="G950" s="7" t="s">
        <v>476</v>
      </c>
      <c r="H950" s="7" t="s">
        <v>149</v>
      </c>
      <c r="I950" s="30" t="s">
        <v>149</v>
      </c>
      <c r="J950" s="7">
        <v>1187</v>
      </c>
      <c r="K950" s="7"/>
    </row>
    <row r="951" spans="1:11" x14ac:dyDescent="0.2">
      <c r="A951" s="7">
        <v>1188</v>
      </c>
      <c r="B951" s="7">
        <v>76.3</v>
      </c>
      <c r="C951" s="56" t="s">
        <v>702</v>
      </c>
      <c r="D951" s="7" t="s">
        <v>129</v>
      </c>
      <c r="E951" s="1" t="str">
        <f t="shared" si="321"/>
        <v>FRONTERA</v>
      </c>
      <c r="F951" s="7">
        <v>1</v>
      </c>
      <c r="G951" s="7" t="s">
        <v>476</v>
      </c>
      <c r="H951" s="7" t="s">
        <v>155</v>
      </c>
      <c r="I951" s="30" t="s">
        <v>155</v>
      </c>
      <c r="J951" s="7">
        <v>1188</v>
      </c>
      <c r="K951" s="7"/>
    </row>
    <row r="952" spans="1:11" x14ac:dyDescent="0.2">
      <c r="A952" s="7">
        <v>1189</v>
      </c>
      <c r="B952" s="7">
        <v>76.3</v>
      </c>
      <c r="C952" s="56" t="s">
        <v>702</v>
      </c>
      <c r="D952" s="7" t="s">
        <v>129</v>
      </c>
      <c r="E952" s="1" t="str">
        <f t="shared" si="321"/>
        <v>FRONTERA</v>
      </c>
      <c r="F952" s="7">
        <v>1</v>
      </c>
      <c r="G952" s="7" t="s">
        <v>476</v>
      </c>
      <c r="H952" s="7" t="s">
        <v>149</v>
      </c>
      <c r="I952" s="30" t="s">
        <v>149</v>
      </c>
      <c r="J952" s="7">
        <v>1189</v>
      </c>
      <c r="K952" s="7"/>
    </row>
    <row r="953" spans="1:11" x14ac:dyDescent="0.2">
      <c r="A953" s="7">
        <v>1190</v>
      </c>
      <c r="B953" s="7">
        <v>76.3</v>
      </c>
      <c r="C953" s="56" t="s">
        <v>702</v>
      </c>
      <c r="D953" s="7" t="s">
        <v>129</v>
      </c>
      <c r="E953" s="1" t="str">
        <f t="shared" si="321"/>
        <v>FRONTERA</v>
      </c>
      <c r="F953" s="7">
        <v>1</v>
      </c>
      <c r="G953" s="7" t="s">
        <v>477</v>
      </c>
      <c r="H953" s="7" t="s">
        <v>155</v>
      </c>
      <c r="I953" s="30" t="s">
        <v>155</v>
      </c>
      <c r="J953" s="7">
        <v>1190</v>
      </c>
      <c r="K953" s="7"/>
    </row>
    <row r="954" spans="1:11" x14ac:dyDescent="0.2">
      <c r="A954" s="7">
        <v>1191</v>
      </c>
      <c r="B954" s="7">
        <v>76.3</v>
      </c>
      <c r="C954" s="56" t="s">
        <v>702</v>
      </c>
      <c r="D954" s="7" t="s">
        <v>129</v>
      </c>
      <c r="E954" s="1" t="str">
        <f t="shared" si="321"/>
        <v>FRONTERA</v>
      </c>
      <c r="F954" s="7">
        <v>1</v>
      </c>
      <c r="G954" s="7" t="s">
        <v>477</v>
      </c>
      <c r="H954" s="7" t="s">
        <v>149</v>
      </c>
      <c r="I954" s="35" t="s">
        <v>149</v>
      </c>
      <c r="J954" s="7">
        <v>1191</v>
      </c>
      <c r="K954" s="7"/>
    </row>
    <row r="955" spans="1:11" x14ac:dyDescent="0.2">
      <c r="A955" s="7">
        <v>1192</v>
      </c>
      <c r="B955" s="7">
        <v>77</v>
      </c>
      <c r="C955" s="56" t="s">
        <v>65</v>
      </c>
      <c r="D955" s="7" t="s">
        <v>129</v>
      </c>
      <c r="E955" s="1" t="str">
        <f t="shared" si="321"/>
        <v>FRONTERA</v>
      </c>
      <c r="F955" s="7">
        <v>1</v>
      </c>
      <c r="G955" s="7" t="s">
        <v>476</v>
      </c>
      <c r="H955" s="7" t="s">
        <v>155</v>
      </c>
      <c r="I955" s="30" t="s">
        <v>155</v>
      </c>
      <c r="J955" s="7">
        <v>1192</v>
      </c>
      <c r="K955" s="7"/>
    </row>
    <row r="956" spans="1:11" x14ac:dyDescent="0.2">
      <c r="A956" s="7">
        <v>1193</v>
      </c>
      <c r="B956" s="7">
        <v>77</v>
      </c>
      <c r="C956" s="56" t="s">
        <v>65</v>
      </c>
      <c r="D956" s="7" t="s">
        <v>129</v>
      </c>
      <c r="E956" s="1" t="str">
        <f t="shared" si="321"/>
        <v>FRONTERA</v>
      </c>
      <c r="F956" s="7">
        <v>1</v>
      </c>
      <c r="G956" s="7" t="s">
        <v>476</v>
      </c>
      <c r="H956" s="7" t="s">
        <v>471</v>
      </c>
      <c r="I956" s="30" t="s">
        <v>471</v>
      </c>
      <c r="J956" s="7">
        <v>1193</v>
      </c>
      <c r="K956" s="7"/>
    </row>
    <row r="957" spans="1:11" x14ac:dyDescent="0.2">
      <c r="A957" s="7">
        <v>1194</v>
      </c>
      <c r="B957" s="7">
        <v>77</v>
      </c>
      <c r="C957" s="56" t="s">
        <v>65</v>
      </c>
      <c r="D957" s="7" t="s">
        <v>129</v>
      </c>
      <c r="E957" s="1" t="str">
        <f t="shared" si="321"/>
        <v>FRONTERA</v>
      </c>
      <c r="F957" s="7">
        <v>1</v>
      </c>
      <c r="G957" s="7" t="s">
        <v>477</v>
      </c>
      <c r="H957" s="7" t="s">
        <v>149</v>
      </c>
      <c r="I957" s="30" t="s">
        <v>149</v>
      </c>
      <c r="J957" s="7">
        <v>1194</v>
      </c>
      <c r="K957" s="7"/>
    </row>
    <row r="958" spans="1:11" x14ac:dyDescent="0.2">
      <c r="A958" s="7">
        <v>1195</v>
      </c>
      <c r="B958" s="7">
        <v>77</v>
      </c>
      <c r="C958" s="56" t="s">
        <v>65</v>
      </c>
      <c r="D958" s="7" t="s">
        <v>129</v>
      </c>
      <c r="E958" s="1" t="str">
        <f t="shared" si="321"/>
        <v>FRONTERA</v>
      </c>
      <c r="F958" s="7">
        <v>1</v>
      </c>
      <c r="G958" s="7" t="s">
        <v>477</v>
      </c>
      <c r="H958" s="7" t="s">
        <v>155</v>
      </c>
      <c r="I958" s="30" t="s">
        <v>155</v>
      </c>
      <c r="J958" s="7">
        <v>1195</v>
      </c>
      <c r="K958" s="7"/>
    </row>
    <row r="959" spans="1:11" x14ac:dyDescent="0.2">
      <c r="A959" s="7">
        <v>1196</v>
      </c>
      <c r="B959" s="7">
        <v>77</v>
      </c>
      <c r="C959" s="56" t="s">
        <v>65</v>
      </c>
      <c r="D959" s="7" t="s">
        <v>129</v>
      </c>
      <c r="E959" s="1" t="str">
        <f t="shared" si="321"/>
        <v>FRONTERA</v>
      </c>
      <c r="F959" s="7">
        <v>2</v>
      </c>
      <c r="G959" s="7" t="s">
        <v>477</v>
      </c>
      <c r="H959" s="7" t="s">
        <v>471</v>
      </c>
      <c r="I959" s="30" t="s">
        <v>471</v>
      </c>
      <c r="J959" s="7">
        <v>1196</v>
      </c>
      <c r="K959" s="7"/>
    </row>
    <row r="960" spans="1:11" x14ac:dyDescent="0.2">
      <c r="A960" s="7">
        <v>1197</v>
      </c>
      <c r="B960" s="7">
        <v>77</v>
      </c>
      <c r="C960" s="56" t="s">
        <v>65</v>
      </c>
      <c r="D960" s="7" t="s">
        <v>129</v>
      </c>
      <c r="E960" s="1" t="str">
        <f t="shared" si="321"/>
        <v>FRONTERA</v>
      </c>
      <c r="F960" s="7">
        <v>2</v>
      </c>
      <c r="G960" s="7" t="s">
        <v>477</v>
      </c>
      <c r="H960" s="7" t="s">
        <v>473</v>
      </c>
      <c r="I960" s="30" t="s">
        <v>473</v>
      </c>
      <c r="J960" s="7">
        <v>1197</v>
      </c>
      <c r="K960" s="7"/>
    </row>
    <row r="961" spans="1:11" x14ac:dyDescent="0.2">
      <c r="A961" s="7">
        <v>1039</v>
      </c>
      <c r="B961" s="7">
        <v>78</v>
      </c>
      <c r="C961" s="1" t="str">
        <f t="shared" ref="C961:C992" si="322">IF(B961=74.2,"EL CEREZO 2",IF(B961=75,"APEO",IF(B961=76.1,"CHULAFARM 1",IF(B961=76.2,"CHULAFARM 2",IF(B961=76.3,"CHULAFARM 3",IF(B961=77,"LA NOPALERA",IF(B961=78,"SIGLO XX1",IF(B961=79,"PURISIMA COVARUBIAS 1",IF(B961=80,"EL BAJIO",IF(B961=81,"PURISIMA COVARUBIAS 2",IF(B961=82,"LA LOMA",IF(B961=83,"PURISIMA DE COVARUBIAS 3",IF(B961=84,"CELESTINA HONESTO",IF(B961=85,"SALVADOR YEPEZ CRUZ",IF(B961=86,"CAMINO A LA SIERRITA",IF(B961=87,"LA ARENA",IF(B961=88,"EL POZO",IF(B961=89,"EL CERRO",IF(B961=90,"MIGUEL AZA MARTINEZ",IF(B961=91,"EL MONTE",IF(B961=92,"EL CANAL",IF(B961=93.1,"JUAREZ 1"))))))))))))))))))))))</f>
        <v>SIGLO XX1</v>
      </c>
      <c r="D961" s="7" t="s">
        <v>133</v>
      </c>
      <c r="E961" s="1" t="s">
        <v>126</v>
      </c>
      <c r="F961" s="7">
        <v>1</v>
      </c>
      <c r="G961" s="7" t="s">
        <v>477</v>
      </c>
      <c r="H961" s="7" t="s">
        <v>149</v>
      </c>
      <c r="I961" s="30" t="s">
        <v>149</v>
      </c>
      <c r="J961" s="7">
        <v>1039</v>
      </c>
      <c r="K961" s="7"/>
    </row>
    <row r="962" spans="1:11" x14ac:dyDescent="0.2">
      <c r="A962" s="7">
        <v>1040</v>
      </c>
      <c r="B962" s="7">
        <v>78</v>
      </c>
      <c r="C962" s="1" t="str">
        <f t="shared" si="322"/>
        <v>SIGLO XX1</v>
      </c>
      <c r="D962" s="7" t="s">
        <v>133</v>
      </c>
      <c r="E962" s="1" t="s">
        <v>126</v>
      </c>
      <c r="F962" s="7">
        <v>1</v>
      </c>
      <c r="G962" s="7" t="s">
        <v>477</v>
      </c>
      <c r="H962" s="7" t="s">
        <v>485</v>
      </c>
      <c r="I962" s="31" t="s">
        <v>485</v>
      </c>
      <c r="J962" s="10">
        <v>1040</v>
      </c>
      <c r="K962" s="7"/>
    </row>
    <row r="963" spans="1:11" x14ac:dyDescent="0.2">
      <c r="A963" s="7">
        <v>1041</v>
      </c>
      <c r="B963" s="7">
        <v>78</v>
      </c>
      <c r="C963" s="1" t="str">
        <f t="shared" si="322"/>
        <v>SIGLO XX1</v>
      </c>
      <c r="D963" s="7" t="s">
        <v>133</v>
      </c>
      <c r="E963" s="1" t="s">
        <v>126</v>
      </c>
      <c r="F963" s="7">
        <v>1</v>
      </c>
      <c r="G963" s="7" t="s">
        <v>476</v>
      </c>
      <c r="H963" s="7" t="s">
        <v>474</v>
      </c>
      <c r="I963" s="33" t="s">
        <v>474</v>
      </c>
      <c r="J963" s="9">
        <v>1041</v>
      </c>
      <c r="K963" s="7"/>
    </row>
    <row r="964" spans="1:11" x14ac:dyDescent="0.2">
      <c r="A964" s="7">
        <v>1042</v>
      </c>
      <c r="B964" s="7">
        <v>78</v>
      </c>
      <c r="C964" s="1" t="str">
        <f t="shared" si="322"/>
        <v>SIGLO XX1</v>
      </c>
      <c r="D964" s="7" t="s">
        <v>133</v>
      </c>
      <c r="E964" s="1" t="s">
        <v>126</v>
      </c>
      <c r="F964" s="7">
        <v>1</v>
      </c>
      <c r="G964" s="7" t="s">
        <v>476</v>
      </c>
      <c r="H964" s="7" t="s">
        <v>149</v>
      </c>
      <c r="I964" s="34" t="s">
        <v>149</v>
      </c>
      <c r="J964" s="7">
        <v>1042</v>
      </c>
      <c r="K964" s="7"/>
    </row>
    <row r="965" spans="1:11" x14ac:dyDescent="0.2">
      <c r="A965" s="7">
        <v>1043</v>
      </c>
      <c r="B965" s="7">
        <v>78</v>
      </c>
      <c r="C965" s="1" t="str">
        <f t="shared" si="322"/>
        <v>SIGLO XX1</v>
      </c>
      <c r="D965" s="7" t="s">
        <v>133</v>
      </c>
      <c r="E965" s="1" t="s">
        <v>126</v>
      </c>
      <c r="F965" s="7">
        <v>2</v>
      </c>
      <c r="G965" s="7" t="s">
        <v>477</v>
      </c>
      <c r="H965" s="7" t="s">
        <v>149</v>
      </c>
      <c r="I965" s="7" t="s">
        <v>149</v>
      </c>
      <c r="J965" s="7">
        <v>1043</v>
      </c>
      <c r="K965" s="7"/>
    </row>
    <row r="966" spans="1:11" x14ac:dyDescent="0.2">
      <c r="A966" s="7">
        <v>1044</v>
      </c>
      <c r="B966" s="7">
        <v>78</v>
      </c>
      <c r="C966" s="1" t="str">
        <f t="shared" si="322"/>
        <v>SIGLO XX1</v>
      </c>
      <c r="D966" s="7" t="s">
        <v>133</v>
      </c>
      <c r="E966" s="1" t="s">
        <v>126</v>
      </c>
      <c r="F966" s="7">
        <v>2</v>
      </c>
      <c r="G966" s="7" t="s">
        <v>477</v>
      </c>
      <c r="H966" s="7" t="s">
        <v>474</v>
      </c>
      <c r="I966" s="33" t="s">
        <v>474</v>
      </c>
      <c r="J966" s="9">
        <v>1044</v>
      </c>
      <c r="K966" s="7"/>
    </row>
    <row r="967" spans="1:11" x14ac:dyDescent="0.2">
      <c r="A967" s="7">
        <v>1045</v>
      </c>
      <c r="B967" s="7">
        <v>78</v>
      </c>
      <c r="C967" s="1" t="str">
        <f t="shared" si="322"/>
        <v>SIGLO XX1</v>
      </c>
      <c r="D967" s="7" t="s">
        <v>133</v>
      </c>
      <c r="E967" s="1" t="s">
        <v>126</v>
      </c>
      <c r="F967" s="7">
        <v>1</v>
      </c>
      <c r="G967" s="7" t="s">
        <v>477</v>
      </c>
      <c r="H967" s="7" t="s">
        <v>149</v>
      </c>
      <c r="I967" s="30" t="s">
        <v>149</v>
      </c>
      <c r="J967" s="7">
        <v>1045</v>
      </c>
      <c r="K967" s="28" t="s">
        <v>638</v>
      </c>
    </row>
    <row r="968" spans="1:11" x14ac:dyDescent="0.2">
      <c r="A968" s="7">
        <v>1046</v>
      </c>
      <c r="B968" s="7">
        <v>78</v>
      </c>
      <c r="C968" s="1" t="str">
        <f t="shared" si="322"/>
        <v>SIGLO XX1</v>
      </c>
      <c r="D968" s="7" t="s">
        <v>133</v>
      </c>
      <c r="E968" s="1" t="s">
        <v>126</v>
      </c>
      <c r="F968" s="7">
        <v>1</v>
      </c>
      <c r="G968" s="7" t="s">
        <v>477</v>
      </c>
      <c r="H968" s="7" t="s">
        <v>473</v>
      </c>
      <c r="I968" s="30" t="s">
        <v>473</v>
      </c>
      <c r="J968" s="7">
        <v>1046</v>
      </c>
      <c r="K968" s="7"/>
    </row>
    <row r="969" spans="1:11" x14ac:dyDescent="0.2">
      <c r="A969" s="7">
        <v>1047</v>
      </c>
      <c r="B969" s="7">
        <v>78</v>
      </c>
      <c r="C969" s="1" t="str">
        <f t="shared" si="322"/>
        <v>SIGLO XX1</v>
      </c>
      <c r="D969" s="7" t="s">
        <v>133</v>
      </c>
      <c r="E969" s="1" t="s">
        <v>126</v>
      </c>
      <c r="F969" s="7">
        <v>1</v>
      </c>
      <c r="G969" s="7" t="s">
        <v>477</v>
      </c>
      <c r="H969" s="7" t="s">
        <v>149</v>
      </c>
      <c r="I969" s="30" t="s">
        <v>149</v>
      </c>
      <c r="J969" s="7">
        <v>1047</v>
      </c>
      <c r="K969" s="7"/>
    </row>
    <row r="970" spans="1:11" x14ac:dyDescent="0.2">
      <c r="A970" s="7">
        <v>1048</v>
      </c>
      <c r="B970" s="7">
        <v>78</v>
      </c>
      <c r="C970" s="1" t="str">
        <f t="shared" si="322"/>
        <v>SIGLO XX1</v>
      </c>
      <c r="D970" s="7" t="s">
        <v>133</v>
      </c>
      <c r="E970" s="1" t="s">
        <v>126</v>
      </c>
      <c r="F970" s="7">
        <v>1</v>
      </c>
      <c r="G970" s="7" t="s">
        <v>477</v>
      </c>
      <c r="H970" s="35" t="s">
        <v>473</v>
      </c>
      <c r="I970" s="30" t="s">
        <v>473</v>
      </c>
      <c r="J970" s="7">
        <v>1048</v>
      </c>
      <c r="K970" s="7"/>
    </row>
    <row r="971" spans="1:11" x14ac:dyDescent="0.2">
      <c r="A971" s="7">
        <v>1049</v>
      </c>
      <c r="B971" s="7">
        <v>78</v>
      </c>
      <c r="C971" s="1" t="str">
        <f t="shared" si="322"/>
        <v>SIGLO XX1</v>
      </c>
      <c r="D971" s="7" t="s">
        <v>133</v>
      </c>
      <c r="E971" s="1" t="s">
        <v>126</v>
      </c>
      <c r="F971" s="7">
        <v>2</v>
      </c>
      <c r="G971" s="7" t="s">
        <v>477</v>
      </c>
      <c r="H971" s="35" t="s">
        <v>149</v>
      </c>
      <c r="I971" s="30" t="s">
        <v>149</v>
      </c>
      <c r="J971" s="7">
        <v>1049</v>
      </c>
      <c r="K971" s="7"/>
    </row>
    <row r="972" spans="1:11" x14ac:dyDescent="0.2">
      <c r="A972" s="7">
        <v>1050</v>
      </c>
      <c r="B972" s="7">
        <v>78</v>
      </c>
      <c r="C972" s="1" t="str">
        <f t="shared" si="322"/>
        <v>SIGLO XX1</v>
      </c>
      <c r="D972" s="7" t="s">
        <v>133</v>
      </c>
      <c r="E972" s="45" t="s">
        <v>126</v>
      </c>
      <c r="F972" s="7">
        <v>2</v>
      </c>
      <c r="G972" s="7" t="s">
        <v>477</v>
      </c>
      <c r="H972" s="7" t="s">
        <v>642</v>
      </c>
      <c r="I972" s="30" t="s">
        <v>642</v>
      </c>
      <c r="J972" s="7">
        <v>1050</v>
      </c>
      <c r="K972" s="7"/>
    </row>
    <row r="973" spans="1:11" x14ac:dyDescent="0.2">
      <c r="A973" s="7">
        <v>1111</v>
      </c>
      <c r="B973" s="7">
        <v>78</v>
      </c>
      <c r="C973" s="1" t="str">
        <f t="shared" si="322"/>
        <v>SIGLO XX1</v>
      </c>
      <c r="D973" s="7" t="s">
        <v>133</v>
      </c>
      <c r="E973" s="45" t="s">
        <v>126</v>
      </c>
      <c r="F973" s="7">
        <v>1</v>
      </c>
      <c r="G973" s="7" t="s">
        <v>477</v>
      </c>
      <c r="H973" s="7" t="s">
        <v>474</v>
      </c>
      <c r="I973" s="33" t="s">
        <v>474</v>
      </c>
      <c r="J973" s="9">
        <v>1111</v>
      </c>
      <c r="K973" s="7"/>
    </row>
    <row r="974" spans="1:11" x14ac:dyDescent="0.2">
      <c r="A974" s="7">
        <v>1114</v>
      </c>
      <c r="B974" s="7">
        <v>78</v>
      </c>
      <c r="C974" s="1" t="str">
        <f t="shared" si="322"/>
        <v>SIGLO XX1</v>
      </c>
      <c r="D974" s="7" t="s">
        <v>133</v>
      </c>
      <c r="E974" s="45" t="s">
        <v>126</v>
      </c>
      <c r="F974" s="7">
        <v>2</v>
      </c>
      <c r="G974" s="7" t="s">
        <v>477</v>
      </c>
      <c r="H974" s="7" t="s">
        <v>149</v>
      </c>
      <c r="I974" s="30" t="s">
        <v>149</v>
      </c>
      <c r="J974" s="7">
        <v>1114</v>
      </c>
      <c r="K974" s="7"/>
    </row>
    <row r="975" spans="1:11" x14ac:dyDescent="0.2">
      <c r="A975" s="7">
        <v>1115</v>
      </c>
      <c r="B975" s="7">
        <v>78</v>
      </c>
      <c r="C975" s="1" t="str">
        <f t="shared" si="322"/>
        <v>SIGLO XX1</v>
      </c>
      <c r="D975" s="7" t="s">
        <v>133</v>
      </c>
      <c r="E975" s="45" t="s">
        <v>126</v>
      </c>
      <c r="F975" s="7">
        <v>2</v>
      </c>
      <c r="G975" s="7" t="s">
        <v>477</v>
      </c>
      <c r="H975" s="7" t="s">
        <v>471</v>
      </c>
      <c r="I975" s="30" t="s">
        <v>471</v>
      </c>
      <c r="J975" s="7">
        <v>1115</v>
      </c>
      <c r="K975" s="7"/>
    </row>
    <row r="976" spans="1:11" x14ac:dyDescent="0.2">
      <c r="A976" s="7">
        <v>1116</v>
      </c>
      <c r="B976" s="7">
        <v>78</v>
      </c>
      <c r="C976" s="1" t="str">
        <f t="shared" si="322"/>
        <v>SIGLO XX1</v>
      </c>
      <c r="D976" s="7" t="s">
        <v>133</v>
      </c>
      <c r="E976" s="45" t="s">
        <v>126</v>
      </c>
      <c r="F976" s="7">
        <v>2</v>
      </c>
      <c r="G976" s="7" t="s">
        <v>477</v>
      </c>
      <c r="H976" s="7" t="s">
        <v>474</v>
      </c>
      <c r="I976" s="33" t="s">
        <v>474</v>
      </c>
      <c r="J976" s="9">
        <v>1116</v>
      </c>
      <c r="K976" s="7"/>
    </row>
    <row r="977" spans="1:11" x14ac:dyDescent="0.2">
      <c r="A977" s="7">
        <v>1137</v>
      </c>
      <c r="B977" s="7">
        <v>78</v>
      </c>
      <c r="C977" s="1" t="str">
        <f t="shared" si="322"/>
        <v>SIGLO XX1</v>
      </c>
      <c r="D977" s="7" t="s">
        <v>133</v>
      </c>
      <c r="E977" s="45" t="s">
        <v>126</v>
      </c>
      <c r="F977" s="7">
        <v>1</v>
      </c>
      <c r="G977" s="7" t="s">
        <v>477</v>
      </c>
      <c r="H977" s="7" t="s">
        <v>149</v>
      </c>
      <c r="I977" s="30" t="s">
        <v>149</v>
      </c>
      <c r="J977" s="7">
        <v>1137</v>
      </c>
      <c r="K977" s="7"/>
    </row>
    <row r="978" spans="1:11" x14ac:dyDescent="0.2">
      <c r="A978" s="7">
        <v>1138</v>
      </c>
      <c r="B978" s="7">
        <v>78</v>
      </c>
      <c r="C978" s="1" t="str">
        <f t="shared" si="322"/>
        <v>SIGLO XX1</v>
      </c>
      <c r="D978" s="7" t="s">
        <v>133</v>
      </c>
      <c r="E978" s="45" t="s">
        <v>126</v>
      </c>
      <c r="F978" s="7">
        <v>2</v>
      </c>
      <c r="G978" s="7" t="s">
        <v>477</v>
      </c>
      <c r="H978" s="7" t="s">
        <v>149</v>
      </c>
      <c r="I978" s="30" t="s">
        <v>149</v>
      </c>
      <c r="J978" s="7">
        <v>1138</v>
      </c>
      <c r="K978" s="7"/>
    </row>
    <row r="979" spans="1:11" x14ac:dyDescent="0.2">
      <c r="A979" s="7">
        <v>1037</v>
      </c>
      <c r="B979" s="7">
        <v>79</v>
      </c>
      <c r="C979" s="1" t="str">
        <f t="shared" si="322"/>
        <v>PURISIMA COVARUBIAS 1</v>
      </c>
      <c r="D979" s="7" t="s">
        <v>133</v>
      </c>
      <c r="E979" s="1" t="str">
        <f t="shared" ref="E979:E1017" si="323">IF(B979=66,"FRONTERA",IF(B979=67,"FRONTERA",IF(B979=68,"FRONTERA",IF(B979=69,"SAN ANDREAS",IF(B979=70,"FRONTERA",IF(B979=71,"FRONTERA",IF(B979=72,"FRONTERA",IF(B979=73,"SAN ANDREAS",IF(B979=74.1,"FRONTERA",IF(B979=74.2,"SAN ANDREAS",IF(B979=75,"CHILENAS",IF(B979=76.1,"SAN ANDREAS",IF(B979=76.2,"FRONTERA",IF(B979=76.3,"FRONTERA",IF(B979=77,"FRONTERA",IF(B979=78,"CAMINO REAL",IF(B979=79,"FRONTERA",IF(B979=80,"FRONTERA",IF(B979=81,"FRONTERA",IF(B979=82,"FRONTERA",IF(B979=83,"FRONTERA",IF(B979=84,"FRONTERA",IF(B979=85,"FRONTERA",IF(B979=86,"CABRILLO",IF(B979=87,"VICTOR",IF(B979=88,"MONTERREY",IF(B979=89,"ROYAL",IF(B979=90,"NO DOCUMENTADO",IF(B979=91,"FRONTERA")))))))))))))))))))))))))))))</f>
        <v>FRONTERA</v>
      </c>
      <c r="F979" s="7">
        <v>1</v>
      </c>
      <c r="G979" s="7" t="s">
        <v>477</v>
      </c>
      <c r="H979" s="35" t="s">
        <v>149</v>
      </c>
      <c r="I979" s="30" t="s">
        <v>149</v>
      </c>
      <c r="J979" s="7">
        <v>1037</v>
      </c>
      <c r="K979" s="28" t="s">
        <v>638</v>
      </c>
    </row>
    <row r="980" spans="1:11" x14ac:dyDescent="0.2">
      <c r="A980" s="7">
        <v>1038</v>
      </c>
      <c r="B980" s="7">
        <v>79</v>
      </c>
      <c r="C980" s="1" t="str">
        <f t="shared" si="322"/>
        <v>PURISIMA COVARUBIAS 1</v>
      </c>
      <c r="D980" s="7" t="s">
        <v>133</v>
      </c>
      <c r="E980" s="1" t="str">
        <f t="shared" si="323"/>
        <v>FRONTERA</v>
      </c>
      <c r="F980" s="7">
        <v>1</v>
      </c>
      <c r="G980" s="7" t="s">
        <v>477</v>
      </c>
      <c r="H980" s="7" t="s">
        <v>473</v>
      </c>
      <c r="I980" s="32" t="s">
        <v>473</v>
      </c>
      <c r="J980" s="26">
        <v>1038</v>
      </c>
      <c r="K980" s="7"/>
    </row>
    <row r="981" spans="1:11" x14ac:dyDescent="0.2">
      <c r="A981" s="7">
        <v>1112</v>
      </c>
      <c r="B981" s="7">
        <v>79</v>
      </c>
      <c r="C981" s="1" t="str">
        <f t="shared" si="322"/>
        <v>PURISIMA COVARUBIAS 1</v>
      </c>
      <c r="D981" s="7" t="s">
        <v>133</v>
      </c>
      <c r="E981" s="45" t="str">
        <f t="shared" si="323"/>
        <v>FRONTERA</v>
      </c>
      <c r="F981" s="7">
        <v>1</v>
      </c>
      <c r="G981" s="7" t="s">
        <v>477</v>
      </c>
      <c r="H981" s="7" t="s">
        <v>149</v>
      </c>
      <c r="I981" s="30" t="s">
        <v>149</v>
      </c>
      <c r="J981" s="7">
        <v>1112</v>
      </c>
      <c r="K981" s="7"/>
    </row>
    <row r="982" spans="1:11" x14ac:dyDescent="0.2">
      <c r="A982" s="7">
        <v>1113</v>
      </c>
      <c r="B982" s="7">
        <v>79</v>
      </c>
      <c r="C982" s="1" t="str">
        <f t="shared" si="322"/>
        <v>PURISIMA COVARUBIAS 1</v>
      </c>
      <c r="D982" s="7" t="s">
        <v>133</v>
      </c>
      <c r="E982" s="45" t="str">
        <f t="shared" si="323"/>
        <v>FRONTERA</v>
      </c>
      <c r="F982" s="7">
        <v>1</v>
      </c>
      <c r="G982" s="7" t="s">
        <v>477</v>
      </c>
      <c r="H982" s="7" t="s">
        <v>471</v>
      </c>
      <c r="I982" s="30" t="s">
        <v>471</v>
      </c>
      <c r="J982" s="7">
        <v>1113</v>
      </c>
      <c r="K982" s="7"/>
    </row>
    <row r="983" spans="1:11" x14ac:dyDescent="0.2">
      <c r="A983" s="7">
        <v>1124</v>
      </c>
      <c r="B983" s="7">
        <v>80</v>
      </c>
      <c r="C983" s="1" t="str">
        <f t="shared" si="322"/>
        <v>EL BAJIO</v>
      </c>
      <c r="D983" s="7" t="s">
        <v>133</v>
      </c>
      <c r="E983" s="45" t="str">
        <f t="shared" si="323"/>
        <v>FRONTERA</v>
      </c>
      <c r="F983" s="7">
        <v>1</v>
      </c>
      <c r="G983" s="7" t="s">
        <v>477</v>
      </c>
      <c r="H983" s="7" t="s">
        <v>149</v>
      </c>
      <c r="I983" s="30" t="s">
        <v>149</v>
      </c>
      <c r="J983" s="7">
        <v>1124</v>
      </c>
      <c r="K983" s="7"/>
    </row>
    <row r="984" spans="1:11" x14ac:dyDescent="0.2">
      <c r="A984" s="7">
        <v>1139</v>
      </c>
      <c r="B984" s="7">
        <v>80</v>
      </c>
      <c r="C984" s="1" t="str">
        <f t="shared" si="322"/>
        <v>EL BAJIO</v>
      </c>
      <c r="D984" s="7" t="s">
        <v>133</v>
      </c>
      <c r="E984" s="45" t="str">
        <f t="shared" si="323"/>
        <v>FRONTERA</v>
      </c>
      <c r="F984" s="7">
        <v>1</v>
      </c>
      <c r="G984" s="7" t="s">
        <v>477</v>
      </c>
      <c r="H984" s="7" t="s">
        <v>475</v>
      </c>
      <c r="I984" s="30" t="s">
        <v>475</v>
      </c>
      <c r="J984" s="7">
        <v>1139</v>
      </c>
      <c r="K984" s="7"/>
    </row>
    <row r="985" spans="1:11" x14ac:dyDescent="0.2">
      <c r="A985" s="7">
        <v>1140</v>
      </c>
      <c r="B985" s="7">
        <v>80</v>
      </c>
      <c r="C985" s="1" t="str">
        <f t="shared" si="322"/>
        <v>EL BAJIO</v>
      </c>
      <c r="D985" s="7" t="s">
        <v>133</v>
      </c>
      <c r="E985" s="45" t="str">
        <f t="shared" si="323"/>
        <v>FRONTERA</v>
      </c>
      <c r="F985" s="7">
        <v>1</v>
      </c>
      <c r="G985" s="7" t="s">
        <v>477</v>
      </c>
      <c r="H985" s="35" t="s">
        <v>149</v>
      </c>
      <c r="I985" s="30" t="s">
        <v>149</v>
      </c>
      <c r="J985" s="7">
        <v>1140</v>
      </c>
      <c r="K985" s="7"/>
    </row>
    <row r="986" spans="1:11" x14ac:dyDescent="0.2">
      <c r="A986" s="7">
        <v>1141</v>
      </c>
      <c r="B986" s="7">
        <v>81</v>
      </c>
      <c r="C986" s="1" t="str">
        <f t="shared" si="322"/>
        <v>PURISIMA COVARUBIAS 2</v>
      </c>
      <c r="D986" s="7" t="s">
        <v>133</v>
      </c>
      <c r="E986" s="45" t="str">
        <f t="shared" si="323"/>
        <v>FRONTERA</v>
      </c>
      <c r="F986" s="7">
        <v>1</v>
      </c>
      <c r="G986" s="7" t="s">
        <v>477</v>
      </c>
      <c r="H986" s="35" t="s">
        <v>149</v>
      </c>
      <c r="I986" s="30" t="s">
        <v>149</v>
      </c>
      <c r="J986" s="7">
        <v>1141</v>
      </c>
      <c r="K986" s="7"/>
    </row>
    <row r="987" spans="1:11" x14ac:dyDescent="0.2">
      <c r="A987" s="7">
        <v>1145</v>
      </c>
      <c r="B987" s="7">
        <v>82</v>
      </c>
      <c r="C987" s="1" t="str">
        <f t="shared" si="322"/>
        <v>LA LOMA</v>
      </c>
      <c r="D987" s="7" t="s">
        <v>133</v>
      </c>
      <c r="E987" s="45" t="str">
        <f t="shared" si="323"/>
        <v>FRONTERA</v>
      </c>
      <c r="F987" s="7">
        <v>1</v>
      </c>
      <c r="G987" s="7" t="s">
        <v>477</v>
      </c>
      <c r="H987" s="7" t="s">
        <v>149</v>
      </c>
      <c r="I987" s="30" t="s">
        <v>149</v>
      </c>
      <c r="J987" s="7">
        <v>1145</v>
      </c>
      <c r="K987" s="7"/>
    </row>
    <row r="988" spans="1:11" x14ac:dyDescent="0.2">
      <c r="A988" s="7">
        <v>1146</v>
      </c>
      <c r="B988" s="7">
        <v>83</v>
      </c>
      <c r="C988" s="1" t="str">
        <f t="shared" si="322"/>
        <v>PURISIMA DE COVARUBIAS 3</v>
      </c>
      <c r="D988" s="7" t="s">
        <v>133</v>
      </c>
      <c r="E988" s="45" t="str">
        <f t="shared" si="323"/>
        <v>FRONTERA</v>
      </c>
      <c r="F988" s="7">
        <v>1</v>
      </c>
      <c r="G988" s="7" t="s">
        <v>477</v>
      </c>
      <c r="H988" s="7" t="s">
        <v>471</v>
      </c>
      <c r="I988" s="30" t="s">
        <v>471</v>
      </c>
      <c r="J988" s="7">
        <v>1146</v>
      </c>
      <c r="K988" s="7"/>
    </row>
    <row r="989" spans="1:11" x14ac:dyDescent="0.2">
      <c r="A989" s="7">
        <v>1142</v>
      </c>
      <c r="B989" s="7">
        <v>84</v>
      </c>
      <c r="C989" s="1" t="str">
        <f t="shared" si="322"/>
        <v>CELESTINA HONESTO</v>
      </c>
      <c r="D989" s="7" t="s">
        <v>133</v>
      </c>
      <c r="E989" s="45" t="str">
        <f t="shared" si="323"/>
        <v>FRONTERA</v>
      </c>
      <c r="F989" s="7">
        <v>1</v>
      </c>
      <c r="G989" s="7" t="s">
        <v>477</v>
      </c>
      <c r="H989" s="7" t="s">
        <v>149</v>
      </c>
      <c r="I989" s="30" t="s">
        <v>149</v>
      </c>
      <c r="J989" s="7">
        <v>1142</v>
      </c>
      <c r="K989" s="7"/>
    </row>
    <row r="990" spans="1:11" x14ac:dyDescent="0.2">
      <c r="A990" s="7">
        <v>1032</v>
      </c>
      <c r="B990" s="7">
        <v>86</v>
      </c>
      <c r="C990" s="1" t="str">
        <f t="shared" si="322"/>
        <v>CAMINO A LA SIERRITA</v>
      </c>
      <c r="D990" s="7" t="s">
        <v>133</v>
      </c>
      <c r="E990" s="45" t="str">
        <f t="shared" si="323"/>
        <v>CABRILLO</v>
      </c>
      <c r="F990" s="7">
        <v>1</v>
      </c>
      <c r="G990" s="7" t="s">
        <v>477</v>
      </c>
      <c r="H990" s="35" t="s">
        <v>485</v>
      </c>
      <c r="I990" s="30" t="s">
        <v>485</v>
      </c>
      <c r="J990" s="10">
        <v>1032</v>
      </c>
      <c r="K990" s="7"/>
    </row>
    <row r="991" spans="1:11" x14ac:dyDescent="0.2">
      <c r="A991" s="7">
        <v>1033</v>
      </c>
      <c r="B991" s="7">
        <v>86</v>
      </c>
      <c r="C991" s="1" t="str">
        <f t="shared" si="322"/>
        <v>CAMINO A LA SIERRITA</v>
      </c>
      <c r="D991" s="7" t="s">
        <v>133</v>
      </c>
      <c r="E991" s="45" t="str">
        <f t="shared" si="323"/>
        <v>CABRILLO</v>
      </c>
      <c r="F991" s="7">
        <v>1</v>
      </c>
      <c r="G991" s="7" t="s">
        <v>477</v>
      </c>
      <c r="H991" s="35" t="s">
        <v>149</v>
      </c>
      <c r="I991" s="30" t="s">
        <v>149</v>
      </c>
      <c r="J991" s="7">
        <v>1033</v>
      </c>
      <c r="K991" s="7"/>
    </row>
    <row r="992" spans="1:11" x14ac:dyDescent="0.2">
      <c r="A992" s="7">
        <v>1034</v>
      </c>
      <c r="B992" s="7">
        <v>86</v>
      </c>
      <c r="C992" s="1" t="str">
        <f t="shared" si="322"/>
        <v>CAMINO A LA SIERRITA</v>
      </c>
      <c r="D992" s="7" t="s">
        <v>133</v>
      </c>
      <c r="E992" s="45" t="str">
        <f t="shared" si="323"/>
        <v>CABRILLO</v>
      </c>
      <c r="F992" s="7">
        <v>2</v>
      </c>
      <c r="G992" s="7" t="s">
        <v>477</v>
      </c>
      <c r="H992" s="7" t="s">
        <v>149</v>
      </c>
      <c r="I992" s="30" t="s">
        <v>149</v>
      </c>
      <c r="J992" s="7">
        <v>1034</v>
      </c>
      <c r="K992" s="7"/>
    </row>
    <row r="993" spans="1:11" x14ac:dyDescent="0.2">
      <c r="A993" s="7">
        <v>1035</v>
      </c>
      <c r="B993" s="7">
        <v>86</v>
      </c>
      <c r="C993" s="1" t="str">
        <f t="shared" ref="C993:C1024" si="324">IF(B993=74.2,"EL CEREZO 2",IF(B993=75,"APEO",IF(B993=76.1,"CHULAFARM 1",IF(B993=76.2,"CHULAFARM 2",IF(B993=76.3,"CHULAFARM 3",IF(B993=77,"LA NOPALERA",IF(B993=78,"SIGLO XX1",IF(B993=79,"PURISIMA COVARUBIAS 1",IF(B993=80,"EL BAJIO",IF(B993=81,"PURISIMA COVARUBIAS 2",IF(B993=82,"LA LOMA",IF(B993=83,"PURISIMA DE COVARUBIAS 3",IF(B993=84,"CELESTINA HONESTO",IF(B993=85,"SALVADOR YEPEZ CRUZ",IF(B993=86,"CAMINO A LA SIERRITA",IF(B993=87,"LA ARENA",IF(B993=88,"EL POZO",IF(B993=89,"EL CERRO",IF(B993=90,"MIGUEL AZA MARTINEZ",IF(B993=91,"EL MONTE",IF(B993=92,"EL CANAL",IF(B993=93.1,"JUAREZ 1"))))))))))))))))))))))</f>
        <v>CAMINO A LA SIERRITA</v>
      </c>
      <c r="D993" s="7" t="s">
        <v>133</v>
      </c>
      <c r="E993" s="45" t="str">
        <f t="shared" si="323"/>
        <v>CABRILLO</v>
      </c>
      <c r="F993" s="7">
        <v>2</v>
      </c>
      <c r="G993" s="7" t="s">
        <v>477</v>
      </c>
      <c r="H993" s="7" t="s">
        <v>155</v>
      </c>
      <c r="I993" s="30" t="s">
        <v>155</v>
      </c>
      <c r="J993" s="7">
        <v>1035</v>
      </c>
      <c r="K993" s="28" t="s">
        <v>638</v>
      </c>
    </row>
    <row r="994" spans="1:11" x14ac:dyDescent="0.2">
      <c r="A994" s="7">
        <v>1036</v>
      </c>
      <c r="B994" s="7">
        <v>86</v>
      </c>
      <c r="C994" s="1" t="str">
        <f t="shared" si="324"/>
        <v>CAMINO A LA SIERRITA</v>
      </c>
      <c r="D994" s="7" t="s">
        <v>133</v>
      </c>
      <c r="E994" s="45" t="str">
        <f t="shared" si="323"/>
        <v>CABRILLO</v>
      </c>
      <c r="F994" s="7">
        <v>2</v>
      </c>
      <c r="G994" s="7" t="s">
        <v>477</v>
      </c>
      <c r="H994" s="7" t="s">
        <v>155</v>
      </c>
      <c r="I994" s="30" t="s">
        <v>155</v>
      </c>
      <c r="J994" s="7">
        <v>1036</v>
      </c>
      <c r="K994" s="7"/>
    </row>
    <row r="995" spans="1:11" x14ac:dyDescent="0.2">
      <c r="A995" s="7">
        <v>1147</v>
      </c>
      <c r="B995" s="7">
        <v>86</v>
      </c>
      <c r="C995" s="1" t="str">
        <f t="shared" si="324"/>
        <v>CAMINO A LA SIERRITA</v>
      </c>
      <c r="D995" s="7" t="s">
        <v>133</v>
      </c>
      <c r="E995" s="45" t="str">
        <f t="shared" si="323"/>
        <v>CABRILLO</v>
      </c>
      <c r="F995" s="7">
        <v>1</v>
      </c>
      <c r="G995" s="7" t="s">
        <v>477</v>
      </c>
      <c r="H995" s="35" t="s">
        <v>471</v>
      </c>
      <c r="I995" s="30" t="s">
        <v>471</v>
      </c>
      <c r="J995" s="7">
        <v>1147</v>
      </c>
      <c r="K995" s="7"/>
    </row>
    <row r="996" spans="1:11" x14ac:dyDescent="0.2">
      <c r="A996" s="7">
        <v>1143</v>
      </c>
      <c r="B996" s="7">
        <v>87</v>
      </c>
      <c r="C996" s="1" t="str">
        <f t="shared" si="324"/>
        <v>LA ARENA</v>
      </c>
      <c r="D996" s="7" t="s">
        <v>133</v>
      </c>
      <c r="E996" s="1" t="str">
        <f t="shared" si="323"/>
        <v>VICTOR</v>
      </c>
      <c r="F996" s="7">
        <v>1</v>
      </c>
      <c r="G996" s="7" t="s">
        <v>477</v>
      </c>
      <c r="H996" s="7" t="s">
        <v>149</v>
      </c>
      <c r="I996" s="30" t="s">
        <v>149</v>
      </c>
      <c r="J996" s="7">
        <v>1143</v>
      </c>
      <c r="K996" s="7"/>
    </row>
    <row r="997" spans="1:11" x14ac:dyDescent="0.2">
      <c r="A997" s="7">
        <v>1028</v>
      </c>
      <c r="B997" s="7">
        <v>88</v>
      </c>
      <c r="C997" s="1" t="str">
        <f t="shared" si="324"/>
        <v>EL POZO</v>
      </c>
      <c r="D997" s="7" t="s">
        <v>133</v>
      </c>
      <c r="E997" s="1" t="str">
        <f t="shared" si="323"/>
        <v>MONTERREY</v>
      </c>
      <c r="F997" s="7">
        <v>1</v>
      </c>
      <c r="G997" s="7" t="s">
        <v>477</v>
      </c>
      <c r="H997" s="7" t="s">
        <v>473</v>
      </c>
      <c r="I997" s="32" t="s">
        <v>473</v>
      </c>
      <c r="J997" s="26">
        <v>1028</v>
      </c>
      <c r="K997" s="7"/>
    </row>
    <row r="998" spans="1:11" x14ac:dyDescent="0.2">
      <c r="A998" s="7">
        <v>1029</v>
      </c>
      <c r="B998" s="7">
        <v>88</v>
      </c>
      <c r="C998" s="1" t="str">
        <f t="shared" si="324"/>
        <v>EL POZO</v>
      </c>
      <c r="D998" s="7" t="s">
        <v>133</v>
      </c>
      <c r="E998" s="1" t="str">
        <f t="shared" si="323"/>
        <v>MONTERREY</v>
      </c>
      <c r="F998" s="7">
        <v>1</v>
      </c>
      <c r="G998" s="7" t="s">
        <v>477</v>
      </c>
      <c r="H998" s="35" t="s">
        <v>149</v>
      </c>
      <c r="I998" s="30" t="s">
        <v>149</v>
      </c>
      <c r="J998" s="7">
        <v>1029</v>
      </c>
      <c r="K998" s="7"/>
    </row>
    <row r="999" spans="1:11" x14ac:dyDescent="0.2">
      <c r="A999" s="7">
        <v>1030</v>
      </c>
      <c r="B999" s="7">
        <v>88</v>
      </c>
      <c r="C999" s="1" t="str">
        <f t="shared" si="324"/>
        <v>EL POZO</v>
      </c>
      <c r="D999" s="7" t="s">
        <v>133</v>
      </c>
      <c r="E999" s="1" t="str">
        <f t="shared" si="323"/>
        <v>MONTERREY</v>
      </c>
      <c r="F999" s="7">
        <v>2</v>
      </c>
      <c r="G999" s="7" t="s">
        <v>477</v>
      </c>
      <c r="H999" s="7" t="s">
        <v>149</v>
      </c>
      <c r="I999" s="30" t="s">
        <v>149</v>
      </c>
      <c r="J999" s="7">
        <v>1030</v>
      </c>
      <c r="K999" s="28" t="s">
        <v>638</v>
      </c>
    </row>
    <row r="1000" spans="1:11" x14ac:dyDescent="0.2">
      <c r="A1000" s="7">
        <v>1031</v>
      </c>
      <c r="B1000" s="7">
        <v>88</v>
      </c>
      <c r="C1000" s="1" t="str">
        <f t="shared" si="324"/>
        <v>EL POZO</v>
      </c>
      <c r="D1000" s="7" t="s">
        <v>133</v>
      </c>
      <c r="E1000" s="1" t="str">
        <f t="shared" si="323"/>
        <v>MONTERREY</v>
      </c>
      <c r="F1000" s="7">
        <v>2</v>
      </c>
      <c r="G1000" s="7" t="s">
        <v>477</v>
      </c>
      <c r="H1000" s="35" t="s">
        <v>149</v>
      </c>
      <c r="I1000" s="30" t="s">
        <v>149</v>
      </c>
      <c r="J1000" s="7">
        <v>1031</v>
      </c>
      <c r="K1000" s="7"/>
    </row>
    <row r="1001" spans="1:11" x14ac:dyDescent="0.2">
      <c r="A1001" s="7">
        <v>1087</v>
      </c>
      <c r="B1001" s="7">
        <v>88</v>
      </c>
      <c r="C1001" s="1" t="str">
        <f t="shared" si="324"/>
        <v>EL POZO</v>
      </c>
      <c r="D1001" s="7" t="s">
        <v>133</v>
      </c>
      <c r="E1001" s="1" t="str">
        <f t="shared" si="323"/>
        <v>MONTERREY</v>
      </c>
      <c r="F1001" s="7">
        <v>2</v>
      </c>
      <c r="G1001" s="7" t="s">
        <v>477</v>
      </c>
      <c r="H1001" s="7" t="s">
        <v>149</v>
      </c>
      <c r="I1001" s="30" t="s">
        <v>149</v>
      </c>
      <c r="J1001" s="7">
        <v>1087</v>
      </c>
      <c r="K1001" s="7"/>
    </row>
    <row r="1002" spans="1:11" x14ac:dyDescent="0.2">
      <c r="A1002" s="7">
        <v>1144</v>
      </c>
      <c r="B1002" s="7">
        <v>88</v>
      </c>
      <c r="C1002" s="1" t="str">
        <f t="shared" si="324"/>
        <v>EL POZO</v>
      </c>
      <c r="D1002" s="7" t="s">
        <v>133</v>
      </c>
      <c r="E1002" s="45" t="str">
        <f t="shared" si="323"/>
        <v>MONTERREY</v>
      </c>
      <c r="F1002" s="7">
        <v>1</v>
      </c>
      <c r="G1002" s="7" t="s">
        <v>477</v>
      </c>
      <c r="H1002" s="7" t="s">
        <v>149</v>
      </c>
      <c r="I1002" s="30" t="s">
        <v>149</v>
      </c>
      <c r="J1002" s="7">
        <v>1144</v>
      </c>
      <c r="K1002" s="7"/>
    </row>
    <row r="1003" spans="1:11" x14ac:dyDescent="0.2">
      <c r="A1003" s="7">
        <v>988</v>
      </c>
      <c r="B1003" s="7">
        <v>90</v>
      </c>
      <c r="C1003" s="1" t="str">
        <f t="shared" si="324"/>
        <v>MIGUEL AZA MARTINEZ</v>
      </c>
      <c r="D1003" s="7" t="s">
        <v>133</v>
      </c>
      <c r="E1003" s="45" t="str">
        <f t="shared" si="323"/>
        <v>NO DOCUMENTADO</v>
      </c>
      <c r="F1003" s="7">
        <v>1</v>
      </c>
      <c r="G1003" s="7" t="s">
        <v>477</v>
      </c>
      <c r="H1003" s="7" t="s">
        <v>149</v>
      </c>
      <c r="I1003" s="30" t="s">
        <v>149</v>
      </c>
      <c r="J1003" s="7">
        <v>988</v>
      </c>
      <c r="K1003" s="28" t="s">
        <v>638</v>
      </c>
    </row>
    <row r="1004" spans="1:11" x14ac:dyDescent="0.2">
      <c r="A1004" s="7">
        <v>989</v>
      </c>
      <c r="B1004" s="7">
        <v>90</v>
      </c>
      <c r="C1004" s="1" t="str">
        <f t="shared" si="324"/>
        <v>MIGUEL AZA MARTINEZ</v>
      </c>
      <c r="D1004" s="7" t="s">
        <v>133</v>
      </c>
      <c r="E1004" s="45" t="str">
        <f t="shared" si="323"/>
        <v>NO DOCUMENTADO</v>
      </c>
      <c r="F1004" s="7">
        <v>1</v>
      </c>
      <c r="G1004" s="7" t="s">
        <v>477</v>
      </c>
      <c r="H1004" s="7" t="s">
        <v>485</v>
      </c>
      <c r="I1004" s="30" t="s">
        <v>485</v>
      </c>
      <c r="J1004" s="10">
        <v>989</v>
      </c>
      <c r="K1004" s="7"/>
    </row>
    <row r="1005" spans="1:11" x14ac:dyDescent="0.2">
      <c r="A1005" s="7">
        <v>990</v>
      </c>
      <c r="B1005" s="7">
        <v>90</v>
      </c>
      <c r="C1005" s="1" t="str">
        <f t="shared" si="324"/>
        <v>MIGUEL AZA MARTINEZ</v>
      </c>
      <c r="D1005" s="7" t="s">
        <v>133</v>
      </c>
      <c r="E1005" s="45" t="str">
        <f t="shared" si="323"/>
        <v>NO DOCUMENTADO</v>
      </c>
      <c r="F1005" s="7">
        <v>2</v>
      </c>
      <c r="G1005" s="7" t="s">
        <v>477</v>
      </c>
      <c r="H1005" s="7" t="s">
        <v>149</v>
      </c>
      <c r="I1005" s="30" t="s">
        <v>149</v>
      </c>
      <c r="J1005" s="7">
        <v>990</v>
      </c>
      <c r="K1005" s="7"/>
    </row>
    <row r="1006" spans="1:11" x14ac:dyDescent="0.2">
      <c r="A1006" s="7">
        <v>1027</v>
      </c>
      <c r="B1006" s="7">
        <v>90</v>
      </c>
      <c r="C1006" s="1" t="str">
        <f t="shared" si="324"/>
        <v>MIGUEL AZA MARTINEZ</v>
      </c>
      <c r="D1006" s="7" t="s">
        <v>133</v>
      </c>
      <c r="E1006" s="45" t="str">
        <f t="shared" si="323"/>
        <v>NO DOCUMENTADO</v>
      </c>
      <c r="F1006" s="7">
        <v>2</v>
      </c>
      <c r="G1006" s="7" t="s">
        <v>476</v>
      </c>
      <c r="H1006" s="7" t="s">
        <v>149</v>
      </c>
      <c r="I1006" s="30" t="s">
        <v>149</v>
      </c>
      <c r="J1006" s="7">
        <v>1027</v>
      </c>
      <c r="K1006" s="7"/>
    </row>
    <row r="1007" spans="1:11" x14ac:dyDescent="0.2">
      <c r="A1007" s="7">
        <v>1065</v>
      </c>
      <c r="B1007" s="7">
        <v>90</v>
      </c>
      <c r="C1007" s="1" t="str">
        <f t="shared" si="324"/>
        <v>MIGUEL AZA MARTINEZ</v>
      </c>
      <c r="D1007" s="7" t="s">
        <v>133</v>
      </c>
      <c r="E1007" s="45" t="str">
        <f t="shared" si="323"/>
        <v>NO DOCUMENTADO</v>
      </c>
      <c r="F1007" s="7">
        <v>1</v>
      </c>
      <c r="G1007" s="7" t="s">
        <v>477</v>
      </c>
      <c r="H1007" s="7" t="s">
        <v>149</v>
      </c>
      <c r="I1007" s="30" t="s">
        <v>149</v>
      </c>
      <c r="J1007" s="7">
        <v>1065</v>
      </c>
      <c r="K1007" s="7"/>
    </row>
    <row r="1008" spans="1:11" x14ac:dyDescent="0.2">
      <c r="A1008" s="7">
        <v>1066</v>
      </c>
      <c r="B1008" s="7">
        <v>90</v>
      </c>
      <c r="C1008" s="1" t="str">
        <f t="shared" si="324"/>
        <v>MIGUEL AZA MARTINEZ</v>
      </c>
      <c r="D1008" s="7" t="s">
        <v>133</v>
      </c>
      <c r="E1008" s="45" t="str">
        <f t="shared" si="323"/>
        <v>NO DOCUMENTADO</v>
      </c>
      <c r="F1008" s="7">
        <v>1</v>
      </c>
      <c r="G1008" s="7" t="s">
        <v>477</v>
      </c>
      <c r="H1008" s="7" t="s">
        <v>474</v>
      </c>
      <c r="I1008" s="33" t="s">
        <v>474</v>
      </c>
      <c r="J1008" s="9">
        <v>1066</v>
      </c>
      <c r="K1008" s="7"/>
    </row>
    <row r="1009" spans="1:11" x14ac:dyDescent="0.2">
      <c r="A1009" s="7">
        <v>1067</v>
      </c>
      <c r="B1009" s="7">
        <v>90</v>
      </c>
      <c r="C1009" s="1" t="str">
        <f t="shared" si="324"/>
        <v>MIGUEL AZA MARTINEZ</v>
      </c>
      <c r="D1009" s="7" t="s">
        <v>133</v>
      </c>
      <c r="E1009" s="1" t="str">
        <f t="shared" si="323"/>
        <v>NO DOCUMENTADO</v>
      </c>
      <c r="F1009" s="7">
        <v>2</v>
      </c>
      <c r="G1009" s="7" t="s">
        <v>477</v>
      </c>
      <c r="H1009" s="7" t="s">
        <v>149</v>
      </c>
      <c r="I1009" s="30" t="s">
        <v>149</v>
      </c>
      <c r="J1009" s="7">
        <v>1067</v>
      </c>
      <c r="K1009" s="7"/>
    </row>
    <row r="1010" spans="1:11" x14ac:dyDescent="0.2">
      <c r="A1010" s="7">
        <v>984</v>
      </c>
      <c r="B1010" s="7">
        <v>91</v>
      </c>
      <c r="C1010" s="1" t="str">
        <f t="shared" si="324"/>
        <v>EL MONTE</v>
      </c>
      <c r="D1010" s="7" t="s">
        <v>133</v>
      </c>
      <c r="E1010" s="1" t="str">
        <f t="shared" si="323"/>
        <v>FRONTERA</v>
      </c>
      <c r="F1010" s="7">
        <v>1</v>
      </c>
      <c r="G1010" s="7" t="s">
        <v>477</v>
      </c>
      <c r="H1010" s="35" t="s">
        <v>149</v>
      </c>
      <c r="I1010" s="30" t="s">
        <v>149</v>
      </c>
      <c r="J1010" s="7">
        <v>984</v>
      </c>
      <c r="K1010" s="7"/>
    </row>
    <row r="1011" spans="1:11" x14ac:dyDescent="0.2">
      <c r="A1011" s="7">
        <v>985</v>
      </c>
      <c r="B1011" s="7">
        <v>91</v>
      </c>
      <c r="C1011" s="1" t="str">
        <f t="shared" si="324"/>
        <v>EL MONTE</v>
      </c>
      <c r="D1011" s="7" t="s">
        <v>133</v>
      </c>
      <c r="E1011" s="1" t="str">
        <f t="shared" si="323"/>
        <v>FRONTERA</v>
      </c>
      <c r="F1011" s="7">
        <v>1</v>
      </c>
      <c r="G1011" s="7" t="s">
        <v>477</v>
      </c>
      <c r="H1011" s="7" t="s">
        <v>149</v>
      </c>
      <c r="I1011" s="30" t="s">
        <v>149</v>
      </c>
      <c r="J1011" s="7">
        <v>985</v>
      </c>
      <c r="K1011" s="28" t="s">
        <v>638</v>
      </c>
    </row>
    <row r="1012" spans="1:11" x14ac:dyDescent="0.2">
      <c r="A1012" s="7">
        <v>986</v>
      </c>
      <c r="B1012" s="7">
        <v>91</v>
      </c>
      <c r="C1012" s="1" t="str">
        <f t="shared" si="324"/>
        <v>EL MONTE</v>
      </c>
      <c r="D1012" s="7" t="s">
        <v>133</v>
      </c>
      <c r="E1012" s="1" t="str">
        <f t="shared" si="323"/>
        <v>FRONTERA</v>
      </c>
      <c r="F1012" s="7">
        <v>2</v>
      </c>
      <c r="G1012" s="7" t="s">
        <v>477</v>
      </c>
      <c r="H1012" s="7" t="s">
        <v>474</v>
      </c>
      <c r="I1012" s="34" t="s">
        <v>474</v>
      </c>
      <c r="J1012" s="7">
        <v>986</v>
      </c>
      <c r="K1012" s="7"/>
    </row>
    <row r="1013" spans="1:11" x14ac:dyDescent="0.2">
      <c r="A1013" s="7">
        <v>987</v>
      </c>
      <c r="B1013" s="7">
        <v>91</v>
      </c>
      <c r="C1013" s="1" t="str">
        <f t="shared" si="324"/>
        <v>EL MONTE</v>
      </c>
      <c r="D1013" s="7" t="s">
        <v>133</v>
      </c>
      <c r="E1013" s="1" t="str">
        <f t="shared" si="323"/>
        <v>FRONTERA</v>
      </c>
      <c r="F1013" s="7">
        <v>2</v>
      </c>
      <c r="G1013" s="7" t="s">
        <v>477</v>
      </c>
      <c r="H1013" s="7" t="s">
        <v>485</v>
      </c>
      <c r="I1013" s="31" t="s">
        <v>485</v>
      </c>
      <c r="J1013" s="10">
        <v>987</v>
      </c>
      <c r="K1013" s="7"/>
    </row>
    <row r="1014" spans="1:11" x14ac:dyDescent="0.2">
      <c r="A1014" s="7">
        <v>1054</v>
      </c>
      <c r="B1014" s="7">
        <v>91</v>
      </c>
      <c r="C1014" s="1" t="str">
        <f t="shared" si="324"/>
        <v>EL MONTE</v>
      </c>
      <c r="D1014" s="7" t="s">
        <v>133</v>
      </c>
      <c r="E1014" s="1" t="str">
        <f t="shared" si="323"/>
        <v>FRONTERA</v>
      </c>
      <c r="F1014" s="7">
        <v>2</v>
      </c>
      <c r="G1014" s="7" t="s">
        <v>476</v>
      </c>
      <c r="H1014" s="7" t="s">
        <v>473</v>
      </c>
      <c r="I1014" s="32" t="s">
        <v>473</v>
      </c>
      <c r="J1014" s="26">
        <v>1054</v>
      </c>
      <c r="K1014" s="7"/>
    </row>
    <row r="1015" spans="1:11" x14ac:dyDescent="0.2">
      <c r="A1015" s="7">
        <v>1068</v>
      </c>
      <c r="B1015" s="7">
        <v>91</v>
      </c>
      <c r="C1015" s="1" t="str">
        <f t="shared" si="324"/>
        <v>EL MONTE</v>
      </c>
      <c r="D1015" s="7" t="s">
        <v>133</v>
      </c>
      <c r="E1015" s="1" t="str">
        <f t="shared" si="323"/>
        <v>FRONTERA</v>
      </c>
      <c r="F1015" s="7">
        <v>1</v>
      </c>
      <c r="G1015" s="7" t="s">
        <v>477</v>
      </c>
      <c r="H1015" s="7" t="s">
        <v>149</v>
      </c>
      <c r="I1015" s="30" t="s">
        <v>149</v>
      </c>
      <c r="J1015" s="7">
        <v>1068</v>
      </c>
      <c r="K1015" s="7"/>
    </row>
    <row r="1016" spans="1:11" x14ac:dyDescent="0.2">
      <c r="A1016" s="7">
        <v>1069</v>
      </c>
      <c r="B1016" s="7">
        <v>91</v>
      </c>
      <c r="C1016" s="1" t="str">
        <f t="shared" si="324"/>
        <v>EL MONTE</v>
      </c>
      <c r="D1016" s="7" t="s">
        <v>133</v>
      </c>
      <c r="E1016" s="1" t="str">
        <f t="shared" si="323"/>
        <v>FRONTERA</v>
      </c>
      <c r="F1016" s="7">
        <v>2</v>
      </c>
      <c r="G1016" s="7" t="s">
        <v>477</v>
      </c>
      <c r="H1016" s="7" t="s">
        <v>149</v>
      </c>
      <c r="I1016" s="30" t="s">
        <v>149</v>
      </c>
      <c r="J1016" s="7">
        <v>1069</v>
      </c>
      <c r="K1016" s="7"/>
    </row>
    <row r="1017" spans="1:11" x14ac:dyDescent="0.2">
      <c r="A1017" s="7">
        <v>1070</v>
      </c>
      <c r="B1017" s="7">
        <v>91</v>
      </c>
      <c r="C1017" s="1" t="str">
        <f t="shared" si="324"/>
        <v>EL MONTE</v>
      </c>
      <c r="D1017" s="7" t="s">
        <v>133</v>
      </c>
      <c r="E1017" s="1" t="str">
        <f t="shared" si="323"/>
        <v>FRONTERA</v>
      </c>
      <c r="F1017" s="7">
        <v>2</v>
      </c>
      <c r="G1017" s="7" t="s">
        <v>477</v>
      </c>
      <c r="H1017" s="35" t="s">
        <v>473</v>
      </c>
      <c r="I1017" s="32" t="s">
        <v>473</v>
      </c>
      <c r="J1017" s="26">
        <v>1070</v>
      </c>
      <c r="K1017" s="7"/>
    </row>
    <row r="1018" spans="1:11" x14ac:dyDescent="0.2">
      <c r="A1018" s="7">
        <v>983</v>
      </c>
      <c r="B1018" s="7">
        <v>92</v>
      </c>
      <c r="C1018" s="1" t="str">
        <f t="shared" si="324"/>
        <v>EL CANAL</v>
      </c>
      <c r="D1018" s="7" t="s">
        <v>133</v>
      </c>
      <c r="E1018" s="35" t="str">
        <f t="shared" ref="E1018:E1029" si="325">IF(B1018=92,"FRONTERA",IF(B1018=93.1,"VICTOR",IF(B1018=93.2,"CAMINO REAL",IF(B1018=94.1,"FRONTERA",IF(B1018=94.2,"CAMINO REAL",IF(B1018=94.3,"FRONTERA",IF(B1018=95.1,"CAMINO REAL",IF(B1018=95.2,"CAMINO REAL",IF(B1018=96,"FESTIVAL",IF(B1018=97,"CAMINO REAL",IF(B1018=98,"CAMINO REAL",IF(B1018=99,"CAMINO REAL",IF(B1018=100,"CAMINO REAL",IF(B1018=101,"CAMINO REAL",IF(B1018=102,"CAMINO REAL",IF(B1018=103,"CAMINO REAL",IF(B1018=104,"CAMINO REAL",IF(B1018=105,"CAMINO REAL",IF(B1018=106.1,"CAMINO REAL",IF(B1018=106.2,"FESTIVAL",IF(B1018=107,"CAMINO REAL",IF(B1018=108,"CAMINO REAL",IF(B1018=109,"CAMINO REAL",IF(B1018=110,"CAMINO REAL"))))))))))))))))))))))))</f>
        <v>FRONTERA</v>
      </c>
      <c r="F1018" s="7">
        <v>1</v>
      </c>
      <c r="G1018" s="7" t="s">
        <v>477</v>
      </c>
      <c r="H1018" s="35" t="s">
        <v>149</v>
      </c>
      <c r="I1018" s="30" t="s">
        <v>149</v>
      </c>
      <c r="J1018" s="7">
        <v>983</v>
      </c>
      <c r="K1018" s="7"/>
    </row>
    <row r="1019" spans="1:11" x14ac:dyDescent="0.2">
      <c r="A1019" s="7">
        <v>1117</v>
      </c>
      <c r="B1019" s="7">
        <v>92</v>
      </c>
      <c r="C1019" s="1" t="str">
        <f t="shared" si="324"/>
        <v>EL CANAL</v>
      </c>
      <c r="D1019" s="7" t="s">
        <v>133</v>
      </c>
      <c r="E1019" s="35" t="str">
        <f t="shared" si="325"/>
        <v>FRONTERA</v>
      </c>
      <c r="F1019" s="7">
        <v>1</v>
      </c>
      <c r="G1019" s="7" t="s">
        <v>477</v>
      </c>
      <c r="H1019" s="7" t="s">
        <v>149</v>
      </c>
      <c r="I1019" s="30" t="s">
        <v>149</v>
      </c>
      <c r="J1019" s="7">
        <v>1117</v>
      </c>
      <c r="K1019" s="7"/>
    </row>
    <row r="1020" spans="1:11" x14ac:dyDescent="0.2">
      <c r="A1020" s="7">
        <v>1118</v>
      </c>
      <c r="B1020" s="7">
        <v>92</v>
      </c>
      <c r="C1020" s="1" t="str">
        <f t="shared" si="324"/>
        <v>EL CANAL</v>
      </c>
      <c r="D1020" s="7" t="s">
        <v>133</v>
      </c>
      <c r="E1020" s="35" t="str">
        <f t="shared" si="325"/>
        <v>FRONTERA</v>
      </c>
      <c r="F1020" s="7">
        <v>1</v>
      </c>
      <c r="G1020" s="7" t="s">
        <v>477</v>
      </c>
      <c r="H1020" s="35" t="s">
        <v>473</v>
      </c>
      <c r="I1020" s="32" t="s">
        <v>473</v>
      </c>
      <c r="J1020" s="26">
        <v>1118</v>
      </c>
      <c r="K1020" s="7"/>
    </row>
    <row r="1021" spans="1:11" x14ac:dyDescent="0.2">
      <c r="A1021" s="7">
        <v>976</v>
      </c>
      <c r="B1021" s="7">
        <v>93.1</v>
      </c>
      <c r="C1021" s="1" t="str">
        <f t="shared" si="324"/>
        <v>JUAREZ 1</v>
      </c>
      <c r="D1021" s="7" t="s">
        <v>133</v>
      </c>
      <c r="E1021" s="35" t="str">
        <f t="shared" si="325"/>
        <v>VICTOR</v>
      </c>
      <c r="F1021" s="7">
        <v>1</v>
      </c>
      <c r="G1021" s="7" t="s">
        <v>476</v>
      </c>
      <c r="H1021" s="35" t="s">
        <v>473</v>
      </c>
      <c r="I1021" s="32" t="s">
        <v>473</v>
      </c>
      <c r="J1021" s="26">
        <v>976</v>
      </c>
      <c r="K1021" s="7"/>
    </row>
    <row r="1022" spans="1:11" x14ac:dyDescent="0.2">
      <c r="A1022" s="7">
        <v>977</v>
      </c>
      <c r="B1022" s="7">
        <v>93.1</v>
      </c>
      <c r="C1022" s="1" t="str">
        <f t="shared" si="324"/>
        <v>JUAREZ 1</v>
      </c>
      <c r="D1022" s="7" t="s">
        <v>133</v>
      </c>
      <c r="E1022" s="35" t="str">
        <f t="shared" si="325"/>
        <v>VICTOR</v>
      </c>
      <c r="F1022" s="7">
        <v>1</v>
      </c>
      <c r="G1022" s="7" t="s">
        <v>476</v>
      </c>
      <c r="H1022" s="35" t="s">
        <v>475</v>
      </c>
      <c r="I1022" s="30" t="s">
        <v>475</v>
      </c>
      <c r="J1022" s="7">
        <v>977</v>
      </c>
      <c r="K1022" s="7"/>
    </row>
    <row r="1023" spans="1:11" x14ac:dyDescent="0.2">
      <c r="A1023" s="7">
        <v>978</v>
      </c>
      <c r="B1023" s="7">
        <v>93.1</v>
      </c>
      <c r="C1023" s="1" t="str">
        <f t="shared" si="324"/>
        <v>JUAREZ 1</v>
      </c>
      <c r="D1023" s="7" t="s">
        <v>133</v>
      </c>
      <c r="E1023" s="35" t="str">
        <f t="shared" si="325"/>
        <v>VICTOR</v>
      </c>
      <c r="F1023" s="7">
        <v>2</v>
      </c>
      <c r="G1023" s="7" t="s">
        <v>476</v>
      </c>
      <c r="H1023" s="35" t="s">
        <v>475</v>
      </c>
      <c r="I1023" s="30" t="s">
        <v>475</v>
      </c>
      <c r="J1023" s="7">
        <v>978</v>
      </c>
      <c r="K1023" s="7"/>
    </row>
    <row r="1024" spans="1:11" x14ac:dyDescent="0.2">
      <c r="A1024" s="7">
        <v>979</v>
      </c>
      <c r="B1024" s="7">
        <v>93.1</v>
      </c>
      <c r="C1024" s="1" t="str">
        <f t="shared" si="324"/>
        <v>JUAREZ 1</v>
      </c>
      <c r="D1024" s="7" t="s">
        <v>133</v>
      </c>
      <c r="E1024" s="35" t="str">
        <f t="shared" si="325"/>
        <v>VICTOR</v>
      </c>
      <c r="F1024" s="7">
        <v>2</v>
      </c>
      <c r="G1024" s="7" t="s">
        <v>476</v>
      </c>
      <c r="H1024" s="7" t="s">
        <v>475</v>
      </c>
      <c r="I1024" s="30" t="s">
        <v>475</v>
      </c>
      <c r="J1024" s="7">
        <v>979</v>
      </c>
      <c r="K1024" s="7"/>
    </row>
    <row r="1025" spans="1:11" x14ac:dyDescent="0.2">
      <c r="A1025" s="7">
        <v>980</v>
      </c>
      <c r="B1025" s="7">
        <v>93.1</v>
      </c>
      <c r="C1025" s="1" t="str">
        <f t="shared" ref="C1025:C1029" si="326">IF(B1025=74.2,"EL CEREZO 2",IF(B1025=75,"APEO",IF(B1025=76.1,"CHULAFARM 1",IF(B1025=76.2,"CHULAFARM 2",IF(B1025=76.3,"CHULAFARM 3",IF(B1025=77,"LA NOPALERA",IF(B1025=78,"SIGLO XX1",IF(B1025=79,"PURISIMA COVARUBIAS 1",IF(B1025=80,"EL BAJIO",IF(B1025=81,"PURISIMA COVARUBIAS 2",IF(B1025=82,"LA LOMA",IF(B1025=83,"PURISIMA DE COVARUBIAS 3",IF(B1025=84,"CELESTINA HONESTO",IF(B1025=85,"SALVADOR YEPEZ CRUZ",IF(B1025=86,"CAMINO A LA SIERRITA",IF(B1025=87,"LA ARENA",IF(B1025=88,"EL POZO",IF(B1025=89,"EL CERRO",IF(B1025=90,"MIGUEL AZA MARTINEZ",IF(B1025=91,"EL MONTE",IF(B1025=92,"EL CANAL",IF(B1025=93.1,"JUAREZ 1"))))))))))))))))))))))</f>
        <v>JUAREZ 1</v>
      </c>
      <c r="D1025" s="7" t="s">
        <v>133</v>
      </c>
      <c r="E1025" s="35" t="str">
        <f t="shared" si="325"/>
        <v>VICTOR</v>
      </c>
      <c r="F1025" s="7">
        <v>2</v>
      </c>
      <c r="G1025" s="7" t="s">
        <v>476</v>
      </c>
      <c r="H1025" s="7" t="s">
        <v>475</v>
      </c>
      <c r="I1025" s="30" t="s">
        <v>475</v>
      </c>
      <c r="J1025" s="7">
        <v>980</v>
      </c>
      <c r="K1025" s="7"/>
    </row>
    <row r="1026" spans="1:11" x14ac:dyDescent="0.2">
      <c r="A1026" s="7">
        <v>981</v>
      </c>
      <c r="B1026" s="7">
        <v>93.1</v>
      </c>
      <c r="C1026" s="1" t="str">
        <f t="shared" si="326"/>
        <v>JUAREZ 1</v>
      </c>
      <c r="D1026" s="7" t="s">
        <v>133</v>
      </c>
      <c r="E1026" s="35" t="str">
        <f t="shared" si="325"/>
        <v>VICTOR</v>
      </c>
      <c r="F1026" s="7">
        <v>1</v>
      </c>
      <c r="G1026" s="7" t="s">
        <v>477</v>
      </c>
      <c r="H1026" s="7" t="s">
        <v>473</v>
      </c>
      <c r="I1026" s="32" t="s">
        <v>473</v>
      </c>
      <c r="J1026" s="26">
        <v>981</v>
      </c>
      <c r="K1026" s="7"/>
    </row>
    <row r="1027" spans="1:11" x14ac:dyDescent="0.2">
      <c r="A1027" s="7">
        <v>982</v>
      </c>
      <c r="B1027" s="7">
        <v>93.1</v>
      </c>
      <c r="C1027" s="1" t="str">
        <f t="shared" si="326"/>
        <v>JUAREZ 1</v>
      </c>
      <c r="D1027" s="7" t="s">
        <v>133</v>
      </c>
      <c r="E1027" s="35" t="str">
        <f t="shared" si="325"/>
        <v>VICTOR</v>
      </c>
      <c r="F1027" s="7">
        <v>2</v>
      </c>
      <c r="G1027" s="7" t="s">
        <v>477</v>
      </c>
      <c r="H1027" s="7" t="s">
        <v>474</v>
      </c>
      <c r="I1027" s="33" t="s">
        <v>474</v>
      </c>
      <c r="J1027" s="9">
        <v>982</v>
      </c>
      <c r="K1027" s="7"/>
    </row>
    <row r="1028" spans="1:11" x14ac:dyDescent="0.2">
      <c r="A1028" s="7">
        <v>1071</v>
      </c>
      <c r="B1028" s="7">
        <v>93.1</v>
      </c>
      <c r="C1028" s="1" t="str">
        <f t="shared" si="326"/>
        <v>JUAREZ 1</v>
      </c>
      <c r="D1028" s="7" t="s">
        <v>133</v>
      </c>
      <c r="E1028" s="35" t="str">
        <f t="shared" si="325"/>
        <v>VICTOR</v>
      </c>
      <c r="F1028" s="7">
        <v>1</v>
      </c>
      <c r="G1028" s="7" t="s">
        <v>477</v>
      </c>
      <c r="H1028" s="7" t="s">
        <v>149</v>
      </c>
      <c r="I1028" s="30" t="s">
        <v>149</v>
      </c>
      <c r="J1028" s="7">
        <v>1071</v>
      </c>
      <c r="K1028" s="7"/>
    </row>
    <row r="1029" spans="1:11" x14ac:dyDescent="0.2">
      <c r="A1029" s="7">
        <v>1072</v>
      </c>
      <c r="B1029" s="7">
        <v>93.1</v>
      </c>
      <c r="C1029" s="1" t="str">
        <f t="shared" si="326"/>
        <v>JUAREZ 1</v>
      </c>
      <c r="D1029" s="7" t="s">
        <v>133</v>
      </c>
      <c r="E1029" s="35" t="str">
        <f t="shared" si="325"/>
        <v>VICTOR</v>
      </c>
      <c r="F1029" s="7">
        <v>2</v>
      </c>
      <c r="G1029" s="7" t="s">
        <v>477</v>
      </c>
      <c r="H1029" s="7" t="s">
        <v>474</v>
      </c>
      <c r="I1029" s="33" t="s">
        <v>474</v>
      </c>
      <c r="J1029" s="9">
        <v>1072</v>
      </c>
      <c r="K1029" s="7"/>
    </row>
    <row r="1030" spans="1:11" x14ac:dyDescent="0.2">
      <c r="A1030" s="7">
        <v>974</v>
      </c>
      <c r="B1030" s="7">
        <v>93.2</v>
      </c>
      <c r="C1030" s="1" t="str">
        <f t="shared" ref="C1030:C1061" si="327">IF(B1030=93.2,"JUAREZ 2",IF(B1030=94.1,"EL JARAL 1",IF(B1030=94.2,"EL JARAL 2",IF(B1030=94.3,"EL JARAL 3",IF(B1030=95.1,"CHUCANDIRO 1",IF(B1030=95.2,"CHUCANDIRO 2",IF(B1030=96,"EL ATORON",IF(B1030=97,"PRICILIANO MONCADA G",IF(B1030=98,"SANTA MARIA",IF(B1030=99,"LA CALERA 1",IF(B1030=100,"JOSE FRANCISCO SOTO",IF(B1030=101,"LA CALERA 2",IF(B1030=102,"LA CALERA 3",IF(B1030=103,"MOLINO DE SANTA ANA 1",IF(B1030=104,"SAN VICENTILLO",IF(B1030=105,"MOLINO DE SANTA ANA 2",IF(B1030=106.1,"LA PRESA 2",IF(B1030=106.2,"LA PRESA 1",IF(B1030=107,"LA PRESA 3",IF(B1030=108,"MOLINO LOS AGUACATES",IF(B1030=109,"EL SILO",IF(B1030=110,"ALDAMA"))))))))))))))))))))))</f>
        <v>JUAREZ 2</v>
      </c>
      <c r="D1030" s="7" t="s">
        <v>133</v>
      </c>
      <c r="E1030" s="1" t="s">
        <v>126</v>
      </c>
      <c r="F1030" s="7">
        <v>2</v>
      </c>
      <c r="G1030" s="7" t="s">
        <v>476</v>
      </c>
      <c r="H1030" s="7" t="s">
        <v>475</v>
      </c>
      <c r="I1030" s="34" t="s">
        <v>475</v>
      </c>
      <c r="J1030" s="7">
        <v>974</v>
      </c>
      <c r="K1030" s="7"/>
    </row>
    <row r="1031" spans="1:11" x14ac:dyDescent="0.2">
      <c r="A1031" s="7">
        <v>975</v>
      </c>
      <c r="B1031" s="7">
        <v>93.2</v>
      </c>
      <c r="C1031" s="1" t="str">
        <f t="shared" si="327"/>
        <v>JUAREZ 2</v>
      </c>
      <c r="D1031" s="7" t="s">
        <v>133</v>
      </c>
      <c r="E1031" s="1" t="s">
        <v>126</v>
      </c>
      <c r="F1031" s="7">
        <v>1</v>
      </c>
      <c r="G1031" s="7" t="s">
        <v>477</v>
      </c>
      <c r="H1031" s="7" t="s">
        <v>473</v>
      </c>
      <c r="I1031" s="32" t="s">
        <v>473</v>
      </c>
      <c r="J1031" s="26">
        <v>975</v>
      </c>
      <c r="K1031" s="7"/>
    </row>
    <row r="1032" spans="1:11" x14ac:dyDescent="0.2">
      <c r="A1032" s="7">
        <v>1026</v>
      </c>
      <c r="B1032" s="7">
        <v>93.2</v>
      </c>
      <c r="C1032" s="1" t="str">
        <f t="shared" si="327"/>
        <v>JUAREZ 2</v>
      </c>
      <c r="D1032" s="7" t="s">
        <v>133</v>
      </c>
      <c r="E1032" s="45" t="s">
        <v>126</v>
      </c>
      <c r="F1032" s="7">
        <v>1</v>
      </c>
      <c r="G1032" s="7" t="s">
        <v>476</v>
      </c>
      <c r="H1032" s="7" t="s">
        <v>471</v>
      </c>
      <c r="I1032" s="30" t="s">
        <v>471</v>
      </c>
      <c r="J1032" s="7">
        <v>1026</v>
      </c>
      <c r="K1032" s="28"/>
    </row>
    <row r="1033" spans="1:11" x14ac:dyDescent="0.2">
      <c r="A1033" s="7">
        <v>1051</v>
      </c>
      <c r="B1033" s="7">
        <v>93.2</v>
      </c>
      <c r="C1033" s="1" t="str">
        <f t="shared" si="327"/>
        <v>JUAREZ 2</v>
      </c>
      <c r="D1033" s="7" t="s">
        <v>133</v>
      </c>
      <c r="E1033" s="45" t="s">
        <v>126</v>
      </c>
      <c r="F1033" s="7">
        <v>2</v>
      </c>
      <c r="G1033" s="7" t="s">
        <v>477</v>
      </c>
      <c r="H1033" s="7" t="s">
        <v>474</v>
      </c>
      <c r="I1033" s="33" t="s">
        <v>474</v>
      </c>
      <c r="J1033" s="15">
        <v>1051</v>
      </c>
      <c r="K1033" s="7"/>
    </row>
    <row r="1034" spans="1:11" x14ac:dyDescent="0.2">
      <c r="A1034" s="7">
        <v>1055</v>
      </c>
      <c r="B1034" s="7">
        <v>93.2</v>
      </c>
      <c r="C1034" s="1" t="str">
        <f t="shared" si="327"/>
        <v>JUAREZ 2</v>
      </c>
      <c r="D1034" s="7" t="s">
        <v>133</v>
      </c>
      <c r="E1034" s="45" t="s">
        <v>126</v>
      </c>
      <c r="F1034" s="7">
        <v>2</v>
      </c>
      <c r="G1034" s="7" t="s">
        <v>477</v>
      </c>
      <c r="H1034" s="7" t="s">
        <v>149</v>
      </c>
      <c r="I1034" s="7" t="s">
        <v>149</v>
      </c>
      <c r="J1034" s="7">
        <v>1055</v>
      </c>
      <c r="K1034" s="7"/>
    </row>
    <row r="1035" spans="1:11" x14ac:dyDescent="0.2">
      <c r="A1035" s="7">
        <v>1073</v>
      </c>
      <c r="B1035" s="7">
        <v>93.2</v>
      </c>
      <c r="C1035" s="1" t="str">
        <f t="shared" si="327"/>
        <v>JUAREZ 2</v>
      </c>
      <c r="D1035" s="7" t="s">
        <v>133</v>
      </c>
      <c r="E1035" s="45" t="s">
        <v>126</v>
      </c>
      <c r="F1035" s="7">
        <v>1</v>
      </c>
      <c r="G1035" s="7" t="s">
        <v>477</v>
      </c>
      <c r="H1035" s="7" t="s">
        <v>474</v>
      </c>
      <c r="I1035" s="9" t="s">
        <v>474</v>
      </c>
      <c r="J1035" s="9">
        <v>1073</v>
      </c>
      <c r="K1035" s="7"/>
    </row>
    <row r="1036" spans="1:11" x14ac:dyDescent="0.2">
      <c r="A1036" s="7">
        <v>967</v>
      </c>
      <c r="B1036" s="7">
        <v>94.1</v>
      </c>
      <c r="C1036" s="1" t="str">
        <f t="shared" si="327"/>
        <v>EL JARAL 1</v>
      </c>
      <c r="D1036" s="7" t="s">
        <v>133</v>
      </c>
      <c r="E1036" s="7" t="str">
        <f t="shared" ref="E1036:E1046" si="328">IF(B1036=92,"FRONTERA",IF(B1036=93.1,"VICTOR",IF(B1036=93.2,"CAMINO REAL",IF(B1036=94.1,"FRONTERA",IF(B1036=94.2,"CAMINO REAL",IF(B1036=94.3,"FRONTERA",IF(B1036=95.1,"CAMINO REAL",IF(B1036=95.2,"CAMINO REAL",IF(B1036=96,"FESTIVAL",IF(B1036=97,"CAMINO REAL",IF(B1036=98,"CAMINO REAL",IF(B1036=99,"CAMINO REAL",IF(B1036=100,"CAMINO REAL",IF(B1036=101,"CAMINO REAL",IF(B1036=102,"CAMINO REAL",IF(B1036=103,"CAMINO REAL",IF(B1036=104,"CAMINO REAL",IF(B1036=105,"CAMINO REAL",IF(B1036=106.1,"CAMINO REAL",IF(B1036=106.2,"FESTIVAL",IF(B1036=107,"CAMINO REAL",IF(B1036=108,"CAMINO REAL",IF(B1036=109,"CAMINO REAL",IF(B1036=110,"CAMINO REAL"))))))))))))))))))))))))</f>
        <v>FRONTERA</v>
      </c>
      <c r="F1036" s="7">
        <v>1</v>
      </c>
      <c r="G1036" s="7" t="s">
        <v>476</v>
      </c>
      <c r="H1036" s="7" t="s">
        <v>474</v>
      </c>
      <c r="I1036" s="20" t="s">
        <v>474</v>
      </c>
      <c r="J1036" s="7">
        <v>967</v>
      </c>
      <c r="K1036" s="7"/>
    </row>
    <row r="1037" spans="1:11" x14ac:dyDescent="0.2">
      <c r="A1037" s="7">
        <v>968</v>
      </c>
      <c r="B1037" s="7">
        <v>94.1</v>
      </c>
      <c r="C1037" s="1" t="str">
        <f t="shared" si="327"/>
        <v>EL JARAL 1</v>
      </c>
      <c r="D1037" s="7" t="s">
        <v>133</v>
      </c>
      <c r="E1037" s="7" t="str">
        <f t="shared" si="328"/>
        <v>FRONTERA</v>
      </c>
      <c r="F1037" s="7">
        <v>1</v>
      </c>
      <c r="G1037" s="7" t="s">
        <v>476</v>
      </c>
      <c r="H1037" s="7" t="s">
        <v>149</v>
      </c>
      <c r="I1037" s="20" t="s">
        <v>149</v>
      </c>
      <c r="J1037" s="7">
        <v>968</v>
      </c>
      <c r="K1037" s="7"/>
    </row>
    <row r="1038" spans="1:11" x14ac:dyDescent="0.2">
      <c r="A1038" s="7">
        <v>969</v>
      </c>
      <c r="B1038" s="7">
        <v>94.1</v>
      </c>
      <c r="C1038" s="1" t="str">
        <f t="shared" si="327"/>
        <v>EL JARAL 1</v>
      </c>
      <c r="D1038" s="7" t="s">
        <v>133</v>
      </c>
      <c r="E1038" s="7" t="str">
        <f t="shared" si="328"/>
        <v>FRONTERA</v>
      </c>
      <c r="F1038" s="7">
        <v>1</v>
      </c>
      <c r="G1038" s="7" t="s">
        <v>477</v>
      </c>
      <c r="H1038" s="7" t="s">
        <v>474</v>
      </c>
      <c r="I1038" s="9" t="s">
        <v>474</v>
      </c>
      <c r="J1038" s="9">
        <v>969</v>
      </c>
      <c r="K1038" s="7"/>
    </row>
    <row r="1039" spans="1:11" x14ac:dyDescent="0.2">
      <c r="A1039" s="7">
        <v>970</v>
      </c>
      <c r="B1039" s="7">
        <v>94.1</v>
      </c>
      <c r="C1039" s="1" t="str">
        <f t="shared" si="327"/>
        <v>EL JARAL 1</v>
      </c>
      <c r="D1039" s="7" t="s">
        <v>133</v>
      </c>
      <c r="E1039" s="7" t="str">
        <f t="shared" si="328"/>
        <v>FRONTERA</v>
      </c>
      <c r="F1039" s="7">
        <v>1</v>
      </c>
      <c r="G1039" s="7" t="s">
        <v>477</v>
      </c>
      <c r="H1039" s="7" t="s">
        <v>474</v>
      </c>
      <c r="I1039" s="9" t="s">
        <v>474</v>
      </c>
      <c r="J1039" s="9">
        <v>970</v>
      </c>
      <c r="K1039" s="7"/>
    </row>
    <row r="1040" spans="1:11" x14ac:dyDescent="0.2">
      <c r="A1040" s="7">
        <v>971</v>
      </c>
      <c r="B1040" s="7">
        <v>94.1</v>
      </c>
      <c r="C1040" s="1" t="str">
        <f t="shared" si="327"/>
        <v>EL JARAL 1</v>
      </c>
      <c r="D1040" s="7" t="s">
        <v>133</v>
      </c>
      <c r="E1040" s="7" t="str">
        <f t="shared" si="328"/>
        <v>FRONTERA</v>
      </c>
      <c r="F1040" s="7">
        <v>2</v>
      </c>
      <c r="G1040" s="7" t="s">
        <v>477</v>
      </c>
      <c r="H1040" s="7" t="s">
        <v>473</v>
      </c>
      <c r="I1040" s="26" t="s">
        <v>473</v>
      </c>
      <c r="J1040" s="26">
        <v>971</v>
      </c>
      <c r="K1040" s="7"/>
    </row>
    <row r="1041" spans="1:11" x14ac:dyDescent="0.2">
      <c r="A1041" s="7">
        <v>972</v>
      </c>
      <c r="B1041" s="7">
        <v>94.1</v>
      </c>
      <c r="C1041" s="1" t="str">
        <f t="shared" si="327"/>
        <v>EL JARAL 1</v>
      </c>
      <c r="D1041" s="7" t="s">
        <v>133</v>
      </c>
      <c r="E1041" s="7" t="str">
        <f t="shared" si="328"/>
        <v>FRONTERA</v>
      </c>
      <c r="F1041" s="7">
        <v>2</v>
      </c>
      <c r="G1041" s="7" t="s">
        <v>477</v>
      </c>
      <c r="H1041" s="7" t="s">
        <v>471</v>
      </c>
      <c r="I1041" s="7" t="s">
        <v>471</v>
      </c>
      <c r="J1041" s="7">
        <v>972</v>
      </c>
      <c r="K1041" s="7"/>
    </row>
    <row r="1042" spans="1:11" x14ac:dyDescent="0.2">
      <c r="A1042" s="7">
        <v>973</v>
      </c>
      <c r="B1042" s="7">
        <v>94.1</v>
      </c>
      <c r="C1042" s="1" t="str">
        <f t="shared" si="327"/>
        <v>EL JARAL 1</v>
      </c>
      <c r="D1042" s="7" t="s">
        <v>133</v>
      </c>
      <c r="E1042" s="7" t="str">
        <f t="shared" si="328"/>
        <v>FRONTERA</v>
      </c>
      <c r="F1042" s="7">
        <v>2</v>
      </c>
      <c r="G1042" s="7" t="s">
        <v>477</v>
      </c>
      <c r="H1042" s="7" t="s">
        <v>155</v>
      </c>
      <c r="I1042" s="7" t="s">
        <v>155</v>
      </c>
      <c r="J1042" s="7">
        <v>973</v>
      </c>
      <c r="K1042" s="28" t="s">
        <v>638</v>
      </c>
    </row>
    <row r="1043" spans="1:11" x14ac:dyDescent="0.2">
      <c r="A1043" s="7">
        <v>1121</v>
      </c>
      <c r="B1043" s="7">
        <v>94.1</v>
      </c>
      <c r="C1043" s="1" t="str">
        <f t="shared" si="327"/>
        <v>EL JARAL 1</v>
      </c>
      <c r="D1043" s="7" t="s">
        <v>133</v>
      </c>
      <c r="E1043" s="7" t="str">
        <f t="shared" si="328"/>
        <v>FRONTERA</v>
      </c>
      <c r="F1043" s="7">
        <v>2</v>
      </c>
      <c r="G1043" s="7" t="s">
        <v>477</v>
      </c>
      <c r="H1043" s="7" t="s">
        <v>149</v>
      </c>
      <c r="I1043" s="7" t="s">
        <v>149</v>
      </c>
      <c r="J1043" s="7">
        <v>1121</v>
      </c>
      <c r="K1043" s="7"/>
    </row>
    <row r="1044" spans="1:11" x14ac:dyDescent="0.2">
      <c r="A1044" s="7">
        <v>1122</v>
      </c>
      <c r="B1044" s="7">
        <v>94.1</v>
      </c>
      <c r="C1044" s="1" t="str">
        <f t="shared" si="327"/>
        <v>EL JARAL 1</v>
      </c>
      <c r="D1044" s="7" t="s">
        <v>133</v>
      </c>
      <c r="E1044" s="35" t="str">
        <f t="shared" si="328"/>
        <v>FRONTERA</v>
      </c>
      <c r="F1044" s="7">
        <v>2</v>
      </c>
      <c r="G1044" s="7" t="s">
        <v>477</v>
      </c>
      <c r="H1044" s="7" t="s">
        <v>473</v>
      </c>
      <c r="I1044" s="26" t="s">
        <v>473</v>
      </c>
      <c r="J1044" s="26">
        <v>1122</v>
      </c>
      <c r="K1044" s="7"/>
    </row>
    <row r="1045" spans="1:11" x14ac:dyDescent="0.2">
      <c r="A1045" s="7">
        <v>1132</v>
      </c>
      <c r="B1045" s="7">
        <v>94.1</v>
      </c>
      <c r="C1045" s="1" t="str">
        <f t="shared" si="327"/>
        <v>EL JARAL 1</v>
      </c>
      <c r="D1045" s="7" t="s">
        <v>133</v>
      </c>
      <c r="E1045" s="35" t="str">
        <f t="shared" si="328"/>
        <v>FRONTERA</v>
      </c>
      <c r="F1045" s="7">
        <v>1</v>
      </c>
      <c r="G1045" s="7" t="s">
        <v>477</v>
      </c>
      <c r="H1045" s="7" t="s">
        <v>473</v>
      </c>
      <c r="I1045" s="26" t="s">
        <v>473</v>
      </c>
      <c r="J1045" s="26">
        <v>1132</v>
      </c>
      <c r="K1045" s="7"/>
    </row>
    <row r="1046" spans="1:11" x14ac:dyDescent="0.2">
      <c r="A1046" s="7">
        <v>1133</v>
      </c>
      <c r="B1046" s="7">
        <v>94.1</v>
      </c>
      <c r="C1046" s="1" t="str">
        <f t="shared" si="327"/>
        <v>EL JARAL 1</v>
      </c>
      <c r="D1046" s="7" t="s">
        <v>133</v>
      </c>
      <c r="E1046" s="35" t="str">
        <f t="shared" si="328"/>
        <v>FRONTERA</v>
      </c>
      <c r="F1046" s="7">
        <v>1</v>
      </c>
      <c r="G1046" s="7" t="s">
        <v>477</v>
      </c>
      <c r="H1046" s="7" t="s">
        <v>149</v>
      </c>
      <c r="I1046" s="7" t="s">
        <v>149</v>
      </c>
      <c r="J1046" s="7">
        <v>1133</v>
      </c>
      <c r="K1046" s="7"/>
    </row>
    <row r="1047" spans="1:11" x14ac:dyDescent="0.2">
      <c r="A1047" s="7">
        <v>959</v>
      </c>
      <c r="B1047" s="7">
        <v>94.2</v>
      </c>
      <c r="C1047" s="1" t="str">
        <f t="shared" si="327"/>
        <v>EL JARAL 2</v>
      </c>
      <c r="D1047" s="7" t="s">
        <v>133</v>
      </c>
      <c r="E1047" s="1" t="s">
        <v>126</v>
      </c>
      <c r="F1047" s="7">
        <v>1</v>
      </c>
      <c r="G1047" s="7" t="s">
        <v>476</v>
      </c>
      <c r="H1047" s="7" t="s">
        <v>155</v>
      </c>
      <c r="I1047" s="7" t="s">
        <v>155</v>
      </c>
      <c r="J1047" s="7">
        <v>959</v>
      </c>
      <c r="K1047" s="28" t="s">
        <v>638</v>
      </c>
    </row>
    <row r="1048" spans="1:11" x14ac:dyDescent="0.2">
      <c r="A1048" s="7">
        <v>960</v>
      </c>
      <c r="B1048" s="7">
        <v>94.2</v>
      </c>
      <c r="C1048" s="1" t="str">
        <f t="shared" si="327"/>
        <v>EL JARAL 2</v>
      </c>
      <c r="D1048" s="7" t="s">
        <v>133</v>
      </c>
      <c r="E1048" s="1" t="s">
        <v>126</v>
      </c>
      <c r="F1048" s="7">
        <v>1</v>
      </c>
      <c r="G1048" s="7" t="s">
        <v>476</v>
      </c>
      <c r="H1048" s="7" t="s">
        <v>155</v>
      </c>
      <c r="I1048" s="7" t="s">
        <v>155</v>
      </c>
      <c r="J1048" s="7">
        <v>960</v>
      </c>
      <c r="K1048" s="7"/>
    </row>
    <row r="1049" spans="1:11" x14ac:dyDescent="0.2">
      <c r="A1049" s="7">
        <v>961</v>
      </c>
      <c r="B1049" s="7">
        <v>94.2</v>
      </c>
      <c r="C1049" s="1" t="str">
        <f t="shared" si="327"/>
        <v>EL JARAL 2</v>
      </c>
      <c r="D1049" s="7" t="s">
        <v>133</v>
      </c>
      <c r="E1049" s="1" t="s">
        <v>126</v>
      </c>
      <c r="F1049" s="7">
        <v>2</v>
      </c>
      <c r="G1049" s="7" t="s">
        <v>476</v>
      </c>
      <c r="H1049" s="7" t="s">
        <v>149</v>
      </c>
      <c r="I1049" s="7" t="s">
        <v>149</v>
      </c>
      <c r="J1049" s="7">
        <v>961</v>
      </c>
      <c r="K1049" s="7"/>
    </row>
    <row r="1050" spans="1:11" x14ac:dyDescent="0.2">
      <c r="A1050" s="7">
        <v>962</v>
      </c>
      <c r="B1050" s="7">
        <v>94.2</v>
      </c>
      <c r="C1050" s="1" t="str">
        <f t="shared" si="327"/>
        <v>EL JARAL 2</v>
      </c>
      <c r="D1050" s="7" t="s">
        <v>133</v>
      </c>
      <c r="E1050" s="1" t="s">
        <v>126</v>
      </c>
      <c r="F1050" s="7">
        <v>2</v>
      </c>
      <c r="G1050" s="7" t="s">
        <v>476</v>
      </c>
      <c r="H1050" s="7" t="s">
        <v>155</v>
      </c>
      <c r="I1050" s="7" t="s">
        <v>155</v>
      </c>
      <c r="J1050" s="7">
        <v>962</v>
      </c>
      <c r="K1050" s="7"/>
    </row>
    <row r="1051" spans="1:11" x14ac:dyDescent="0.2">
      <c r="A1051" s="7">
        <v>963</v>
      </c>
      <c r="B1051" s="7">
        <v>94.2</v>
      </c>
      <c r="C1051" s="1" t="str">
        <f t="shared" si="327"/>
        <v>EL JARAL 2</v>
      </c>
      <c r="D1051" s="7" t="s">
        <v>133</v>
      </c>
      <c r="E1051" s="1" t="s">
        <v>126</v>
      </c>
      <c r="F1051" s="7">
        <v>1</v>
      </c>
      <c r="G1051" s="7" t="s">
        <v>477</v>
      </c>
      <c r="H1051" s="7" t="s">
        <v>471</v>
      </c>
      <c r="I1051" s="7" t="s">
        <v>471</v>
      </c>
      <c r="J1051" s="7">
        <v>963</v>
      </c>
      <c r="K1051" s="28"/>
    </row>
    <row r="1052" spans="1:11" x14ac:dyDescent="0.2">
      <c r="A1052" s="7">
        <v>964</v>
      </c>
      <c r="B1052" s="7">
        <v>94.2</v>
      </c>
      <c r="C1052" s="1" t="str">
        <f t="shared" si="327"/>
        <v>EL JARAL 2</v>
      </c>
      <c r="D1052" s="7" t="s">
        <v>133</v>
      </c>
      <c r="E1052" s="1" t="s">
        <v>126</v>
      </c>
      <c r="F1052" s="7">
        <v>1</v>
      </c>
      <c r="G1052" s="7" t="s">
        <v>477</v>
      </c>
      <c r="H1052" s="7" t="s">
        <v>475</v>
      </c>
      <c r="I1052" s="20" t="s">
        <v>475</v>
      </c>
      <c r="J1052" s="7">
        <v>964</v>
      </c>
      <c r="K1052" s="7"/>
    </row>
    <row r="1053" spans="1:11" x14ac:dyDescent="0.2">
      <c r="A1053" s="7">
        <v>965</v>
      </c>
      <c r="B1053" s="7">
        <v>94.2</v>
      </c>
      <c r="C1053" s="1" t="str">
        <f t="shared" si="327"/>
        <v>EL JARAL 2</v>
      </c>
      <c r="D1053" s="7" t="s">
        <v>133</v>
      </c>
      <c r="E1053" s="1" t="s">
        <v>126</v>
      </c>
      <c r="F1053" s="7">
        <v>1</v>
      </c>
      <c r="G1053" s="7" t="s">
        <v>477</v>
      </c>
      <c r="H1053" s="7" t="s">
        <v>155</v>
      </c>
      <c r="I1053" s="7" t="s">
        <v>155</v>
      </c>
      <c r="J1053" s="7">
        <v>965</v>
      </c>
      <c r="K1053" s="7"/>
    </row>
    <row r="1054" spans="1:11" x14ac:dyDescent="0.2">
      <c r="A1054" s="7">
        <v>966</v>
      </c>
      <c r="B1054" s="7">
        <v>94.2</v>
      </c>
      <c r="C1054" s="1" t="str">
        <f t="shared" si="327"/>
        <v>EL JARAL 2</v>
      </c>
      <c r="D1054" s="7" t="s">
        <v>133</v>
      </c>
      <c r="E1054" s="1" t="s">
        <v>126</v>
      </c>
      <c r="F1054" s="7">
        <v>2</v>
      </c>
      <c r="G1054" s="7" t="s">
        <v>477</v>
      </c>
      <c r="H1054" s="7" t="s">
        <v>473</v>
      </c>
      <c r="I1054" s="26" t="s">
        <v>473</v>
      </c>
      <c r="J1054" s="26">
        <v>966</v>
      </c>
      <c r="K1054" s="7"/>
    </row>
    <row r="1055" spans="1:11" x14ac:dyDescent="0.2">
      <c r="A1055" s="7">
        <v>1134</v>
      </c>
      <c r="B1055" s="7">
        <v>94.2</v>
      </c>
      <c r="C1055" s="1" t="str">
        <f t="shared" si="327"/>
        <v>EL JARAL 2</v>
      </c>
      <c r="D1055" s="7" t="s">
        <v>133</v>
      </c>
      <c r="E1055" s="1" t="s">
        <v>126</v>
      </c>
      <c r="F1055" s="7">
        <v>2</v>
      </c>
      <c r="G1055" s="7" t="s">
        <v>477</v>
      </c>
      <c r="H1055" s="7" t="s">
        <v>149</v>
      </c>
      <c r="I1055" s="7" t="s">
        <v>149</v>
      </c>
      <c r="J1055" s="7">
        <v>1134</v>
      </c>
      <c r="K1055" s="7"/>
    </row>
    <row r="1056" spans="1:11" x14ac:dyDescent="0.2">
      <c r="A1056" s="7">
        <v>1135</v>
      </c>
      <c r="B1056" s="7">
        <v>94.2</v>
      </c>
      <c r="C1056" s="1" t="str">
        <f t="shared" si="327"/>
        <v>EL JARAL 2</v>
      </c>
      <c r="D1056" s="7" t="s">
        <v>133</v>
      </c>
      <c r="E1056" s="1" t="s">
        <v>126</v>
      </c>
      <c r="F1056" s="7">
        <v>2</v>
      </c>
      <c r="G1056" s="7" t="s">
        <v>477</v>
      </c>
      <c r="H1056" s="7" t="s">
        <v>471</v>
      </c>
      <c r="I1056" s="7" t="s">
        <v>471</v>
      </c>
      <c r="J1056" s="7">
        <v>1135</v>
      </c>
      <c r="K1056" s="7"/>
    </row>
    <row r="1057" spans="1:11" x14ac:dyDescent="0.2">
      <c r="A1057" s="7">
        <v>1136</v>
      </c>
      <c r="B1057" s="7">
        <v>94.2</v>
      </c>
      <c r="C1057" s="1" t="str">
        <f t="shared" si="327"/>
        <v>EL JARAL 2</v>
      </c>
      <c r="D1057" s="7" t="s">
        <v>133</v>
      </c>
      <c r="E1057" s="1" t="s">
        <v>126</v>
      </c>
      <c r="F1057" s="7">
        <v>1</v>
      </c>
      <c r="G1057" s="7" t="s">
        <v>477</v>
      </c>
      <c r="H1057" s="7" t="s">
        <v>149</v>
      </c>
      <c r="I1057" s="7" t="s">
        <v>149</v>
      </c>
      <c r="J1057" s="7">
        <v>1136</v>
      </c>
      <c r="K1057" s="7"/>
    </row>
    <row r="1058" spans="1:11" x14ac:dyDescent="0.2">
      <c r="A1058" s="7">
        <v>955</v>
      </c>
      <c r="B1058" s="7">
        <v>95.1</v>
      </c>
      <c r="C1058" s="1" t="str">
        <f t="shared" si="327"/>
        <v>CHUCANDIRO 1</v>
      </c>
      <c r="D1058" s="7" t="s">
        <v>133</v>
      </c>
      <c r="E1058" s="1" t="s">
        <v>126</v>
      </c>
      <c r="F1058" s="7">
        <v>1</v>
      </c>
      <c r="G1058" s="7" t="s">
        <v>476</v>
      </c>
      <c r="H1058" s="7" t="s">
        <v>155</v>
      </c>
      <c r="I1058" s="7" t="s">
        <v>155</v>
      </c>
      <c r="J1058" s="7">
        <v>955</v>
      </c>
      <c r="K1058" s="28" t="s">
        <v>638</v>
      </c>
    </row>
    <row r="1059" spans="1:11" x14ac:dyDescent="0.2">
      <c r="A1059" s="7">
        <v>956</v>
      </c>
      <c r="B1059" s="7">
        <v>95.1</v>
      </c>
      <c r="C1059" s="1" t="str">
        <f t="shared" si="327"/>
        <v>CHUCANDIRO 1</v>
      </c>
      <c r="D1059" s="7" t="s">
        <v>133</v>
      </c>
      <c r="E1059" s="45" t="s">
        <v>126</v>
      </c>
      <c r="F1059" s="7">
        <v>1</v>
      </c>
      <c r="G1059" s="7" t="s">
        <v>477</v>
      </c>
      <c r="H1059" s="7" t="s">
        <v>149</v>
      </c>
      <c r="I1059" s="7" t="s">
        <v>149</v>
      </c>
      <c r="J1059" s="7">
        <v>956</v>
      </c>
      <c r="K1059" s="7"/>
    </row>
    <row r="1060" spans="1:11" x14ac:dyDescent="0.2">
      <c r="A1060" s="7">
        <v>957</v>
      </c>
      <c r="B1060" s="7">
        <v>95.1</v>
      </c>
      <c r="C1060" s="1" t="str">
        <f t="shared" si="327"/>
        <v>CHUCANDIRO 1</v>
      </c>
      <c r="D1060" s="7" t="s">
        <v>133</v>
      </c>
      <c r="E1060" s="1" t="s">
        <v>126</v>
      </c>
      <c r="F1060" s="7">
        <v>2</v>
      </c>
      <c r="G1060" s="7" t="s">
        <v>477</v>
      </c>
      <c r="H1060" s="7" t="s">
        <v>155</v>
      </c>
      <c r="I1060" s="7" t="s">
        <v>155</v>
      </c>
      <c r="J1060" s="7">
        <v>957</v>
      </c>
      <c r="K1060" s="7"/>
    </row>
    <row r="1061" spans="1:11" x14ac:dyDescent="0.2">
      <c r="A1061" s="7">
        <v>958</v>
      </c>
      <c r="B1061" s="7">
        <v>95.1</v>
      </c>
      <c r="C1061" s="1" t="str">
        <f t="shared" si="327"/>
        <v>CHUCANDIRO 1</v>
      </c>
      <c r="D1061" s="7" t="s">
        <v>133</v>
      </c>
      <c r="E1061" s="1" t="s">
        <v>126</v>
      </c>
      <c r="F1061" s="7">
        <v>2</v>
      </c>
      <c r="G1061" s="7" t="s">
        <v>477</v>
      </c>
      <c r="H1061" s="7" t="s">
        <v>149</v>
      </c>
      <c r="I1061" s="7" t="s">
        <v>149</v>
      </c>
      <c r="J1061" s="7">
        <v>958</v>
      </c>
      <c r="K1061" s="7"/>
    </row>
    <row r="1062" spans="1:11" x14ac:dyDescent="0.2">
      <c r="A1062" s="7">
        <v>1123</v>
      </c>
      <c r="B1062" s="7">
        <v>95.1</v>
      </c>
      <c r="C1062" s="1" t="str">
        <f t="shared" ref="C1062:C1093" si="329">IF(B1062=93.2,"JUAREZ 2",IF(B1062=94.1,"EL JARAL 1",IF(B1062=94.2,"EL JARAL 2",IF(B1062=94.3,"EL JARAL 3",IF(B1062=95.1,"CHUCANDIRO 1",IF(B1062=95.2,"CHUCANDIRO 2",IF(B1062=96,"EL ATORON",IF(B1062=97,"PRICILIANO MONCADA G",IF(B1062=98,"SANTA MARIA",IF(B1062=99,"LA CALERA 1",IF(B1062=100,"JOSE FRANCISCO SOTO",IF(B1062=101,"LA CALERA 2",IF(B1062=102,"LA CALERA 3",IF(B1062=103,"MOLINO DE SANTA ANA 1",IF(B1062=104,"SAN VICENTILLO",IF(B1062=105,"MOLINO DE SANTA ANA 2",IF(B1062=106.1,"LA PRESA 2",IF(B1062=106.2,"LA PRESA 1",IF(B1062=107,"LA PRESA 3",IF(B1062=108,"MOLINO LOS AGUACATES",IF(B1062=109,"EL SILO",IF(B1062=110,"ALDAMA"))))))))))))))))))))))</f>
        <v>CHUCANDIRO 1</v>
      </c>
      <c r="D1062" s="7" t="s">
        <v>133</v>
      </c>
      <c r="E1062" s="1" t="s">
        <v>126</v>
      </c>
      <c r="F1062" s="7">
        <v>1</v>
      </c>
      <c r="G1062" s="7" t="s">
        <v>477</v>
      </c>
      <c r="H1062" s="7" t="s">
        <v>149</v>
      </c>
      <c r="I1062" s="7" t="s">
        <v>149</v>
      </c>
      <c r="J1062" s="7">
        <v>1123</v>
      </c>
      <c r="K1062" s="7"/>
    </row>
    <row r="1063" spans="1:11" x14ac:dyDescent="0.2">
      <c r="A1063" s="7">
        <v>1125</v>
      </c>
      <c r="B1063" s="7">
        <v>95.1</v>
      </c>
      <c r="C1063" s="1" t="str">
        <f t="shared" si="329"/>
        <v>CHUCANDIRO 1</v>
      </c>
      <c r="D1063" s="7" t="s">
        <v>133</v>
      </c>
      <c r="E1063" s="1" t="s">
        <v>126</v>
      </c>
      <c r="F1063" s="7">
        <v>2</v>
      </c>
      <c r="G1063" s="7" t="s">
        <v>477</v>
      </c>
      <c r="H1063" s="7" t="s">
        <v>149</v>
      </c>
      <c r="I1063" s="7" t="s">
        <v>149</v>
      </c>
      <c r="J1063" s="7">
        <v>1125</v>
      </c>
      <c r="K1063" s="7"/>
    </row>
    <row r="1064" spans="1:11" x14ac:dyDescent="0.2">
      <c r="A1064" s="7">
        <v>1126</v>
      </c>
      <c r="B1064" s="7">
        <v>95.1</v>
      </c>
      <c r="C1064" s="1" t="str">
        <f t="shared" si="329"/>
        <v>CHUCANDIRO 1</v>
      </c>
      <c r="D1064" s="7" t="s">
        <v>133</v>
      </c>
      <c r="E1064" s="1" t="s">
        <v>126</v>
      </c>
      <c r="F1064" s="7">
        <v>2</v>
      </c>
      <c r="G1064" s="7" t="s">
        <v>477</v>
      </c>
      <c r="H1064" s="35" t="s">
        <v>473</v>
      </c>
      <c r="I1064" s="58" t="s">
        <v>473</v>
      </c>
      <c r="J1064" s="26">
        <v>1126</v>
      </c>
      <c r="K1064" s="7"/>
    </row>
    <row r="1065" spans="1:11" x14ac:dyDescent="0.2">
      <c r="A1065" s="7">
        <v>944</v>
      </c>
      <c r="B1065" s="7">
        <v>95.2</v>
      </c>
      <c r="C1065" s="1" t="str">
        <f t="shared" si="329"/>
        <v>CHUCANDIRO 2</v>
      </c>
      <c r="D1065" s="7" t="s">
        <v>133</v>
      </c>
      <c r="E1065" s="1" t="s">
        <v>126</v>
      </c>
      <c r="F1065" s="7">
        <v>1</v>
      </c>
      <c r="G1065" s="7" t="s">
        <v>476</v>
      </c>
      <c r="H1065" s="7" t="s">
        <v>155</v>
      </c>
      <c r="I1065" s="7" t="s">
        <v>155</v>
      </c>
      <c r="J1065" s="7">
        <v>944</v>
      </c>
      <c r="K1065" s="7"/>
    </row>
    <row r="1066" spans="1:11" x14ac:dyDescent="0.2">
      <c r="A1066" s="7">
        <v>945</v>
      </c>
      <c r="B1066" s="7">
        <v>95.2</v>
      </c>
      <c r="C1066" s="1" t="str">
        <f t="shared" si="329"/>
        <v>CHUCANDIRO 2</v>
      </c>
      <c r="D1066" s="7" t="s">
        <v>133</v>
      </c>
      <c r="E1066" s="1" t="s">
        <v>126</v>
      </c>
      <c r="F1066" s="7">
        <v>1</v>
      </c>
      <c r="G1066" s="7" t="s">
        <v>476</v>
      </c>
      <c r="H1066" s="7" t="s">
        <v>155</v>
      </c>
      <c r="I1066" s="7" t="s">
        <v>155</v>
      </c>
      <c r="J1066" s="7">
        <v>945</v>
      </c>
      <c r="K1066" s="7"/>
    </row>
    <row r="1067" spans="1:11" x14ac:dyDescent="0.2">
      <c r="A1067" s="7">
        <v>946</v>
      </c>
      <c r="B1067" s="7">
        <v>95.2</v>
      </c>
      <c r="C1067" s="1" t="str">
        <f t="shared" si="329"/>
        <v>CHUCANDIRO 2</v>
      </c>
      <c r="D1067" s="7" t="s">
        <v>133</v>
      </c>
      <c r="E1067" s="1" t="s">
        <v>126</v>
      </c>
      <c r="F1067" s="7">
        <v>1</v>
      </c>
      <c r="G1067" s="7" t="s">
        <v>476</v>
      </c>
      <c r="H1067" s="7" t="s">
        <v>155</v>
      </c>
      <c r="I1067" s="7" t="s">
        <v>155</v>
      </c>
      <c r="J1067" s="7">
        <v>946</v>
      </c>
      <c r="K1067" s="28" t="s">
        <v>638</v>
      </c>
    </row>
    <row r="1068" spans="1:11" x14ac:dyDescent="0.2">
      <c r="A1068" s="7">
        <v>947</v>
      </c>
      <c r="B1068" s="7">
        <v>95.2</v>
      </c>
      <c r="C1068" s="1" t="str">
        <f t="shared" si="329"/>
        <v>CHUCANDIRO 2</v>
      </c>
      <c r="D1068" s="7" t="s">
        <v>133</v>
      </c>
      <c r="E1068" s="1" t="s">
        <v>126</v>
      </c>
      <c r="F1068" s="7">
        <v>2</v>
      </c>
      <c r="G1068" s="7" t="s">
        <v>476</v>
      </c>
      <c r="H1068" s="7" t="s">
        <v>155</v>
      </c>
      <c r="I1068" s="7" t="s">
        <v>155</v>
      </c>
      <c r="J1068" s="7">
        <v>947</v>
      </c>
      <c r="K1068" s="28" t="s">
        <v>638</v>
      </c>
    </row>
    <row r="1069" spans="1:11" x14ac:dyDescent="0.2">
      <c r="A1069" s="7">
        <v>948</v>
      </c>
      <c r="B1069" s="7">
        <v>95.2</v>
      </c>
      <c r="C1069" s="1" t="str">
        <f t="shared" si="329"/>
        <v>CHUCANDIRO 2</v>
      </c>
      <c r="D1069" s="7" t="s">
        <v>133</v>
      </c>
      <c r="E1069" s="1" t="s">
        <v>126</v>
      </c>
      <c r="F1069" s="7">
        <v>2</v>
      </c>
      <c r="G1069" s="7" t="s">
        <v>476</v>
      </c>
      <c r="H1069" s="7" t="s">
        <v>155</v>
      </c>
      <c r="I1069" s="7" t="s">
        <v>155</v>
      </c>
      <c r="J1069" s="7">
        <v>948</v>
      </c>
      <c r="K1069" s="7"/>
    </row>
    <row r="1070" spans="1:11" x14ac:dyDescent="0.2">
      <c r="A1070" s="7">
        <v>949</v>
      </c>
      <c r="B1070" s="7">
        <v>95.2</v>
      </c>
      <c r="C1070" s="1" t="str">
        <f t="shared" si="329"/>
        <v>CHUCANDIRO 2</v>
      </c>
      <c r="D1070" s="7" t="s">
        <v>133</v>
      </c>
      <c r="E1070" s="45" t="s">
        <v>126</v>
      </c>
      <c r="F1070" s="7">
        <v>1</v>
      </c>
      <c r="G1070" s="7" t="s">
        <v>477</v>
      </c>
      <c r="H1070" s="7" t="s">
        <v>155</v>
      </c>
      <c r="I1070" s="7" t="s">
        <v>155</v>
      </c>
      <c r="J1070" s="7">
        <v>949</v>
      </c>
      <c r="K1070" s="7"/>
    </row>
    <row r="1071" spans="1:11" x14ac:dyDescent="0.2">
      <c r="A1071" s="7">
        <v>950</v>
      </c>
      <c r="B1071" s="7">
        <v>95.2</v>
      </c>
      <c r="C1071" s="1" t="str">
        <f t="shared" si="329"/>
        <v>CHUCANDIRO 2</v>
      </c>
      <c r="D1071" s="7" t="s">
        <v>133</v>
      </c>
      <c r="E1071" s="45" t="s">
        <v>126</v>
      </c>
      <c r="F1071" s="7">
        <v>1</v>
      </c>
      <c r="G1071" s="7" t="s">
        <v>477</v>
      </c>
      <c r="H1071" s="7" t="s">
        <v>155</v>
      </c>
      <c r="I1071" s="7" t="s">
        <v>155</v>
      </c>
      <c r="J1071" s="7">
        <v>950</v>
      </c>
      <c r="K1071" s="7"/>
    </row>
    <row r="1072" spans="1:11" x14ac:dyDescent="0.2">
      <c r="A1072" s="7">
        <v>951</v>
      </c>
      <c r="B1072" s="7">
        <v>95.2</v>
      </c>
      <c r="C1072" s="1" t="str">
        <f t="shared" si="329"/>
        <v>CHUCANDIRO 2</v>
      </c>
      <c r="D1072" s="7" t="s">
        <v>133</v>
      </c>
      <c r="E1072" s="45" t="s">
        <v>126</v>
      </c>
      <c r="F1072" s="7">
        <v>1</v>
      </c>
      <c r="G1072" s="7" t="s">
        <v>477</v>
      </c>
      <c r="H1072" s="7" t="s">
        <v>473</v>
      </c>
      <c r="I1072" s="26" t="s">
        <v>473</v>
      </c>
      <c r="J1072" s="26">
        <v>951</v>
      </c>
      <c r="K1072" s="7"/>
    </row>
    <row r="1073" spans="1:11" x14ac:dyDescent="0.2">
      <c r="A1073" s="7">
        <v>952</v>
      </c>
      <c r="B1073" s="7">
        <v>95.2</v>
      </c>
      <c r="C1073" s="1" t="str">
        <f t="shared" si="329"/>
        <v>CHUCANDIRO 2</v>
      </c>
      <c r="D1073" s="7" t="s">
        <v>133</v>
      </c>
      <c r="E1073" s="45" t="s">
        <v>126</v>
      </c>
      <c r="F1073" s="7">
        <v>2</v>
      </c>
      <c r="G1073" s="7" t="s">
        <v>477</v>
      </c>
      <c r="H1073" s="7" t="s">
        <v>471</v>
      </c>
      <c r="I1073" s="7" t="s">
        <v>471</v>
      </c>
      <c r="J1073" s="7">
        <v>952</v>
      </c>
      <c r="K1073" s="28"/>
    </row>
    <row r="1074" spans="1:11" x14ac:dyDescent="0.2">
      <c r="A1074" s="7">
        <v>953</v>
      </c>
      <c r="B1074" s="7">
        <v>95.2</v>
      </c>
      <c r="C1074" s="1" t="str">
        <f t="shared" si="329"/>
        <v>CHUCANDIRO 2</v>
      </c>
      <c r="D1074" s="7" t="s">
        <v>133</v>
      </c>
      <c r="E1074" s="45" t="s">
        <v>126</v>
      </c>
      <c r="F1074" s="7">
        <v>2</v>
      </c>
      <c r="G1074" s="7" t="s">
        <v>477</v>
      </c>
      <c r="H1074" s="7" t="s">
        <v>473</v>
      </c>
      <c r="I1074" s="26" t="s">
        <v>473</v>
      </c>
      <c r="J1074" s="26">
        <v>953</v>
      </c>
      <c r="K1074" s="7"/>
    </row>
    <row r="1075" spans="1:11" x14ac:dyDescent="0.2">
      <c r="A1075" s="7">
        <v>954</v>
      </c>
      <c r="B1075" s="7">
        <v>95.2</v>
      </c>
      <c r="C1075" s="1" t="str">
        <f t="shared" si="329"/>
        <v>CHUCANDIRO 2</v>
      </c>
      <c r="D1075" s="7" t="s">
        <v>133</v>
      </c>
      <c r="E1075" s="45" t="s">
        <v>126</v>
      </c>
      <c r="F1075" s="7">
        <v>2</v>
      </c>
      <c r="G1075" s="7" t="s">
        <v>477</v>
      </c>
      <c r="H1075" s="7" t="s">
        <v>155</v>
      </c>
      <c r="I1075" s="7" t="s">
        <v>155</v>
      </c>
      <c r="J1075" s="7">
        <v>954</v>
      </c>
      <c r="K1075" s="7"/>
    </row>
    <row r="1076" spans="1:11" x14ac:dyDescent="0.2">
      <c r="A1076" s="7">
        <v>1127</v>
      </c>
      <c r="B1076" s="7">
        <v>95.2</v>
      </c>
      <c r="C1076" s="1" t="str">
        <f t="shared" si="329"/>
        <v>CHUCANDIRO 2</v>
      </c>
      <c r="D1076" s="7" t="s">
        <v>133</v>
      </c>
      <c r="E1076" s="45" t="s">
        <v>126</v>
      </c>
      <c r="F1076" s="7">
        <v>1</v>
      </c>
      <c r="G1076" s="7" t="s">
        <v>477</v>
      </c>
      <c r="H1076" s="7" t="s">
        <v>471</v>
      </c>
      <c r="I1076" s="7" t="s">
        <v>471</v>
      </c>
      <c r="J1076" s="7">
        <v>1127</v>
      </c>
      <c r="K1076" s="7"/>
    </row>
    <row r="1077" spans="1:11" x14ac:dyDescent="0.2">
      <c r="A1077" s="7">
        <v>1128</v>
      </c>
      <c r="B1077" s="7">
        <v>95.2</v>
      </c>
      <c r="C1077" s="1" t="str">
        <f t="shared" si="329"/>
        <v>CHUCANDIRO 2</v>
      </c>
      <c r="D1077" s="7" t="s">
        <v>133</v>
      </c>
      <c r="E1077" s="45" t="s">
        <v>126</v>
      </c>
      <c r="F1077" s="7">
        <v>2</v>
      </c>
      <c r="G1077" s="7" t="s">
        <v>477</v>
      </c>
      <c r="H1077" s="7" t="s">
        <v>149</v>
      </c>
      <c r="I1077" s="7" t="s">
        <v>149</v>
      </c>
      <c r="J1077" s="7">
        <v>1128</v>
      </c>
      <c r="K1077" s="7"/>
    </row>
    <row r="1078" spans="1:11" x14ac:dyDescent="0.2">
      <c r="A1078" s="7">
        <v>1129</v>
      </c>
      <c r="B1078" s="7">
        <v>95.2</v>
      </c>
      <c r="C1078" s="1" t="str">
        <f t="shared" si="329"/>
        <v>CHUCANDIRO 2</v>
      </c>
      <c r="D1078" s="7" t="s">
        <v>133</v>
      </c>
      <c r="E1078" s="1" t="s">
        <v>126</v>
      </c>
      <c r="F1078" s="7">
        <v>2</v>
      </c>
      <c r="G1078" s="7" t="s">
        <v>477</v>
      </c>
      <c r="H1078" s="7" t="s">
        <v>471</v>
      </c>
      <c r="I1078" s="7" t="s">
        <v>471</v>
      </c>
      <c r="J1078" s="7">
        <v>1129</v>
      </c>
      <c r="K1078" s="7"/>
    </row>
    <row r="1079" spans="1:11" x14ac:dyDescent="0.2">
      <c r="A1079" s="7">
        <v>1080</v>
      </c>
      <c r="B1079" s="7">
        <v>96</v>
      </c>
      <c r="C1079" s="1" t="str">
        <f t="shared" si="329"/>
        <v>EL ATORON</v>
      </c>
      <c r="D1079" s="7" t="s">
        <v>133</v>
      </c>
      <c r="E1079" s="35" t="str">
        <f>IF(B1079=92,"FRONTERA",IF(B1079=93.1,"VICTOR",IF(B1079=93.2,"CAMINO REAL",IF(B1079=94.1,"FRONTERA",IF(B1079=94.2,"CAMINO REAL",IF(B1079=94.3,"FRONTERA",IF(B1079=95.1,"CAMINO REAL",IF(B1079=95.2,"CAMINO REAL",IF(B1079=96,"FESTIVAL",IF(B1079=97,"CAMINO REAL",IF(B1079=98,"CAMINO REAL",IF(B1079=99,"CAMINO REAL",IF(B1079=100,"CAMINO REAL",IF(B1079=101,"CAMINO REAL",IF(B1079=102,"CAMINO REAL",IF(B1079=103,"CAMINO REAL",IF(B1079=104,"CAMINO REAL",IF(B1079=105,"CAMINO REAL",IF(B1079=106.1,"CAMINO REAL",IF(B1079=106.2,"FESTIVAL",IF(B1079=107,"CAMINO REAL",IF(B1079=108,"CAMINO REAL",IF(B1079=109,"CAMINO REAL",IF(B1079=110,"CAMINO REAL"))))))))))))))))))))))))</f>
        <v>FESTIVAL</v>
      </c>
      <c r="F1079" s="7">
        <v>1</v>
      </c>
      <c r="G1079" s="7" t="s">
        <v>477</v>
      </c>
      <c r="H1079" s="7" t="s">
        <v>149</v>
      </c>
      <c r="I1079" s="7" t="s">
        <v>149</v>
      </c>
      <c r="J1079" s="7">
        <v>1080</v>
      </c>
      <c r="K1079" s="7"/>
    </row>
    <row r="1080" spans="1:11" x14ac:dyDescent="0.2">
      <c r="A1080" s="7">
        <v>1081</v>
      </c>
      <c r="B1080" s="7">
        <v>96</v>
      </c>
      <c r="C1080" s="1" t="str">
        <f t="shared" si="329"/>
        <v>EL ATORON</v>
      </c>
      <c r="D1080" s="7" t="s">
        <v>133</v>
      </c>
      <c r="E1080" s="35" t="str">
        <f>IF(B1080=92,"FRONTERA",IF(B1080=93.1,"VICTOR",IF(B1080=93.2,"CAMINO REAL",IF(B1080=94.1,"FRONTERA",IF(B1080=94.2,"CAMINO REAL",IF(B1080=94.3,"FRONTERA",IF(B1080=95.1,"CAMINO REAL",IF(B1080=95.2,"CAMINO REAL",IF(B1080=96,"FESTIVAL",IF(B1080=97,"CAMINO REAL",IF(B1080=98,"CAMINO REAL",IF(B1080=99,"CAMINO REAL",IF(B1080=100,"CAMINO REAL",IF(B1080=101,"CAMINO REAL",IF(B1080=102,"CAMINO REAL",IF(B1080=103,"CAMINO REAL",IF(B1080=104,"CAMINO REAL",IF(B1080=105,"CAMINO REAL",IF(B1080=106.1,"CAMINO REAL",IF(B1080=106.2,"FESTIVAL",IF(B1080=107,"CAMINO REAL",IF(B1080=108,"CAMINO REAL",IF(B1080=109,"CAMINO REAL",IF(B1080=110,"CAMINO REAL"))))))))))))))))))))))))</f>
        <v>FESTIVAL</v>
      </c>
      <c r="F1080" s="7">
        <v>1</v>
      </c>
      <c r="G1080" s="7" t="s">
        <v>477</v>
      </c>
      <c r="H1080" s="7" t="s">
        <v>474</v>
      </c>
      <c r="I1080" s="9" t="s">
        <v>474</v>
      </c>
      <c r="J1080" s="9">
        <v>1081</v>
      </c>
      <c r="K1080" s="7"/>
    </row>
    <row r="1081" spans="1:11" x14ac:dyDescent="0.2">
      <c r="A1081" s="7">
        <v>1130</v>
      </c>
      <c r="B1081" s="7">
        <v>96</v>
      </c>
      <c r="C1081" s="1" t="str">
        <f t="shared" si="329"/>
        <v>EL ATORON</v>
      </c>
      <c r="D1081" s="7" t="s">
        <v>133</v>
      </c>
      <c r="E1081" s="35" t="str">
        <f>IF(B1081=92,"FRONTERA",IF(B1081=93.1,"VICTOR",IF(B1081=93.2,"CAMINO REAL",IF(B1081=94.1,"FRONTERA",IF(B1081=94.2,"CAMINO REAL",IF(B1081=94.3,"FRONTERA",IF(B1081=95.1,"CAMINO REAL",IF(B1081=95.2,"CAMINO REAL",IF(B1081=96,"FESTIVAL",IF(B1081=97,"CAMINO REAL",IF(B1081=98,"CAMINO REAL",IF(B1081=99,"CAMINO REAL",IF(B1081=100,"CAMINO REAL",IF(B1081=101,"CAMINO REAL",IF(B1081=102,"CAMINO REAL",IF(B1081=103,"CAMINO REAL",IF(B1081=104,"CAMINO REAL",IF(B1081=105,"CAMINO REAL",IF(B1081=106.1,"CAMINO REAL",IF(B1081=106.2,"FESTIVAL",IF(B1081=107,"CAMINO REAL",IF(B1081=108,"CAMINO REAL",IF(B1081=109,"CAMINO REAL",IF(B1081=110,"CAMINO REAL"))))))))))))))))))))))))</f>
        <v>FESTIVAL</v>
      </c>
      <c r="F1081" s="7">
        <v>1</v>
      </c>
      <c r="G1081" s="7" t="s">
        <v>477</v>
      </c>
      <c r="H1081" s="7" t="s">
        <v>474</v>
      </c>
      <c r="I1081" s="9" t="s">
        <v>474</v>
      </c>
      <c r="J1081" s="9">
        <v>1130</v>
      </c>
      <c r="K1081" s="7"/>
    </row>
    <row r="1082" spans="1:11" x14ac:dyDescent="0.2">
      <c r="A1082" s="7">
        <v>1131</v>
      </c>
      <c r="B1082" s="7">
        <v>96</v>
      </c>
      <c r="C1082" s="1" t="str">
        <f t="shared" si="329"/>
        <v>EL ATORON</v>
      </c>
      <c r="D1082" s="7" t="s">
        <v>133</v>
      </c>
      <c r="E1082" s="35" t="str">
        <f>IF(B1082=92,"FRONTERA",IF(B1082=93.1,"VICTOR",IF(B1082=93.2,"CAMINO REAL",IF(B1082=94.1,"FRONTERA",IF(B1082=94.2,"CAMINO REAL",IF(B1082=94.3,"FRONTERA",IF(B1082=95.1,"CAMINO REAL",IF(B1082=95.2,"CAMINO REAL",IF(B1082=96,"FESTIVAL",IF(B1082=97,"CAMINO REAL",IF(B1082=98,"CAMINO REAL",IF(B1082=99,"CAMINO REAL",IF(B1082=100,"CAMINO REAL",IF(B1082=101,"CAMINO REAL",IF(B1082=102,"CAMINO REAL",IF(B1082=103,"CAMINO REAL",IF(B1082=104,"CAMINO REAL",IF(B1082=105,"CAMINO REAL",IF(B1082=106.1,"CAMINO REAL",IF(B1082=106.2,"FESTIVAL",IF(B1082=107,"CAMINO REAL",IF(B1082=108,"CAMINO REAL",IF(B1082=109,"CAMINO REAL",IF(B1082=110,"CAMINO REAL"))))))))))))))))))))))))</f>
        <v>FESTIVAL</v>
      </c>
      <c r="F1082" s="7">
        <v>1</v>
      </c>
      <c r="G1082" s="7" t="s">
        <v>477</v>
      </c>
      <c r="H1082" s="7" t="s">
        <v>149</v>
      </c>
      <c r="I1082" s="7" t="s">
        <v>149</v>
      </c>
      <c r="J1082" s="7">
        <v>1131</v>
      </c>
      <c r="K1082" s="7"/>
    </row>
    <row r="1083" spans="1:11" x14ac:dyDescent="0.2">
      <c r="A1083" s="7">
        <v>940</v>
      </c>
      <c r="B1083" s="7">
        <v>97</v>
      </c>
      <c r="C1083" s="1" t="str">
        <f t="shared" si="329"/>
        <v>PRICILIANO MONCADA G</v>
      </c>
      <c r="D1083" s="7" t="s">
        <v>133</v>
      </c>
      <c r="E1083" s="1" t="s">
        <v>126</v>
      </c>
      <c r="F1083" s="7">
        <v>1</v>
      </c>
      <c r="G1083" s="7" t="s">
        <v>476</v>
      </c>
      <c r="H1083" s="7" t="s">
        <v>155</v>
      </c>
      <c r="I1083" s="7" t="s">
        <v>155</v>
      </c>
      <c r="J1083" s="7">
        <v>940</v>
      </c>
      <c r="K1083" s="28"/>
    </row>
    <row r="1084" spans="1:11" x14ac:dyDescent="0.2">
      <c r="A1084" s="7">
        <v>941</v>
      </c>
      <c r="B1084" s="7">
        <v>97</v>
      </c>
      <c r="C1084" s="1" t="str">
        <f t="shared" si="329"/>
        <v>PRICILIANO MONCADA G</v>
      </c>
      <c r="D1084" s="7" t="s">
        <v>133</v>
      </c>
      <c r="E1084" s="1" t="s">
        <v>126</v>
      </c>
      <c r="F1084" s="7">
        <v>1</v>
      </c>
      <c r="G1084" s="7" t="s">
        <v>477</v>
      </c>
      <c r="H1084" s="7" t="s">
        <v>473</v>
      </c>
      <c r="I1084" s="7" t="s">
        <v>473</v>
      </c>
      <c r="J1084" s="7">
        <v>941</v>
      </c>
      <c r="K1084" s="7"/>
    </row>
    <row r="1085" spans="1:11" x14ac:dyDescent="0.2">
      <c r="A1085" s="7">
        <v>942</v>
      </c>
      <c r="B1085" s="7">
        <v>97</v>
      </c>
      <c r="C1085" s="1" t="str">
        <f t="shared" si="329"/>
        <v>PRICILIANO MONCADA G</v>
      </c>
      <c r="D1085" s="7" t="s">
        <v>133</v>
      </c>
      <c r="E1085" s="45" t="s">
        <v>126</v>
      </c>
      <c r="F1085" s="7">
        <v>1</v>
      </c>
      <c r="G1085" s="7" t="s">
        <v>477</v>
      </c>
      <c r="H1085" s="7" t="s">
        <v>149</v>
      </c>
      <c r="I1085" s="7" t="s">
        <v>149</v>
      </c>
      <c r="J1085" s="7">
        <v>942</v>
      </c>
      <c r="K1085" s="28" t="s">
        <v>638</v>
      </c>
    </row>
    <row r="1086" spans="1:11" x14ac:dyDescent="0.2">
      <c r="A1086" s="7">
        <v>943</v>
      </c>
      <c r="B1086" s="7">
        <v>97</v>
      </c>
      <c r="C1086" s="1" t="str">
        <f t="shared" si="329"/>
        <v>PRICILIANO MONCADA G</v>
      </c>
      <c r="D1086" s="7" t="s">
        <v>133</v>
      </c>
      <c r="E1086" s="45" t="s">
        <v>126</v>
      </c>
      <c r="F1086" s="7">
        <v>1</v>
      </c>
      <c r="G1086" s="7" t="s">
        <v>477</v>
      </c>
      <c r="H1086" s="7" t="s">
        <v>485</v>
      </c>
      <c r="I1086" s="10" t="s">
        <v>485</v>
      </c>
      <c r="J1086" s="10">
        <v>943</v>
      </c>
      <c r="K1086" s="7"/>
    </row>
    <row r="1087" spans="1:11" x14ac:dyDescent="0.2">
      <c r="A1087" s="7">
        <v>1074</v>
      </c>
      <c r="B1087" s="7">
        <v>97</v>
      </c>
      <c r="C1087" s="1" t="str">
        <f t="shared" si="329"/>
        <v>PRICILIANO MONCADA G</v>
      </c>
      <c r="D1087" s="7" t="s">
        <v>133</v>
      </c>
      <c r="E1087" s="1" t="s">
        <v>126</v>
      </c>
      <c r="F1087" s="7">
        <v>1</v>
      </c>
      <c r="G1087" s="7" t="s">
        <v>477</v>
      </c>
      <c r="H1087" s="7" t="s">
        <v>473</v>
      </c>
      <c r="I1087" s="26" t="s">
        <v>473</v>
      </c>
      <c r="J1087" s="26">
        <v>1074</v>
      </c>
      <c r="K1087" s="7"/>
    </row>
    <row r="1088" spans="1:11" x14ac:dyDescent="0.2">
      <c r="A1088" s="7">
        <v>1025</v>
      </c>
      <c r="B1088" s="7">
        <v>98</v>
      </c>
      <c r="C1088" s="1" t="str">
        <f t="shared" si="329"/>
        <v>SANTA MARIA</v>
      </c>
      <c r="D1088" s="7" t="s">
        <v>133</v>
      </c>
      <c r="E1088" s="1" t="s">
        <v>126</v>
      </c>
      <c r="F1088" s="7">
        <v>1</v>
      </c>
      <c r="G1088" s="7" t="s">
        <v>477</v>
      </c>
      <c r="H1088" s="7" t="s">
        <v>149</v>
      </c>
      <c r="I1088" s="7" t="s">
        <v>149</v>
      </c>
      <c r="J1088" s="7">
        <v>1025</v>
      </c>
      <c r="K1088" s="28" t="s">
        <v>638</v>
      </c>
    </row>
    <row r="1089" spans="1:11" x14ac:dyDescent="0.2">
      <c r="A1089" s="7">
        <v>1075</v>
      </c>
      <c r="B1089" s="7">
        <v>98</v>
      </c>
      <c r="C1089" s="1" t="str">
        <f t="shared" si="329"/>
        <v>SANTA MARIA</v>
      </c>
      <c r="D1089" s="7" t="s">
        <v>133</v>
      </c>
      <c r="E1089" s="45" t="s">
        <v>126</v>
      </c>
      <c r="F1089" s="7">
        <v>1</v>
      </c>
      <c r="G1089" s="7" t="s">
        <v>477</v>
      </c>
      <c r="H1089" s="7" t="s">
        <v>473</v>
      </c>
      <c r="I1089" s="26" t="s">
        <v>473</v>
      </c>
      <c r="J1089" s="26">
        <v>1075</v>
      </c>
      <c r="K1089" s="7"/>
    </row>
    <row r="1090" spans="1:11" x14ac:dyDescent="0.2">
      <c r="A1090" s="7">
        <v>1076</v>
      </c>
      <c r="B1090" s="7">
        <v>98</v>
      </c>
      <c r="C1090" s="1" t="str">
        <f t="shared" si="329"/>
        <v>SANTA MARIA</v>
      </c>
      <c r="D1090" s="7" t="s">
        <v>133</v>
      </c>
      <c r="E1090" s="45" t="s">
        <v>126</v>
      </c>
      <c r="F1090" s="7">
        <v>1</v>
      </c>
      <c r="G1090" s="7" t="s">
        <v>477</v>
      </c>
      <c r="H1090" s="7" t="s">
        <v>471</v>
      </c>
      <c r="I1090" s="7" t="s">
        <v>471</v>
      </c>
      <c r="J1090" s="7">
        <v>1076</v>
      </c>
      <c r="K1090" s="7"/>
    </row>
    <row r="1091" spans="1:11" x14ac:dyDescent="0.2">
      <c r="A1091" s="7">
        <v>923</v>
      </c>
      <c r="B1091" s="7">
        <v>99</v>
      </c>
      <c r="C1091" s="1" t="str">
        <f t="shared" si="329"/>
        <v>LA CALERA 1</v>
      </c>
      <c r="D1091" s="7" t="s">
        <v>133</v>
      </c>
      <c r="E1091" s="1" t="s">
        <v>126</v>
      </c>
      <c r="F1091" s="7">
        <v>1</v>
      </c>
      <c r="G1091" s="7" t="s">
        <v>476</v>
      </c>
      <c r="H1091" s="7" t="s">
        <v>155</v>
      </c>
      <c r="I1091" s="7" t="s">
        <v>155</v>
      </c>
      <c r="J1091" s="7">
        <v>923</v>
      </c>
      <c r="K1091" s="7"/>
    </row>
    <row r="1092" spans="1:11" x14ac:dyDescent="0.2">
      <c r="A1092" s="7">
        <v>924</v>
      </c>
      <c r="B1092" s="7">
        <v>99</v>
      </c>
      <c r="C1092" s="1" t="str">
        <f t="shared" si="329"/>
        <v>LA CALERA 1</v>
      </c>
      <c r="D1092" s="7" t="s">
        <v>133</v>
      </c>
      <c r="E1092" s="45" t="s">
        <v>126</v>
      </c>
      <c r="F1092" s="7">
        <v>1</v>
      </c>
      <c r="G1092" s="7" t="s">
        <v>476</v>
      </c>
      <c r="H1092" s="7" t="s">
        <v>155</v>
      </c>
      <c r="I1092" s="7" t="s">
        <v>155</v>
      </c>
      <c r="J1092" s="7">
        <v>924</v>
      </c>
      <c r="K1092" s="7"/>
    </row>
    <row r="1093" spans="1:11" x14ac:dyDescent="0.2">
      <c r="A1093" s="7">
        <v>925</v>
      </c>
      <c r="B1093" s="7">
        <v>99</v>
      </c>
      <c r="C1093" s="1" t="str">
        <f t="shared" si="329"/>
        <v>LA CALERA 1</v>
      </c>
      <c r="D1093" s="7" t="s">
        <v>133</v>
      </c>
      <c r="E1093" s="1" t="s">
        <v>126</v>
      </c>
      <c r="F1093" s="7">
        <v>2</v>
      </c>
      <c r="G1093" s="7" t="s">
        <v>476</v>
      </c>
      <c r="H1093" s="7" t="s">
        <v>155</v>
      </c>
      <c r="I1093" s="7" t="s">
        <v>155</v>
      </c>
      <c r="J1093" s="7">
        <v>925</v>
      </c>
      <c r="K1093" s="28" t="s">
        <v>638</v>
      </c>
    </row>
    <row r="1094" spans="1:11" x14ac:dyDescent="0.2">
      <c r="A1094" s="7">
        <v>926</v>
      </c>
      <c r="B1094" s="7">
        <v>99</v>
      </c>
      <c r="C1094" s="1" t="str">
        <f t="shared" ref="C1094:C1125" si="330">IF(B1094=93.2,"JUAREZ 2",IF(B1094=94.1,"EL JARAL 1",IF(B1094=94.2,"EL JARAL 2",IF(B1094=94.3,"EL JARAL 3",IF(B1094=95.1,"CHUCANDIRO 1",IF(B1094=95.2,"CHUCANDIRO 2",IF(B1094=96,"EL ATORON",IF(B1094=97,"PRICILIANO MONCADA G",IF(B1094=98,"SANTA MARIA",IF(B1094=99,"LA CALERA 1",IF(B1094=100,"JOSE FRANCISCO SOTO",IF(B1094=101,"LA CALERA 2",IF(B1094=102,"LA CALERA 3",IF(B1094=103,"MOLINO DE SANTA ANA 1",IF(B1094=104,"SAN VICENTILLO",IF(B1094=105,"MOLINO DE SANTA ANA 2",IF(B1094=106.1,"LA PRESA 2",IF(B1094=106.2,"LA PRESA 1",IF(B1094=107,"LA PRESA 3",IF(B1094=108,"MOLINO LOS AGUACATES",IF(B1094=109,"EL SILO",IF(B1094=110,"ALDAMA"))))))))))))))))))))))</f>
        <v>LA CALERA 1</v>
      </c>
      <c r="D1094" s="7" t="s">
        <v>133</v>
      </c>
      <c r="E1094" s="1" t="s">
        <v>126</v>
      </c>
      <c r="F1094" s="7">
        <v>2</v>
      </c>
      <c r="G1094" s="7" t="s">
        <v>476</v>
      </c>
      <c r="H1094" s="7" t="s">
        <v>155</v>
      </c>
      <c r="I1094" s="7" t="s">
        <v>155</v>
      </c>
      <c r="J1094" s="7">
        <v>926</v>
      </c>
      <c r="K1094" s="28" t="s">
        <v>638</v>
      </c>
    </row>
    <row r="1095" spans="1:11" x14ac:dyDescent="0.2">
      <c r="A1095" s="7">
        <v>927</v>
      </c>
      <c r="B1095" s="7">
        <v>99</v>
      </c>
      <c r="C1095" s="1" t="str">
        <f t="shared" si="330"/>
        <v>LA CALERA 1</v>
      </c>
      <c r="D1095" s="7" t="s">
        <v>133</v>
      </c>
      <c r="E1095" s="1" t="s">
        <v>126</v>
      </c>
      <c r="F1095" s="7">
        <v>2</v>
      </c>
      <c r="G1095" s="7" t="s">
        <v>476</v>
      </c>
      <c r="H1095" s="7" t="s">
        <v>155</v>
      </c>
      <c r="I1095" s="7" t="s">
        <v>155</v>
      </c>
      <c r="J1095" s="7">
        <v>927</v>
      </c>
      <c r="K1095" s="7"/>
    </row>
    <row r="1096" spans="1:11" x14ac:dyDescent="0.2">
      <c r="A1096" s="7">
        <v>928</v>
      </c>
      <c r="B1096" s="7">
        <v>99</v>
      </c>
      <c r="C1096" s="1" t="str">
        <f t="shared" si="330"/>
        <v>LA CALERA 1</v>
      </c>
      <c r="D1096" s="7" t="s">
        <v>133</v>
      </c>
      <c r="E1096" s="1" t="s">
        <v>126</v>
      </c>
      <c r="F1096" s="7">
        <v>2</v>
      </c>
      <c r="G1096" s="7" t="s">
        <v>477</v>
      </c>
      <c r="H1096" s="7" t="s">
        <v>473</v>
      </c>
      <c r="I1096" s="26" t="s">
        <v>473</v>
      </c>
      <c r="J1096" s="26">
        <v>928</v>
      </c>
      <c r="K1096" s="7"/>
    </row>
    <row r="1097" spans="1:11" x14ac:dyDescent="0.2">
      <c r="A1097" s="7">
        <v>929</v>
      </c>
      <c r="B1097" s="7">
        <v>99</v>
      </c>
      <c r="C1097" s="1" t="str">
        <f t="shared" si="330"/>
        <v>LA CALERA 1</v>
      </c>
      <c r="D1097" s="7" t="s">
        <v>133</v>
      </c>
      <c r="E1097" s="1" t="s">
        <v>126</v>
      </c>
      <c r="F1097" s="7">
        <v>2</v>
      </c>
      <c r="G1097" s="7" t="s">
        <v>477</v>
      </c>
      <c r="H1097" s="7" t="s">
        <v>473</v>
      </c>
      <c r="I1097" s="26" t="s">
        <v>473</v>
      </c>
      <c r="J1097" s="26">
        <v>929</v>
      </c>
      <c r="K1097" s="7"/>
    </row>
    <row r="1098" spans="1:11" x14ac:dyDescent="0.2">
      <c r="A1098" s="7">
        <v>930</v>
      </c>
      <c r="B1098" s="7">
        <v>99</v>
      </c>
      <c r="C1098" s="1" t="str">
        <f t="shared" si="330"/>
        <v>LA CALERA 1</v>
      </c>
      <c r="D1098" s="7" t="s">
        <v>133</v>
      </c>
      <c r="E1098" s="1" t="s">
        <v>126</v>
      </c>
      <c r="F1098" s="7">
        <v>2</v>
      </c>
      <c r="G1098" s="7" t="s">
        <v>476</v>
      </c>
      <c r="H1098" s="7" t="s">
        <v>155</v>
      </c>
      <c r="I1098" s="7" t="s">
        <v>155</v>
      </c>
      <c r="J1098" s="7">
        <v>930</v>
      </c>
      <c r="K1098" s="28" t="s">
        <v>638</v>
      </c>
    </row>
    <row r="1099" spans="1:11" x14ac:dyDescent="0.2">
      <c r="A1099" s="7">
        <v>931</v>
      </c>
      <c r="B1099" s="7">
        <v>99</v>
      </c>
      <c r="C1099" s="1" t="str">
        <f t="shared" si="330"/>
        <v>LA CALERA 1</v>
      </c>
      <c r="D1099" s="7" t="s">
        <v>133</v>
      </c>
      <c r="E1099" s="1" t="s">
        <v>126</v>
      </c>
      <c r="F1099" s="7">
        <v>2</v>
      </c>
      <c r="G1099" s="7" t="s">
        <v>476</v>
      </c>
      <c r="H1099" s="7" t="s">
        <v>473</v>
      </c>
      <c r="I1099" s="26" t="s">
        <v>473</v>
      </c>
      <c r="J1099" s="26">
        <v>931</v>
      </c>
      <c r="K1099" s="7"/>
    </row>
    <row r="1100" spans="1:11" x14ac:dyDescent="0.2">
      <c r="A1100" s="7">
        <v>932</v>
      </c>
      <c r="B1100" s="7">
        <v>99</v>
      </c>
      <c r="C1100" s="1" t="str">
        <f t="shared" si="330"/>
        <v>LA CALERA 1</v>
      </c>
      <c r="D1100" s="7" t="s">
        <v>133</v>
      </c>
      <c r="E1100" s="1" t="s">
        <v>126</v>
      </c>
      <c r="F1100" s="7">
        <v>1</v>
      </c>
      <c r="G1100" s="7" t="s">
        <v>477</v>
      </c>
      <c r="H1100" s="7" t="s">
        <v>155</v>
      </c>
      <c r="I1100" s="7" t="s">
        <v>155</v>
      </c>
      <c r="J1100" s="7">
        <v>932</v>
      </c>
      <c r="K1100" s="7"/>
    </row>
    <row r="1101" spans="1:11" x14ac:dyDescent="0.2">
      <c r="A1101" s="7">
        <v>933</v>
      </c>
      <c r="B1101" s="7">
        <v>99</v>
      </c>
      <c r="C1101" s="1" t="str">
        <f t="shared" si="330"/>
        <v>LA CALERA 1</v>
      </c>
      <c r="D1101" s="7" t="s">
        <v>133</v>
      </c>
      <c r="E1101" s="1" t="s">
        <v>126</v>
      </c>
      <c r="F1101" s="7">
        <v>1</v>
      </c>
      <c r="G1101" s="7" t="s">
        <v>477</v>
      </c>
      <c r="H1101" s="7" t="s">
        <v>155</v>
      </c>
      <c r="I1101" s="7" t="s">
        <v>155</v>
      </c>
      <c r="J1101" s="7">
        <v>933</v>
      </c>
      <c r="K1101" s="7"/>
    </row>
    <row r="1102" spans="1:11" x14ac:dyDescent="0.2">
      <c r="A1102" s="7">
        <v>934</v>
      </c>
      <c r="B1102" s="7">
        <v>99</v>
      </c>
      <c r="C1102" s="1" t="str">
        <f t="shared" si="330"/>
        <v>LA CALERA 1</v>
      </c>
      <c r="D1102" s="7" t="s">
        <v>133</v>
      </c>
      <c r="E1102" s="1" t="s">
        <v>126</v>
      </c>
      <c r="F1102" s="7">
        <v>1</v>
      </c>
      <c r="G1102" s="7" t="s">
        <v>477</v>
      </c>
      <c r="H1102" s="7" t="s">
        <v>472</v>
      </c>
      <c r="I1102" s="7" t="s">
        <v>472</v>
      </c>
      <c r="J1102" s="7">
        <v>934</v>
      </c>
      <c r="K1102" s="28"/>
    </row>
    <row r="1103" spans="1:11" x14ac:dyDescent="0.2">
      <c r="A1103" s="7">
        <v>935</v>
      </c>
      <c r="B1103" s="7">
        <v>99</v>
      </c>
      <c r="C1103" s="1" t="str">
        <f t="shared" si="330"/>
        <v>LA CALERA 1</v>
      </c>
      <c r="D1103" s="7" t="s">
        <v>133</v>
      </c>
      <c r="E1103" s="1" t="s">
        <v>126</v>
      </c>
      <c r="F1103" s="7">
        <v>1</v>
      </c>
      <c r="G1103" s="7" t="s">
        <v>477</v>
      </c>
      <c r="H1103" s="7" t="s">
        <v>474</v>
      </c>
      <c r="I1103" s="9" t="s">
        <v>474</v>
      </c>
      <c r="J1103" s="9">
        <v>935</v>
      </c>
      <c r="K1103" s="7"/>
    </row>
    <row r="1104" spans="1:11" x14ac:dyDescent="0.2">
      <c r="A1104" s="7">
        <v>936</v>
      </c>
      <c r="B1104" s="7">
        <v>99</v>
      </c>
      <c r="C1104" s="1" t="str">
        <f t="shared" si="330"/>
        <v>LA CALERA 1</v>
      </c>
      <c r="D1104" s="7" t="s">
        <v>133</v>
      </c>
      <c r="E1104" s="1" t="s">
        <v>126</v>
      </c>
      <c r="F1104" s="7">
        <v>2</v>
      </c>
      <c r="G1104" s="7" t="s">
        <v>477</v>
      </c>
      <c r="H1104" s="7" t="s">
        <v>149</v>
      </c>
      <c r="I1104" s="7" t="s">
        <v>149</v>
      </c>
      <c r="J1104" s="7">
        <v>936</v>
      </c>
      <c r="K1104" s="7"/>
    </row>
    <row r="1105" spans="1:11" x14ac:dyDescent="0.2">
      <c r="A1105" s="7">
        <v>937</v>
      </c>
      <c r="B1105" s="7">
        <v>99</v>
      </c>
      <c r="C1105" s="1" t="str">
        <f t="shared" si="330"/>
        <v>LA CALERA 1</v>
      </c>
      <c r="D1105" s="7" t="s">
        <v>133</v>
      </c>
      <c r="E1105" s="1" t="s">
        <v>126</v>
      </c>
      <c r="F1105" s="7">
        <v>2</v>
      </c>
      <c r="G1105" s="7" t="s">
        <v>477</v>
      </c>
      <c r="H1105" s="7" t="s">
        <v>155</v>
      </c>
      <c r="I1105" s="7" t="s">
        <v>155</v>
      </c>
      <c r="J1105" s="7">
        <v>937</v>
      </c>
      <c r="K1105" s="28" t="s">
        <v>638</v>
      </c>
    </row>
    <row r="1106" spans="1:11" x14ac:dyDescent="0.2">
      <c r="A1106" s="7">
        <v>938</v>
      </c>
      <c r="B1106" s="7">
        <v>99</v>
      </c>
      <c r="C1106" s="1" t="str">
        <f t="shared" si="330"/>
        <v>LA CALERA 1</v>
      </c>
      <c r="D1106" s="7" t="s">
        <v>133</v>
      </c>
      <c r="E1106" s="1" t="s">
        <v>126</v>
      </c>
      <c r="F1106" s="7">
        <v>2</v>
      </c>
      <c r="G1106" s="7" t="s">
        <v>477</v>
      </c>
      <c r="H1106" s="7" t="s">
        <v>149</v>
      </c>
      <c r="I1106" s="7" t="s">
        <v>149</v>
      </c>
      <c r="J1106" s="7">
        <v>938</v>
      </c>
      <c r="K1106" s="7"/>
    </row>
    <row r="1107" spans="1:11" x14ac:dyDescent="0.2">
      <c r="A1107" s="7">
        <v>939</v>
      </c>
      <c r="B1107" s="7">
        <v>99</v>
      </c>
      <c r="C1107" s="1" t="str">
        <f t="shared" si="330"/>
        <v>LA CALERA 1</v>
      </c>
      <c r="D1107" s="7" t="s">
        <v>133</v>
      </c>
      <c r="E1107" s="1" t="s">
        <v>126</v>
      </c>
      <c r="F1107" s="7">
        <v>2</v>
      </c>
      <c r="G1107" s="7" t="s">
        <v>477</v>
      </c>
      <c r="H1107" s="7" t="s">
        <v>149</v>
      </c>
      <c r="I1107" s="7" t="s">
        <v>149</v>
      </c>
      <c r="J1107" s="7">
        <v>939</v>
      </c>
      <c r="K1107" s="7"/>
    </row>
    <row r="1108" spans="1:11" x14ac:dyDescent="0.2">
      <c r="A1108" s="7">
        <v>1062</v>
      </c>
      <c r="B1108" s="7">
        <v>99</v>
      </c>
      <c r="C1108" s="1" t="str">
        <f t="shared" si="330"/>
        <v>LA CALERA 1</v>
      </c>
      <c r="D1108" s="7" t="s">
        <v>133</v>
      </c>
      <c r="E1108" s="1" t="s">
        <v>126</v>
      </c>
      <c r="F1108" s="7">
        <v>1</v>
      </c>
      <c r="G1108" s="7" t="s">
        <v>477</v>
      </c>
      <c r="H1108" s="7" t="s">
        <v>473</v>
      </c>
      <c r="I1108" s="58" t="s">
        <v>473</v>
      </c>
      <c r="J1108" s="26">
        <v>1062</v>
      </c>
      <c r="K1108" s="7"/>
    </row>
    <row r="1109" spans="1:11" x14ac:dyDescent="0.2">
      <c r="A1109" s="7">
        <v>1078</v>
      </c>
      <c r="B1109" s="7">
        <v>99</v>
      </c>
      <c r="C1109" s="1" t="str">
        <f t="shared" si="330"/>
        <v>LA CALERA 1</v>
      </c>
      <c r="D1109" s="7" t="s">
        <v>133</v>
      </c>
      <c r="E1109" s="1" t="s">
        <v>126</v>
      </c>
      <c r="F1109" s="7">
        <v>1</v>
      </c>
      <c r="G1109" s="7" t="s">
        <v>477</v>
      </c>
      <c r="H1109" s="7" t="s">
        <v>473</v>
      </c>
      <c r="I1109" s="58" t="s">
        <v>473</v>
      </c>
      <c r="J1109" s="26">
        <v>1078</v>
      </c>
      <c r="K1109" s="7"/>
    </row>
    <row r="1110" spans="1:11" x14ac:dyDescent="0.2">
      <c r="A1110" s="7">
        <v>1079</v>
      </c>
      <c r="B1110" s="7">
        <v>99</v>
      </c>
      <c r="C1110" s="1" t="str">
        <f t="shared" si="330"/>
        <v>LA CALERA 1</v>
      </c>
      <c r="D1110" s="7" t="s">
        <v>133</v>
      </c>
      <c r="E1110" s="1" t="s">
        <v>126</v>
      </c>
      <c r="F1110" s="7">
        <v>1</v>
      </c>
      <c r="G1110" s="7" t="s">
        <v>477</v>
      </c>
      <c r="H1110" s="7" t="s">
        <v>149</v>
      </c>
      <c r="I1110" s="7" t="s">
        <v>149</v>
      </c>
      <c r="J1110" s="7">
        <v>1079</v>
      </c>
      <c r="K1110" s="7"/>
    </row>
    <row r="1111" spans="1:11" x14ac:dyDescent="0.2">
      <c r="A1111" s="7">
        <v>1110</v>
      </c>
      <c r="B1111" s="7">
        <v>99</v>
      </c>
      <c r="C1111" s="1" t="str">
        <f t="shared" si="330"/>
        <v>LA CALERA 1</v>
      </c>
      <c r="D1111" s="7" t="s">
        <v>133</v>
      </c>
      <c r="E1111" s="1" t="s">
        <v>126</v>
      </c>
      <c r="F1111" s="7">
        <v>2</v>
      </c>
      <c r="G1111" s="7" t="s">
        <v>477</v>
      </c>
      <c r="H1111" s="7" t="s">
        <v>149</v>
      </c>
      <c r="I1111" s="7" t="s">
        <v>149</v>
      </c>
      <c r="J1111" s="7">
        <v>1110</v>
      </c>
      <c r="K1111" s="7"/>
    </row>
    <row r="1112" spans="1:11" x14ac:dyDescent="0.2">
      <c r="A1112" s="7">
        <v>1119</v>
      </c>
      <c r="B1112" s="7">
        <v>99</v>
      </c>
      <c r="C1112" s="1" t="str">
        <f t="shared" si="330"/>
        <v>LA CALERA 1</v>
      </c>
      <c r="D1112" s="7" t="s">
        <v>133</v>
      </c>
      <c r="E1112" s="1" t="s">
        <v>126</v>
      </c>
      <c r="F1112" s="7">
        <v>2</v>
      </c>
      <c r="G1112" s="7" t="s">
        <v>477</v>
      </c>
      <c r="H1112" s="7" t="s">
        <v>149</v>
      </c>
      <c r="I1112" s="7" t="s">
        <v>149</v>
      </c>
      <c r="J1112" s="7">
        <v>1119</v>
      </c>
      <c r="K1112" s="7"/>
    </row>
    <row r="1113" spans="1:11" x14ac:dyDescent="0.2">
      <c r="A1113" s="7">
        <v>1120</v>
      </c>
      <c r="B1113" s="7">
        <v>99</v>
      </c>
      <c r="C1113" s="1" t="str">
        <f t="shared" si="330"/>
        <v>LA CALERA 1</v>
      </c>
      <c r="D1113" s="7" t="s">
        <v>133</v>
      </c>
      <c r="E1113" s="1" t="s">
        <v>126</v>
      </c>
      <c r="F1113" s="7">
        <v>1</v>
      </c>
      <c r="G1113" s="7" t="s">
        <v>477</v>
      </c>
      <c r="H1113" s="7" t="s">
        <v>149</v>
      </c>
      <c r="I1113" s="7" t="s">
        <v>149</v>
      </c>
      <c r="J1113" s="7">
        <v>1120</v>
      </c>
      <c r="K1113" s="7"/>
    </row>
    <row r="1114" spans="1:11" x14ac:dyDescent="0.2">
      <c r="A1114" s="7">
        <v>919</v>
      </c>
      <c r="B1114" s="7">
        <v>100</v>
      </c>
      <c r="C1114" s="1" t="str">
        <f t="shared" si="330"/>
        <v>JOSE FRANCISCO SOTO</v>
      </c>
      <c r="D1114" s="7" t="s">
        <v>133</v>
      </c>
      <c r="E1114" s="1" t="s">
        <v>126</v>
      </c>
      <c r="F1114" s="7">
        <v>1</v>
      </c>
      <c r="G1114" s="7" t="s">
        <v>477</v>
      </c>
      <c r="H1114" s="7" t="s">
        <v>485</v>
      </c>
      <c r="I1114" s="7" t="s">
        <v>485</v>
      </c>
      <c r="J1114" s="10">
        <v>919</v>
      </c>
      <c r="K1114" s="7"/>
    </row>
    <row r="1115" spans="1:11" x14ac:dyDescent="0.2">
      <c r="A1115" s="7">
        <v>920</v>
      </c>
      <c r="B1115" s="7">
        <v>100</v>
      </c>
      <c r="C1115" s="1" t="str">
        <f t="shared" si="330"/>
        <v>JOSE FRANCISCO SOTO</v>
      </c>
      <c r="D1115" s="7" t="s">
        <v>133</v>
      </c>
      <c r="E1115" s="1" t="s">
        <v>126</v>
      </c>
      <c r="F1115" s="7">
        <v>1</v>
      </c>
      <c r="G1115" s="7" t="s">
        <v>477</v>
      </c>
      <c r="H1115" s="7" t="s">
        <v>471</v>
      </c>
      <c r="I1115" s="7" t="s">
        <v>471</v>
      </c>
      <c r="J1115" s="7">
        <v>920</v>
      </c>
      <c r="K1115" s="7"/>
    </row>
    <row r="1116" spans="1:11" x14ac:dyDescent="0.2">
      <c r="A1116" s="7">
        <v>921</v>
      </c>
      <c r="B1116" s="7">
        <v>100</v>
      </c>
      <c r="C1116" s="1" t="str">
        <f t="shared" si="330"/>
        <v>JOSE FRANCISCO SOTO</v>
      </c>
      <c r="D1116" s="7" t="s">
        <v>133</v>
      </c>
      <c r="E1116" s="1" t="s">
        <v>126</v>
      </c>
      <c r="F1116" s="7">
        <v>1</v>
      </c>
      <c r="G1116" s="7" t="s">
        <v>477</v>
      </c>
      <c r="H1116" s="7" t="s">
        <v>149</v>
      </c>
      <c r="I1116" s="7" t="s">
        <v>149</v>
      </c>
      <c r="J1116" s="7">
        <v>921</v>
      </c>
      <c r="K1116" s="7"/>
    </row>
    <row r="1117" spans="1:11" x14ac:dyDescent="0.2">
      <c r="A1117" s="7">
        <v>922</v>
      </c>
      <c r="B1117" s="7">
        <v>100</v>
      </c>
      <c r="C1117" s="1" t="str">
        <f t="shared" si="330"/>
        <v>JOSE FRANCISCO SOTO</v>
      </c>
      <c r="D1117" s="7" t="s">
        <v>133</v>
      </c>
      <c r="E1117" s="45" t="s">
        <v>126</v>
      </c>
      <c r="F1117" s="7">
        <v>2</v>
      </c>
      <c r="G1117" s="7" t="s">
        <v>476</v>
      </c>
      <c r="H1117" s="7" t="s">
        <v>472</v>
      </c>
      <c r="I1117" s="7" t="s">
        <v>472</v>
      </c>
      <c r="J1117" s="7">
        <v>922</v>
      </c>
      <c r="K1117" s="28" t="s">
        <v>638</v>
      </c>
    </row>
    <row r="1118" spans="1:11" x14ac:dyDescent="0.2">
      <c r="A1118" s="7">
        <v>1019</v>
      </c>
      <c r="B1118" s="7">
        <v>100</v>
      </c>
      <c r="C1118" s="1" t="str">
        <f t="shared" si="330"/>
        <v>JOSE FRANCISCO SOTO</v>
      </c>
      <c r="D1118" s="7" t="s">
        <v>133</v>
      </c>
      <c r="E1118" s="45" t="s">
        <v>126</v>
      </c>
      <c r="F1118" s="7">
        <v>1</v>
      </c>
      <c r="G1118" s="7" t="s">
        <v>476</v>
      </c>
      <c r="H1118" s="7" t="s">
        <v>474</v>
      </c>
      <c r="I1118" s="20" t="s">
        <v>474</v>
      </c>
      <c r="J1118" s="7">
        <v>1019</v>
      </c>
      <c r="K1118" s="7"/>
    </row>
    <row r="1119" spans="1:11" x14ac:dyDescent="0.2">
      <c r="A1119" s="7">
        <v>1020</v>
      </c>
      <c r="B1119" s="7">
        <v>100</v>
      </c>
      <c r="C1119" s="1" t="str">
        <f t="shared" si="330"/>
        <v>JOSE FRANCISCO SOTO</v>
      </c>
      <c r="D1119" s="7" t="s">
        <v>133</v>
      </c>
      <c r="E1119" s="1" t="s">
        <v>126</v>
      </c>
      <c r="F1119" s="7">
        <v>2</v>
      </c>
      <c r="G1119" s="7" t="s">
        <v>477</v>
      </c>
      <c r="H1119" s="7" t="s">
        <v>155</v>
      </c>
      <c r="I1119" s="7" t="s">
        <v>155</v>
      </c>
      <c r="J1119" s="7">
        <v>1020</v>
      </c>
      <c r="K1119" s="7"/>
    </row>
    <row r="1120" spans="1:11" x14ac:dyDescent="0.2">
      <c r="A1120" s="7">
        <v>1021</v>
      </c>
      <c r="B1120" s="7">
        <v>100</v>
      </c>
      <c r="C1120" s="1" t="str">
        <f t="shared" si="330"/>
        <v>JOSE FRANCISCO SOTO</v>
      </c>
      <c r="D1120" s="7" t="s">
        <v>133</v>
      </c>
      <c r="E1120" s="1" t="s">
        <v>126</v>
      </c>
      <c r="F1120" s="7">
        <v>2</v>
      </c>
      <c r="G1120" s="7" t="s">
        <v>477</v>
      </c>
      <c r="H1120" s="7" t="s">
        <v>475</v>
      </c>
      <c r="I1120" s="20" t="s">
        <v>475</v>
      </c>
      <c r="J1120" s="7">
        <v>1021</v>
      </c>
      <c r="K1120" s="7"/>
    </row>
    <row r="1121" spans="1:11" x14ac:dyDescent="0.2">
      <c r="A1121" s="7">
        <v>1022</v>
      </c>
      <c r="B1121" s="7">
        <v>100</v>
      </c>
      <c r="C1121" s="1" t="str">
        <f t="shared" si="330"/>
        <v>JOSE FRANCISCO SOTO</v>
      </c>
      <c r="D1121" s="7" t="s">
        <v>133</v>
      </c>
      <c r="E1121" s="1" t="s">
        <v>126</v>
      </c>
      <c r="F1121" s="7">
        <v>2</v>
      </c>
      <c r="G1121" s="7" t="s">
        <v>477</v>
      </c>
      <c r="H1121" s="7" t="s">
        <v>471</v>
      </c>
      <c r="I1121" s="20" t="s">
        <v>471</v>
      </c>
      <c r="J1121" s="7">
        <v>1022</v>
      </c>
      <c r="K1121" s="7"/>
    </row>
    <row r="1122" spans="1:11" x14ac:dyDescent="0.2">
      <c r="A1122" s="7">
        <v>1023</v>
      </c>
      <c r="B1122" s="7">
        <v>100</v>
      </c>
      <c r="C1122" s="1" t="str">
        <f t="shared" si="330"/>
        <v>JOSE FRANCISCO SOTO</v>
      </c>
      <c r="D1122" s="7" t="s">
        <v>133</v>
      </c>
      <c r="E1122" s="45" t="s">
        <v>126</v>
      </c>
      <c r="F1122" s="7">
        <v>2</v>
      </c>
      <c r="G1122" s="7" t="s">
        <v>477</v>
      </c>
      <c r="H1122" s="7" t="s">
        <v>149</v>
      </c>
      <c r="I1122" s="7" t="s">
        <v>149</v>
      </c>
      <c r="J1122" s="7">
        <v>1023</v>
      </c>
      <c r="K1122" s="7"/>
    </row>
    <row r="1123" spans="1:11" x14ac:dyDescent="0.2">
      <c r="A1123" s="7">
        <v>1077</v>
      </c>
      <c r="B1123" s="7">
        <v>100</v>
      </c>
      <c r="C1123" s="1" t="str">
        <f t="shared" si="330"/>
        <v>JOSE FRANCISCO SOTO</v>
      </c>
      <c r="D1123" s="7" t="s">
        <v>133</v>
      </c>
      <c r="E1123" s="45" t="s">
        <v>126</v>
      </c>
      <c r="F1123" s="7">
        <v>1</v>
      </c>
      <c r="G1123" s="7" t="s">
        <v>477</v>
      </c>
      <c r="H1123" s="7" t="s">
        <v>149</v>
      </c>
      <c r="I1123" s="7" t="s">
        <v>149</v>
      </c>
      <c r="J1123" s="7">
        <v>1077</v>
      </c>
      <c r="K1123" s="7"/>
    </row>
    <row r="1124" spans="1:11" x14ac:dyDescent="0.2">
      <c r="A1124" s="7">
        <v>1017</v>
      </c>
      <c r="B1124" s="7">
        <v>101</v>
      </c>
      <c r="C1124" s="1" t="str">
        <f t="shared" si="330"/>
        <v>LA CALERA 2</v>
      </c>
      <c r="D1124" s="7" t="s">
        <v>133</v>
      </c>
      <c r="E1124" s="1" t="s">
        <v>126</v>
      </c>
      <c r="F1124" s="7">
        <v>1</v>
      </c>
      <c r="G1124" s="7" t="s">
        <v>476</v>
      </c>
      <c r="H1124" s="7" t="s">
        <v>485</v>
      </c>
      <c r="I1124" s="20" t="s">
        <v>485</v>
      </c>
      <c r="J1124" s="7">
        <v>1017</v>
      </c>
      <c r="K1124" s="7"/>
    </row>
    <row r="1125" spans="1:11" x14ac:dyDescent="0.2">
      <c r="A1125" s="7">
        <v>1018</v>
      </c>
      <c r="B1125" s="7">
        <v>101</v>
      </c>
      <c r="C1125" s="1" t="str">
        <f t="shared" si="330"/>
        <v>LA CALERA 2</v>
      </c>
      <c r="D1125" s="7" t="s">
        <v>133</v>
      </c>
      <c r="E1125" s="1" t="s">
        <v>126</v>
      </c>
      <c r="F1125" s="7">
        <v>1</v>
      </c>
      <c r="G1125" s="7" t="s">
        <v>476</v>
      </c>
      <c r="H1125" s="7" t="s">
        <v>474</v>
      </c>
      <c r="I1125" s="20" t="s">
        <v>474</v>
      </c>
      <c r="J1125" s="7">
        <v>1018</v>
      </c>
      <c r="K1125" s="7"/>
    </row>
    <row r="1126" spans="1:11" x14ac:dyDescent="0.2">
      <c r="A1126" s="7">
        <v>1052</v>
      </c>
      <c r="B1126" s="7">
        <v>101</v>
      </c>
      <c r="C1126" s="1" t="str">
        <f t="shared" ref="C1126:C1157" si="331">IF(B1126=93.2,"JUAREZ 2",IF(B1126=94.1,"EL JARAL 1",IF(B1126=94.2,"EL JARAL 2",IF(B1126=94.3,"EL JARAL 3",IF(B1126=95.1,"CHUCANDIRO 1",IF(B1126=95.2,"CHUCANDIRO 2",IF(B1126=96,"EL ATORON",IF(B1126=97,"PRICILIANO MONCADA G",IF(B1126=98,"SANTA MARIA",IF(B1126=99,"LA CALERA 1",IF(B1126=100,"JOSE FRANCISCO SOTO",IF(B1126=101,"LA CALERA 2",IF(B1126=102,"LA CALERA 3",IF(B1126=103,"MOLINO DE SANTA ANA 1",IF(B1126=104,"SAN VICENTILLO",IF(B1126=105,"MOLINO DE SANTA ANA 2",IF(B1126=106.1,"LA PRESA 2",IF(B1126=106.2,"LA PRESA 1",IF(B1126=107,"LA PRESA 3",IF(B1126=108,"MOLINO LOS AGUACATES",IF(B1126=109,"EL SILO",IF(B1126=110,"ALDAMA"))))))))))))))))))))))</f>
        <v>LA CALERA 2</v>
      </c>
      <c r="D1126" s="7" t="s">
        <v>133</v>
      </c>
      <c r="E1126" s="45" t="s">
        <v>126</v>
      </c>
      <c r="F1126" s="7">
        <v>1</v>
      </c>
      <c r="G1126" s="7" t="s">
        <v>477</v>
      </c>
      <c r="H1126" s="7" t="s">
        <v>475</v>
      </c>
      <c r="I1126" s="7" t="s">
        <v>475</v>
      </c>
      <c r="J1126" s="7">
        <v>1052</v>
      </c>
      <c r="K1126" s="7"/>
    </row>
    <row r="1127" spans="1:11" x14ac:dyDescent="0.2">
      <c r="A1127" s="7">
        <v>1053</v>
      </c>
      <c r="B1127" s="7">
        <v>101</v>
      </c>
      <c r="C1127" s="1" t="str">
        <f t="shared" si="331"/>
        <v>LA CALERA 2</v>
      </c>
      <c r="D1127" s="7" t="s">
        <v>133</v>
      </c>
      <c r="E1127" s="45" t="s">
        <v>126</v>
      </c>
      <c r="F1127" s="7">
        <v>1</v>
      </c>
      <c r="G1127" s="7" t="s">
        <v>477</v>
      </c>
      <c r="H1127" s="7" t="s">
        <v>149</v>
      </c>
      <c r="I1127" s="7" t="s">
        <v>149</v>
      </c>
      <c r="J1127" s="7">
        <v>1053</v>
      </c>
      <c r="K1127" s="7"/>
    </row>
    <row r="1128" spans="1:11" x14ac:dyDescent="0.2">
      <c r="A1128" s="7">
        <v>1058</v>
      </c>
      <c r="B1128" s="7">
        <v>101</v>
      </c>
      <c r="C1128" s="1" t="str">
        <f t="shared" si="331"/>
        <v>LA CALERA 2</v>
      </c>
      <c r="D1128" s="7" t="s">
        <v>133</v>
      </c>
      <c r="E1128" s="1" t="s">
        <v>126</v>
      </c>
      <c r="F1128" s="7">
        <v>2</v>
      </c>
      <c r="G1128" s="7" t="s">
        <v>477</v>
      </c>
      <c r="H1128" s="7" t="s">
        <v>475</v>
      </c>
      <c r="I1128" s="7" t="s">
        <v>475</v>
      </c>
      <c r="J1128" s="7">
        <v>1058</v>
      </c>
      <c r="K1128" s="7"/>
    </row>
    <row r="1129" spans="1:11" x14ac:dyDescent="0.2">
      <c r="A1129" s="7">
        <v>1059</v>
      </c>
      <c r="B1129" s="7">
        <v>101</v>
      </c>
      <c r="C1129" s="1" t="str">
        <f t="shared" si="331"/>
        <v>LA CALERA 2</v>
      </c>
      <c r="D1129" s="7" t="s">
        <v>133</v>
      </c>
      <c r="E1129" s="45" t="s">
        <v>126</v>
      </c>
      <c r="F1129" s="7">
        <v>2</v>
      </c>
      <c r="G1129" s="7" t="s">
        <v>477</v>
      </c>
      <c r="H1129" s="7" t="s">
        <v>149</v>
      </c>
      <c r="I1129" s="7" t="s">
        <v>149</v>
      </c>
      <c r="J1129" s="7">
        <v>1059</v>
      </c>
      <c r="K1129" s="7"/>
    </row>
    <row r="1130" spans="1:11" x14ac:dyDescent="0.2">
      <c r="A1130" s="7">
        <v>1100</v>
      </c>
      <c r="B1130" s="7">
        <v>101</v>
      </c>
      <c r="C1130" s="1" t="str">
        <f t="shared" si="331"/>
        <v>LA CALERA 2</v>
      </c>
      <c r="D1130" s="7" t="s">
        <v>133</v>
      </c>
      <c r="E1130" s="1" t="s">
        <v>126</v>
      </c>
      <c r="F1130" s="7">
        <v>1</v>
      </c>
      <c r="G1130" s="7" t="s">
        <v>477</v>
      </c>
      <c r="H1130" s="7" t="s">
        <v>149</v>
      </c>
      <c r="I1130" s="7" t="s">
        <v>149</v>
      </c>
      <c r="J1130" s="7">
        <v>1100</v>
      </c>
      <c r="K1130" s="7"/>
    </row>
    <row r="1131" spans="1:11" x14ac:dyDescent="0.2">
      <c r="A1131" s="7">
        <v>1101</v>
      </c>
      <c r="B1131" s="7">
        <v>101</v>
      </c>
      <c r="C1131" s="1" t="str">
        <f t="shared" si="331"/>
        <v>LA CALERA 2</v>
      </c>
      <c r="D1131" s="7" t="s">
        <v>133</v>
      </c>
      <c r="E1131" s="1" t="s">
        <v>126</v>
      </c>
      <c r="F1131" s="7">
        <v>2</v>
      </c>
      <c r="G1131" s="7" t="s">
        <v>477</v>
      </c>
      <c r="H1131" s="7" t="s">
        <v>149</v>
      </c>
      <c r="I1131" s="7" t="s">
        <v>149</v>
      </c>
      <c r="J1131" s="7">
        <v>1101</v>
      </c>
      <c r="K1131" s="7"/>
    </row>
    <row r="1132" spans="1:11" x14ac:dyDescent="0.2">
      <c r="A1132" s="7">
        <v>916</v>
      </c>
      <c r="B1132" s="7">
        <v>102</v>
      </c>
      <c r="C1132" s="1" t="str">
        <f t="shared" si="331"/>
        <v>LA CALERA 3</v>
      </c>
      <c r="D1132" s="7" t="s">
        <v>133</v>
      </c>
      <c r="E1132" s="1" t="s">
        <v>126</v>
      </c>
      <c r="F1132" s="7">
        <v>1</v>
      </c>
      <c r="G1132" s="7" t="s">
        <v>476</v>
      </c>
      <c r="H1132" s="7" t="s">
        <v>155</v>
      </c>
      <c r="I1132" s="35" t="s">
        <v>155</v>
      </c>
      <c r="J1132" s="7">
        <v>916</v>
      </c>
      <c r="K1132" s="28" t="s">
        <v>638</v>
      </c>
    </row>
    <row r="1133" spans="1:11" x14ac:dyDescent="0.2">
      <c r="A1133" s="7">
        <v>917</v>
      </c>
      <c r="B1133" s="7">
        <v>102</v>
      </c>
      <c r="C1133" s="1" t="str">
        <f t="shared" si="331"/>
        <v>LA CALERA 3</v>
      </c>
      <c r="D1133" s="7" t="s">
        <v>133</v>
      </c>
      <c r="E1133" s="1" t="s">
        <v>126</v>
      </c>
      <c r="F1133" s="7">
        <v>1</v>
      </c>
      <c r="G1133" s="7" t="s">
        <v>476</v>
      </c>
      <c r="H1133" s="7" t="s">
        <v>155</v>
      </c>
      <c r="I1133" s="7" t="s">
        <v>155</v>
      </c>
      <c r="J1133" s="7">
        <v>917</v>
      </c>
      <c r="K1133" s="28" t="s">
        <v>638</v>
      </c>
    </row>
    <row r="1134" spans="1:11" x14ac:dyDescent="0.2">
      <c r="A1134" s="7">
        <v>918</v>
      </c>
      <c r="B1134" s="7">
        <v>102</v>
      </c>
      <c r="C1134" s="1" t="str">
        <f t="shared" si="331"/>
        <v>LA CALERA 3</v>
      </c>
      <c r="D1134" s="7" t="s">
        <v>133</v>
      </c>
      <c r="E1134" s="1" t="s">
        <v>126</v>
      </c>
      <c r="F1134" s="7">
        <v>1</v>
      </c>
      <c r="G1134" s="7" t="s">
        <v>476</v>
      </c>
      <c r="H1134" s="7" t="s">
        <v>155</v>
      </c>
      <c r="I1134" s="7" t="s">
        <v>155</v>
      </c>
      <c r="J1134" s="7">
        <v>918</v>
      </c>
      <c r="K1134" s="7"/>
    </row>
    <row r="1135" spans="1:11" x14ac:dyDescent="0.2">
      <c r="A1135" s="7">
        <v>1015</v>
      </c>
      <c r="B1135" s="7">
        <v>102</v>
      </c>
      <c r="C1135" s="1" t="str">
        <f t="shared" si="331"/>
        <v>LA CALERA 3</v>
      </c>
      <c r="D1135" s="7" t="s">
        <v>133</v>
      </c>
      <c r="E1135" s="45" t="s">
        <v>126</v>
      </c>
      <c r="F1135" s="7">
        <v>2</v>
      </c>
      <c r="G1135" s="7" t="s">
        <v>476</v>
      </c>
      <c r="H1135" s="7" t="s">
        <v>155</v>
      </c>
      <c r="I1135" s="7" t="s">
        <v>155</v>
      </c>
      <c r="J1135" s="7">
        <v>1015</v>
      </c>
      <c r="K1135" s="28" t="s">
        <v>638</v>
      </c>
    </row>
    <row r="1136" spans="1:11" x14ac:dyDescent="0.2">
      <c r="A1136" s="7">
        <v>1016</v>
      </c>
      <c r="B1136" s="7">
        <v>102</v>
      </c>
      <c r="C1136" s="1" t="str">
        <f t="shared" si="331"/>
        <v>LA CALERA 3</v>
      </c>
      <c r="D1136" s="7" t="s">
        <v>133</v>
      </c>
      <c r="E1136" s="45" t="s">
        <v>126</v>
      </c>
      <c r="F1136" s="7">
        <v>2</v>
      </c>
      <c r="G1136" s="7" t="s">
        <v>476</v>
      </c>
      <c r="H1136" s="7" t="s">
        <v>485</v>
      </c>
      <c r="I1136" s="20" t="s">
        <v>485</v>
      </c>
      <c r="J1136" s="7">
        <v>1016</v>
      </c>
      <c r="K1136" s="7"/>
    </row>
    <row r="1137" spans="1:11" x14ac:dyDescent="0.2">
      <c r="A1137" s="7">
        <v>1057</v>
      </c>
      <c r="B1137" s="7">
        <v>102</v>
      </c>
      <c r="C1137" s="1" t="str">
        <f t="shared" si="331"/>
        <v>LA CALERA 3</v>
      </c>
      <c r="D1137" s="7" t="s">
        <v>133</v>
      </c>
      <c r="E1137" s="45" t="s">
        <v>126</v>
      </c>
      <c r="F1137" s="7">
        <v>2</v>
      </c>
      <c r="G1137" s="7" t="s">
        <v>477</v>
      </c>
      <c r="H1137" s="7" t="s">
        <v>149</v>
      </c>
      <c r="I1137" s="7" t="s">
        <v>149</v>
      </c>
      <c r="J1137" s="7">
        <v>1057</v>
      </c>
      <c r="K1137" s="7"/>
    </row>
    <row r="1138" spans="1:11" x14ac:dyDescent="0.2">
      <c r="A1138" s="7">
        <v>1060</v>
      </c>
      <c r="B1138" s="7">
        <v>102</v>
      </c>
      <c r="C1138" s="1" t="str">
        <f t="shared" si="331"/>
        <v>LA CALERA 3</v>
      </c>
      <c r="D1138" s="7" t="s">
        <v>133</v>
      </c>
      <c r="E1138" s="45" t="s">
        <v>126</v>
      </c>
      <c r="F1138" s="7">
        <v>1</v>
      </c>
      <c r="G1138" s="7" t="s">
        <v>477</v>
      </c>
      <c r="H1138" s="7" t="s">
        <v>473</v>
      </c>
      <c r="I1138" s="26" t="s">
        <v>473</v>
      </c>
      <c r="J1138" s="26">
        <v>1060</v>
      </c>
      <c r="K1138" s="7"/>
    </row>
    <row r="1139" spans="1:11" x14ac:dyDescent="0.2">
      <c r="A1139" s="7">
        <v>1061</v>
      </c>
      <c r="B1139" s="7">
        <v>102</v>
      </c>
      <c r="C1139" s="1" t="str">
        <f t="shared" si="331"/>
        <v>LA CALERA 3</v>
      </c>
      <c r="D1139" s="7" t="s">
        <v>133</v>
      </c>
      <c r="E1139" s="1" t="s">
        <v>126</v>
      </c>
      <c r="F1139" s="7">
        <v>1</v>
      </c>
      <c r="G1139" s="7" t="s">
        <v>477</v>
      </c>
      <c r="H1139" s="7" t="s">
        <v>149</v>
      </c>
      <c r="I1139" s="7" t="s">
        <v>149</v>
      </c>
      <c r="J1139" s="7">
        <v>1061</v>
      </c>
      <c r="K1139" s="7"/>
    </row>
    <row r="1140" spans="1:11" x14ac:dyDescent="0.2">
      <c r="A1140" s="7">
        <v>1102</v>
      </c>
      <c r="B1140" s="7">
        <v>102</v>
      </c>
      <c r="C1140" s="1" t="str">
        <f t="shared" si="331"/>
        <v>LA CALERA 3</v>
      </c>
      <c r="D1140" s="7" t="s">
        <v>133</v>
      </c>
      <c r="E1140" s="1" t="s">
        <v>126</v>
      </c>
      <c r="F1140" s="7">
        <v>1</v>
      </c>
      <c r="G1140" s="7" t="s">
        <v>477</v>
      </c>
      <c r="H1140" s="7" t="s">
        <v>149</v>
      </c>
      <c r="I1140" s="7" t="s">
        <v>149</v>
      </c>
      <c r="J1140" s="7">
        <v>1102</v>
      </c>
      <c r="K1140" s="7"/>
    </row>
    <row r="1141" spans="1:11" x14ac:dyDescent="0.2">
      <c r="A1141" s="7">
        <v>1103</v>
      </c>
      <c r="B1141" s="7">
        <v>102</v>
      </c>
      <c r="C1141" s="1" t="str">
        <f t="shared" si="331"/>
        <v>LA CALERA 3</v>
      </c>
      <c r="D1141" s="7" t="s">
        <v>133</v>
      </c>
      <c r="E1141" s="1" t="s">
        <v>126</v>
      </c>
      <c r="F1141" s="7">
        <v>2</v>
      </c>
      <c r="G1141" s="7" t="s">
        <v>477</v>
      </c>
      <c r="H1141" s="7" t="s">
        <v>473</v>
      </c>
      <c r="I1141" s="26" t="s">
        <v>473</v>
      </c>
      <c r="J1141" s="26">
        <v>1103</v>
      </c>
      <c r="K1141" s="7"/>
    </row>
    <row r="1142" spans="1:11" x14ac:dyDescent="0.2">
      <c r="A1142" s="7">
        <v>1104</v>
      </c>
      <c r="B1142" s="7">
        <v>102</v>
      </c>
      <c r="C1142" s="1" t="str">
        <f t="shared" si="331"/>
        <v>LA CALERA 3</v>
      </c>
      <c r="D1142" s="7" t="s">
        <v>133</v>
      </c>
      <c r="E1142" s="1" t="s">
        <v>126</v>
      </c>
      <c r="F1142" s="7">
        <v>2</v>
      </c>
      <c r="G1142" s="7" t="s">
        <v>477</v>
      </c>
      <c r="H1142" s="7" t="s">
        <v>149</v>
      </c>
      <c r="I1142" s="7" t="s">
        <v>149</v>
      </c>
      <c r="J1142" s="7">
        <v>1104</v>
      </c>
      <c r="K1142" s="7"/>
    </row>
    <row r="1143" spans="1:11" x14ac:dyDescent="0.2">
      <c r="A1143" s="7">
        <v>913</v>
      </c>
      <c r="B1143" s="7">
        <v>103</v>
      </c>
      <c r="C1143" s="1" t="str">
        <f t="shared" si="331"/>
        <v>MOLINO DE SANTA ANA 1</v>
      </c>
      <c r="D1143" s="7" t="s">
        <v>133</v>
      </c>
      <c r="E1143" s="1" t="s">
        <v>126</v>
      </c>
      <c r="F1143" s="7">
        <v>2</v>
      </c>
      <c r="G1143" s="7" t="s">
        <v>476</v>
      </c>
      <c r="H1143" s="7" t="s">
        <v>642</v>
      </c>
      <c r="I1143" s="7" t="s">
        <v>642</v>
      </c>
      <c r="J1143" s="7">
        <v>913</v>
      </c>
      <c r="K1143" s="7"/>
    </row>
    <row r="1144" spans="1:11" x14ac:dyDescent="0.2">
      <c r="A1144" s="7">
        <v>914</v>
      </c>
      <c r="B1144" s="7">
        <v>103</v>
      </c>
      <c r="C1144" s="1" t="str">
        <f t="shared" si="331"/>
        <v>MOLINO DE SANTA ANA 1</v>
      </c>
      <c r="D1144" s="7" t="s">
        <v>133</v>
      </c>
      <c r="E1144" s="45" t="s">
        <v>126</v>
      </c>
      <c r="F1144" s="7">
        <v>2</v>
      </c>
      <c r="G1144" s="7" t="s">
        <v>476</v>
      </c>
      <c r="H1144" s="7" t="s">
        <v>642</v>
      </c>
      <c r="I1144" s="7" t="s">
        <v>642</v>
      </c>
      <c r="J1144" s="7">
        <v>914</v>
      </c>
      <c r="K1144" s="7"/>
    </row>
    <row r="1145" spans="1:11" x14ac:dyDescent="0.2">
      <c r="A1145" s="7">
        <v>915</v>
      </c>
      <c r="B1145" s="7">
        <v>103</v>
      </c>
      <c r="C1145" s="1" t="str">
        <f t="shared" si="331"/>
        <v>MOLINO DE SANTA ANA 1</v>
      </c>
      <c r="D1145" s="7" t="s">
        <v>133</v>
      </c>
      <c r="E1145" s="45" t="s">
        <v>126</v>
      </c>
      <c r="F1145" s="7">
        <v>2</v>
      </c>
      <c r="G1145" s="7" t="s">
        <v>476</v>
      </c>
      <c r="H1145" s="7" t="s">
        <v>642</v>
      </c>
      <c r="I1145" s="7" t="s">
        <v>642</v>
      </c>
      <c r="J1145" s="7">
        <v>915</v>
      </c>
      <c r="K1145" s="7"/>
    </row>
    <row r="1146" spans="1:11" x14ac:dyDescent="0.2">
      <c r="A1146" s="7">
        <v>1063</v>
      </c>
      <c r="B1146" s="7">
        <v>103</v>
      </c>
      <c r="C1146" s="1" t="str">
        <f t="shared" si="331"/>
        <v>MOLINO DE SANTA ANA 1</v>
      </c>
      <c r="D1146" s="7" t="s">
        <v>133</v>
      </c>
      <c r="E1146" s="45" t="s">
        <v>126</v>
      </c>
      <c r="F1146" s="7">
        <v>2</v>
      </c>
      <c r="G1146" s="7" t="s">
        <v>477</v>
      </c>
      <c r="H1146" s="7" t="s">
        <v>473</v>
      </c>
      <c r="I1146" s="26" t="s">
        <v>473</v>
      </c>
      <c r="J1146" s="26">
        <v>1063</v>
      </c>
      <c r="K1146" s="7"/>
    </row>
    <row r="1147" spans="1:11" x14ac:dyDescent="0.2">
      <c r="A1147" s="7">
        <v>1064</v>
      </c>
      <c r="B1147" s="7">
        <v>103</v>
      </c>
      <c r="C1147" s="1" t="str">
        <f t="shared" si="331"/>
        <v>MOLINO DE SANTA ANA 1</v>
      </c>
      <c r="D1147" s="7" t="s">
        <v>133</v>
      </c>
      <c r="E1147" s="45" t="s">
        <v>126</v>
      </c>
      <c r="F1147" s="7">
        <v>1</v>
      </c>
      <c r="G1147" s="7" t="s">
        <v>477</v>
      </c>
      <c r="H1147" s="7" t="s">
        <v>149</v>
      </c>
      <c r="I1147" s="7" t="s">
        <v>149</v>
      </c>
      <c r="J1147" s="7">
        <v>1064</v>
      </c>
      <c r="K1147" s="7"/>
    </row>
    <row r="1148" spans="1:11" x14ac:dyDescent="0.2">
      <c r="A1148" s="7">
        <v>1105</v>
      </c>
      <c r="B1148" s="7">
        <v>103</v>
      </c>
      <c r="C1148" s="1" t="str">
        <f t="shared" si="331"/>
        <v>MOLINO DE SANTA ANA 1</v>
      </c>
      <c r="D1148" s="7" t="s">
        <v>133</v>
      </c>
      <c r="E1148" s="45" t="s">
        <v>126</v>
      </c>
      <c r="F1148" s="7">
        <v>1</v>
      </c>
      <c r="G1148" s="7" t="s">
        <v>477</v>
      </c>
      <c r="H1148" s="7" t="s">
        <v>149</v>
      </c>
      <c r="I1148" s="7" t="s">
        <v>149</v>
      </c>
      <c r="J1148" s="7">
        <v>1105</v>
      </c>
      <c r="K1148" s="7"/>
    </row>
    <row r="1149" spans="1:11" x14ac:dyDescent="0.2">
      <c r="A1149" s="7">
        <v>1106</v>
      </c>
      <c r="B1149" s="7">
        <v>103</v>
      </c>
      <c r="C1149" s="1" t="str">
        <f t="shared" si="331"/>
        <v>MOLINO DE SANTA ANA 1</v>
      </c>
      <c r="D1149" s="7" t="s">
        <v>133</v>
      </c>
      <c r="E1149" s="45" t="s">
        <v>126</v>
      </c>
      <c r="F1149" s="7">
        <v>1</v>
      </c>
      <c r="G1149" s="7" t="s">
        <v>477</v>
      </c>
      <c r="H1149" s="7" t="s">
        <v>473</v>
      </c>
      <c r="I1149" s="26" t="s">
        <v>473</v>
      </c>
      <c r="J1149" s="26">
        <v>1106</v>
      </c>
      <c r="K1149" s="7"/>
    </row>
    <row r="1150" spans="1:11" x14ac:dyDescent="0.2">
      <c r="A1150" s="7">
        <v>1107</v>
      </c>
      <c r="B1150" s="7">
        <v>103</v>
      </c>
      <c r="C1150" s="1" t="str">
        <f t="shared" si="331"/>
        <v>MOLINO DE SANTA ANA 1</v>
      </c>
      <c r="D1150" s="7" t="s">
        <v>133</v>
      </c>
      <c r="E1150" s="45" t="s">
        <v>126</v>
      </c>
      <c r="F1150" s="7">
        <v>2</v>
      </c>
      <c r="G1150" s="7" t="s">
        <v>477</v>
      </c>
      <c r="H1150" s="7" t="s">
        <v>473</v>
      </c>
      <c r="I1150" s="26" t="s">
        <v>473</v>
      </c>
      <c r="J1150" s="26">
        <v>1107</v>
      </c>
      <c r="K1150" s="7"/>
    </row>
    <row r="1151" spans="1:11" x14ac:dyDescent="0.2">
      <c r="A1151" s="7">
        <v>1012</v>
      </c>
      <c r="B1151" s="7">
        <v>104</v>
      </c>
      <c r="C1151" s="1" t="str">
        <f t="shared" si="331"/>
        <v>SAN VICENTILLO</v>
      </c>
      <c r="D1151" s="7" t="s">
        <v>133</v>
      </c>
      <c r="E1151" s="45" t="s">
        <v>126</v>
      </c>
      <c r="F1151" s="7">
        <v>1</v>
      </c>
      <c r="G1151" s="7" t="s">
        <v>476</v>
      </c>
      <c r="H1151" s="7" t="s">
        <v>475</v>
      </c>
      <c r="I1151" s="20" t="s">
        <v>475</v>
      </c>
      <c r="J1151" s="7">
        <v>1012</v>
      </c>
      <c r="K1151" s="7"/>
    </row>
    <row r="1152" spans="1:11" x14ac:dyDescent="0.2">
      <c r="A1152" s="7">
        <v>1013</v>
      </c>
      <c r="B1152" s="7">
        <v>104</v>
      </c>
      <c r="C1152" s="1" t="str">
        <f t="shared" si="331"/>
        <v>SAN VICENTILLO</v>
      </c>
      <c r="D1152" s="7" t="s">
        <v>133</v>
      </c>
      <c r="E1152" s="45" t="s">
        <v>126</v>
      </c>
      <c r="F1152" s="7">
        <v>1</v>
      </c>
      <c r="G1152" s="7" t="s">
        <v>476</v>
      </c>
      <c r="H1152" s="7" t="s">
        <v>485</v>
      </c>
      <c r="I1152" s="20" t="s">
        <v>485</v>
      </c>
      <c r="J1152" s="7">
        <v>1013</v>
      </c>
      <c r="K1152" s="7"/>
    </row>
    <row r="1153" spans="1:11" x14ac:dyDescent="0.2">
      <c r="A1153" s="7">
        <v>1014</v>
      </c>
      <c r="B1153" s="7">
        <v>104</v>
      </c>
      <c r="C1153" s="1" t="str">
        <f t="shared" si="331"/>
        <v>SAN VICENTILLO</v>
      </c>
      <c r="D1153" s="7" t="s">
        <v>133</v>
      </c>
      <c r="E1153" s="45" t="s">
        <v>126</v>
      </c>
      <c r="F1153" s="7">
        <v>1</v>
      </c>
      <c r="G1153" s="7" t="s">
        <v>476</v>
      </c>
      <c r="H1153" s="7" t="s">
        <v>474</v>
      </c>
      <c r="I1153" s="20" t="s">
        <v>474</v>
      </c>
      <c r="J1153" s="7">
        <v>1014</v>
      </c>
      <c r="K1153" s="7"/>
    </row>
    <row r="1154" spans="1:11" x14ac:dyDescent="0.2">
      <c r="A1154" s="7">
        <v>1056</v>
      </c>
      <c r="B1154" s="7">
        <v>104</v>
      </c>
      <c r="C1154" s="1" t="str">
        <f t="shared" si="331"/>
        <v>SAN VICENTILLO</v>
      </c>
      <c r="D1154" s="7" t="s">
        <v>133</v>
      </c>
      <c r="E1154" s="45" t="s">
        <v>126</v>
      </c>
      <c r="F1154" s="7">
        <v>1</v>
      </c>
      <c r="G1154" s="7" t="s">
        <v>477</v>
      </c>
      <c r="H1154" s="7" t="s">
        <v>149</v>
      </c>
      <c r="I1154" s="7" t="s">
        <v>149</v>
      </c>
      <c r="J1154" s="7">
        <v>1056</v>
      </c>
      <c r="K1154" s="7"/>
    </row>
    <row r="1155" spans="1:11" x14ac:dyDescent="0.2">
      <c r="A1155" s="7">
        <v>1108</v>
      </c>
      <c r="B1155" s="13">
        <v>104</v>
      </c>
      <c r="C1155" s="48" t="str">
        <f t="shared" si="331"/>
        <v>SAN VICENTILLO</v>
      </c>
      <c r="D1155" s="13" t="s">
        <v>133</v>
      </c>
      <c r="E1155" s="48" t="s">
        <v>126</v>
      </c>
      <c r="F1155" s="13">
        <v>1</v>
      </c>
      <c r="G1155" s="13" t="s">
        <v>477</v>
      </c>
      <c r="H1155" s="7" t="s">
        <v>149</v>
      </c>
      <c r="I1155" s="13" t="s">
        <v>149</v>
      </c>
      <c r="J1155" s="7">
        <v>1108</v>
      </c>
      <c r="K1155" s="13"/>
    </row>
    <row r="1156" spans="1:11" x14ac:dyDescent="0.2">
      <c r="A1156" s="7">
        <v>1109</v>
      </c>
      <c r="B1156" s="7">
        <v>104</v>
      </c>
      <c r="C1156" s="45" t="str">
        <f t="shared" si="331"/>
        <v>SAN VICENTILLO</v>
      </c>
      <c r="D1156" s="7" t="s">
        <v>133</v>
      </c>
      <c r="E1156" s="45" t="s">
        <v>126</v>
      </c>
      <c r="F1156" s="7">
        <v>2</v>
      </c>
      <c r="G1156" s="7" t="s">
        <v>477</v>
      </c>
      <c r="H1156" s="7" t="s">
        <v>149</v>
      </c>
      <c r="I1156" s="7" t="s">
        <v>149</v>
      </c>
      <c r="J1156" s="7">
        <v>1109</v>
      </c>
      <c r="K1156" s="7"/>
    </row>
    <row r="1157" spans="1:11" x14ac:dyDescent="0.2">
      <c r="A1157" s="7">
        <v>907</v>
      </c>
      <c r="B1157" s="7">
        <v>105</v>
      </c>
      <c r="C1157" s="45" t="str">
        <f t="shared" si="331"/>
        <v>MOLINO DE SANTA ANA 2</v>
      </c>
      <c r="D1157" s="7" t="s">
        <v>133</v>
      </c>
      <c r="E1157" s="45" t="s">
        <v>126</v>
      </c>
      <c r="F1157" s="7">
        <v>2</v>
      </c>
      <c r="G1157" s="7" t="s">
        <v>476</v>
      </c>
      <c r="H1157" s="7" t="s">
        <v>149</v>
      </c>
      <c r="I1157" s="7" t="s">
        <v>149</v>
      </c>
      <c r="J1157" s="7">
        <v>907</v>
      </c>
      <c r="K1157" s="7"/>
    </row>
    <row r="1158" spans="1:11" x14ac:dyDescent="0.2">
      <c r="A1158" s="7">
        <v>908</v>
      </c>
      <c r="B1158" s="7">
        <v>105</v>
      </c>
      <c r="C1158" s="45" t="str">
        <f t="shared" ref="C1158:C1189" si="332">IF(B1158=93.2,"JUAREZ 2",IF(B1158=94.1,"EL JARAL 1",IF(B1158=94.2,"EL JARAL 2",IF(B1158=94.3,"EL JARAL 3",IF(B1158=95.1,"CHUCANDIRO 1",IF(B1158=95.2,"CHUCANDIRO 2",IF(B1158=96,"EL ATORON",IF(B1158=97,"PRICILIANO MONCADA G",IF(B1158=98,"SANTA MARIA",IF(B1158=99,"LA CALERA 1",IF(B1158=100,"JOSE FRANCISCO SOTO",IF(B1158=101,"LA CALERA 2",IF(B1158=102,"LA CALERA 3",IF(B1158=103,"MOLINO DE SANTA ANA 1",IF(B1158=104,"SAN VICENTILLO",IF(B1158=105,"MOLINO DE SANTA ANA 2",IF(B1158=106.1,"LA PRESA 2",IF(B1158=106.2,"LA PRESA 1",IF(B1158=107,"LA PRESA 3",IF(B1158=108,"MOLINO LOS AGUACATES",IF(B1158=109,"EL SILO",IF(B1158=110,"ALDAMA"))))))))))))))))))))))</f>
        <v>MOLINO DE SANTA ANA 2</v>
      </c>
      <c r="D1158" s="7" t="s">
        <v>133</v>
      </c>
      <c r="E1158" s="45" t="s">
        <v>126</v>
      </c>
      <c r="F1158" s="7">
        <v>2</v>
      </c>
      <c r="G1158" s="7" t="s">
        <v>476</v>
      </c>
      <c r="H1158" s="7" t="s">
        <v>485</v>
      </c>
      <c r="I1158" s="7" t="s">
        <v>485</v>
      </c>
      <c r="J1158" s="10">
        <v>908</v>
      </c>
      <c r="K1158" s="7"/>
    </row>
    <row r="1159" spans="1:11" x14ac:dyDescent="0.2">
      <c r="A1159" s="7">
        <v>909</v>
      </c>
      <c r="B1159" s="7">
        <v>105</v>
      </c>
      <c r="C1159" s="45" t="str">
        <f t="shared" si="332"/>
        <v>MOLINO DE SANTA ANA 2</v>
      </c>
      <c r="D1159" s="7" t="s">
        <v>133</v>
      </c>
      <c r="E1159" s="45" t="s">
        <v>126</v>
      </c>
      <c r="F1159" s="7">
        <v>2</v>
      </c>
      <c r="G1159" s="7" t="s">
        <v>476</v>
      </c>
      <c r="H1159" s="7" t="s">
        <v>485</v>
      </c>
      <c r="I1159" s="7" t="s">
        <v>485</v>
      </c>
      <c r="J1159" s="10">
        <v>909</v>
      </c>
      <c r="K1159" s="7"/>
    </row>
    <row r="1160" spans="1:11" x14ac:dyDescent="0.2">
      <c r="A1160" s="7">
        <v>910</v>
      </c>
      <c r="B1160" s="7">
        <v>105</v>
      </c>
      <c r="C1160" s="48" t="str">
        <f t="shared" si="332"/>
        <v>MOLINO DE SANTA ANA 2</v>
      </c>
      <c r="D1160" s="13" t="s">
        <v>133</v>
      </c>
      <c r="E1160" s="48" t="s">
        <v>126</v>
      </c>
      <c r="F1160" s="13">
        <v>2</v>
      </c>
      <c r="G1160" s="13" t="s">
        <v>476</v>
      </c>
      <c r="H1160" s="7" t="s">
        <v>155</v>
      </c>
      <c r="I1160" s="13" t="s">
        <v>155</v>
      </c>
      <c r="J1160" s="7">
        <v>910</v>
      </c>
      <c r="K1160" s="59" t="s">
        <v>638</v>
      </c>
    </row>
    <row r="1161" spans="1:11" x14ac:dyDescent="0.2">
      <c r="A1161" s="7">
        <v>911</v>
      </c>
      <c r="B1161" s="7">
        <v>105</v>
      </c>
      <c r="C1161" s="45" t="str">
        <f t="shared" si="332"/>
        <v>MOLINO DE SANTA ANA 2</v>
      </c>
      <c r="D1161" s="7" t="s">
        <v>133</v>
      </c>
      <c r="E1161" s="45" t="s">
        <v>126</v>
      </c>
      <c r="F1161" s="7">
        <v>1</v>
      </c>
      <c r="G1161" s="7" t="s">
        <v>476</v>
      </c>
      <c r="H1161" s="7" t="s">
        <v>155</v>
      </c>
      <c r="I1161" s="7" t="s">
        <v>155</v>
      </c>
      <c r="J1161" s="7">
        <v>911</v>
      </c>
      <c r="K1161" s="28" t="s">
        <v>638</v>
      </c>
    </row>
    <row r="1162" spans="1:11" x14ac:dyDescent="0.2">
      <c r="A1162" s="7">
        <v>912</v>
      </c>
      <c r="B1162" s="7">
        <v>105</v>
      </c>
      <c r="C1162" s="45" t="str">
        <f t="shared" si="332"/>
        <v>MOLINO DE SANTA ANA 2</v>
      </c>
      <c r="D1162" s="7" t="s">
        <v>133</v>
      </c>
      <c r="E1162" s="45" t="s">
        <v>126</v>
      </c>
      <c r="F1162" s="7">
        <v>1</v>
      </c>
      <c r="G1162" s="7" t="s">
        <v>476</v>
      </c>
      <c r="H1162" s="7" t="s">
        <v>155</v>
      </c>
      <c r="I1162" s="7" t="s">
        <v>155</v>
      </c>
      <c r="J1162" s="7">
        <v>912</v>
      </c>
      <c r="K1162" s="7"/>
    </row>
    <row r="1163" spans="1:11" x14ac:dyDescent="0.2">
      <c r="A1163" s="7">
        <v>1010</v>
      </c>
      <c r="B1163" s="7">
        <v>105</v>
      </c>
      <c r="C1163" s="45" t="str">
        <f t="shared" si="332"/>
        <v>MOLINO DE SANTA ANA 2</v>
      </c>
      <c r="D1163" s="7" t="s">
        <v>133</v>
      </c>
      <c r="E1163" s="45" t="s">
        <v>126</v>
      </c>
      <c r="F1163" s="7">
        <v>1</v>
      </c>
      <c r="G1163" s="7" t="s">
        <v>477</v>
      </c>
      <c r="H1163" s="7" t="s">
        <v>149</v>
      </c>
      <c r="I1163" s="7" t="s">
        <v>149</v>
      </c>
      <c r="J1163" s="7">
        <v>1010</v>
      </c>
      <c r="K1163" s="7"/>
    </row>
    <row r="1164" spans="1:11" x14ac:dyDescent="0.2">
      <c r="A1164" s="7">
        <v>1011</v>
      </c>
      <c r="B1164" s="7">
        <v>105</v>
      </c>
      <c r="C1164" s="45" t="str">
        <f t="shared" si="332"/>
        <v>MOLINO DE SANTA ANA 2</v>
      </c>
      <c r="D1164" s="7" t="s">
        <v>133</v>
      </c>
      <c r="E1164" s="45" t="s">
        <v>126</v>
      </c>
      <c r="F1164" s="7">
        <v>1</v>
      </c>
      <c r="G1164" s="7" t="s">
        <v>477</v>
      </c>
      <c r="H1164" s="7" t="s">
        <v>471</v>
      </c>
      <c r="I1164" s="20" t="s">
        <v>471</v>
      </c>
      <c r="J1164" s="7">
        <v>1011</v>
      </c>
      <c r="K1164" s="7"/>
    </row>
    <row r="1165" spans="1:11" x14ac:dyDescent="0.2">
      <c r="A1165" s="7">
        <v>1082</v>
      </c>
      <c r="B1165" s="7">
        <v>105</v>
      </c>
      <c r="C1165" s="45" t="str">
        <f t="shared" si="332"/>
        <v>MOLINO DE SANTA ANA 2</v>
      </c>
      <c r="D1165" s="7" t="s">
        <v>133</v>
      </c>
      <c r="E1165" s="45" t="s">
        <v>126</v>
      </c>
      <c r="F1165" s="7">
        <v>2</v>
      </c>
      <c r="G1165" s="7" t="s">
        <v>477</v>
      </c>
      <c r="H1165" s="7" t="s">
        <v>475</v>
      </c>
      <c r="I1165" s="7" t="s">
        <v>475</v>
      </c>
      <c r="J1165" s="7">
        <v>1082</v>
      </c>
      <c r="K1165" s="7"/>
    </row>
    <row r="1166" spans="1:11" x14ac:dyDescent="0.2">
      <c r="A1166" s="7">
        <v>1083</v>
      </c>
      <c r="B1166" s="7">
        <v>105</v>
      </c>
      <c r="C1166" s="45" t="str">
        <f t="shared" si="332"/>
        <v>MOLINO DE SANTA ANA 2</v>
      </c>
      <c r="D1166" s="7" t="s">
        <v>133</v>
      </c>
      <c r="E1166" s="45" t="s">
        <v>126</v>
      </c>
      <c r="F1166" s="7">
        <v>2</v>
      </c>
      <c r="G1166" s="7" t="s">
        <v>477</v>
      </c>
      <c r="H1166" s="7" t="s">
        <v>149</v>
      </c>
      <c r="I1166" s="7" t="s">
        <v>149</v>
      </c>
      <c r="J1166" s="7">
        <v>1083</v>
      </c>
      <c r="K1166" s="7"/>
    </row>
    <row r="1167" spans="1:11" x14ac:dyDescent="0.2">
      <c r="A1167" s="7">
        <v>1009</v>
      </c>
      <c r="B1167" s="7">
        <v>106.1</v>
      </c>
      <c r="C1167" s="45" t="str">
        <f t="shared" si="332"/>
        <v>LA PRESA 2</v>
      </c>
      <c r="D1167" s="7" t="s">
        <v>133</v>
      </c>
      <c r="E1167" s="45" t="s">
        <v>126</v>
      </c>
      <c r="F1167" s="7">
        <v>1</v>
      </c>
      <c r="G1167" s="7" t="s">
        <v>476</v>
      </c>
      <c r="H1167" s="7" t="s">
        <v>473</v>
      </c>
      <c r="I1167" s="26" t="s">
        <v>473</v>
      </c>
      <c r="J1167" s="26">
        <v>1009</v>
      </c>
      <c r="K1167" s="7"/>
    </row>
    <row r="1168" spans="1:11" x14ac:dyDescent="0.2">
      <c r="A1168" s="7">
        <v>1091</v>
      </c>
      <c r="B1168" s="7">
        <v>106.1</v>
      </c>
      <c r="C1168" s="45" t="str">
        <f t="shared" si="332"/>
        <v>LA PRESA 2</v>
      </c>
      <c r="D1168" s="7" t="s">
        <v>133</v>
      </c>
      <c r="E1168" s="45" t="s">
        <v>126</v>
      </c>
      <c r="F1168" s="7">
        <v>1</v>
      </c>
      <c r="G1168" s="7" t="s">
        <v>477</v>
      </c>
      <c r="H1168" s="7" t="s">
        <v>473</v>
      </c>
      <c r="I1168" s="26" t="s">
        <v>473</v>
      </c>
      <c r="J1168" s="26">
        <v>1091</v>
      </c>
      <c r="K1168" s="7"/>
    </row>
    <row r="1169" spans="1:11" x14ac:dyDescent="0.2">
      <c r="A1169" s="7">
        <v>1092</v>
      </c>
      <c r="B1169" s="7">
        <v>106.1</v>
      </c>
      <c r="C1169" s="45" t="str">
        <f t="shared" si="332"/>
        <v>LA PRESA 2</v>
      </c>
      <c r="D1169" s="7" t="s">
        <v>133</v>
      </c>
      <c r="E1169" s="45" t="s">
        <v>126</v>
      </c>
      <c r="F1169" s="7">
        <v>1</v>
      </c>
      <c r="G1169" s="7" t="s">
        <v>477</v>
      </c>
      <c r="H1169" s="7" t="s">
        <v>149</v>
      </c>
      <c r="I1169" s="7" t="s">
        <v>149</v>
      </c>
      <c r="J1169" s="7">
        <v>1092</v>
      </c>
      <c r="K1169" s="7"/>
    </row>
    <row r="1170" spans="1:11" x14ac:dyDescent="0.2">
      <c r="A1170" s="7">
        <v>997</v>
      </c>
      <c r="B1170" s="7">
        <v>106.2</v>
      </c>
      <c r="C1170" s="45" t="str">
        <f t="shared" si="332"/>
        <v>LA PRESA 1</v>
      </c>
      <c r="D1170" s="7" t="s">
        <v>133</v>
      </c>
      <c r="E1170" s="7" t="str">
        <f t="shared" ref="E1170:E1178" si="333">IF(B1170=92,"FRONTERA",IF(B1170=93.1,"VICTOR",IF(B1170=93.2,"CAMINO REAL",IF(B1170=94.1,"FRONTERA",IF(B1170=94.2,"CAMINO REAL",IF(B1170=94.3,"FRONTERA",IF(B1170=95.1,"CAMINO REAL",IF(B1170=95.2,"CAMINO REAL",IF(B1170=96,"FESTIVAL",IF(B1170=97,"CAMINO REAL",IF(B1170=98,"CAMINO REAL",IF(B1170=99,"CAMINO REAL",IF(B1170=100,"CAMINO REAL",IF(B1170=101,"CAMINO REAL",IF(B1170=102,"CAMINO REAL",IF(B1170=103,"CAMINO REAL",IF(B1170=104,"CAMINO REAL",IF(B1170=105,"CAMINO REAL",IF(B1170=106.1,"CAMINO REAL",IF(B1170=106.2,"FESTIVAL",IF(B1170=107,"CAMINO REAL",IF(B1170=108,"CAMINO REAL",IF(B1170=109,"CAMINO REAL",IF(B1170=110,"CAMINO REAL"))))))))))))))))))))))))</f>
        <v>FESTIVAL</v>
      </c>
      <c r="F1170" s="7">
        <v>1</v>
      </c>
      <c r="G1170" s="7" t="s">
        <v>476</v>
      </c>
      <c r="H1170" s="7" t="s">
        <v>155</v>
      </c>
      <c r="I1170" s="7" t="s">
        <v>155</v>
      </c>
      <c r="J1170" s="7">
        <v>997</v>
      </c>
      <c r="K1170" s="7"/>
    </row>
    <row r="1171" spans="1:11" x14ac:dyDescent="0.2">
      <c r="A1171" s="7">
        <v>998</v>
      </c>
      <c r="B1171" s="7">
        <v>106.2</v>
      </c>
      <c r="C1171" s="45" t="str">
        <f t="shared" si="332"/>
        <v>LA PRESA 1</v>
      </c>
      <c r="D1171" s="7" t="s">
        <v>133</v>
      </c>
      <c r="E1171" s="7" t="str">
        <f t="shared" si="333"/>
        <v>FESTIVAL</v>
      </c>
      <c r="F1171" s="7">
        <v>1</v>
      </c>
      <c r="G1171" s="7" t="s">
        <v>476</v>
      </c>
      <c r="H1171" s="7" t="s">
        <v>155</v>
      </c>
      <c r="I1171" s="7" t="s">
        <v>155</v>
      </c>
      <c r="J1171" s="7">
        <v>998</v>
      </c>
      <c r="K1171" s="7"/>
    </row>
    <row r="1172" spans="1:11" x14ac:dyDescent="0.2">
      <c r="A1172" s="7">
        <v>999</v>
      </c>
      <c r="B1172" s="7">
        <v>106.2</v>
      </c>
      <c r="C1172" s="45" t="str">
        <f t="shared" si="332"/>
        <v>LA PRESA 1</v>
      </c>
      <c r="D1172" s="7" t="s">
        <v>133</v>
      </c>
      <c r="E1172" s="7" t="str">
        <f t="shared" si="333"/>
        <v>FESTIVAL</v>
      </c>
      <c r="F1172" s="7">
        <v>2</v>
      </c>
      <c r="G1172" s="7" t="s">
        <v>476</v>
      </c>
      <c r="H1172" s="7" t="s">
        <v>155</v>
      </c>
      <c r="I1172" s="7" t="s">
        <v>155</v>
      </c>
      <c r="J1172" s="7">
        <v>999</v>
      </c>
      <c r="K1172" s="28" t="s">
        <v>638</v>
      </c>
    </row>
    <row r="1173" spans="1:11" x14ac:dyDescent="0.2">
      <c r="A1173" s="7">
        <v>1000</v>
      </c>
      <c r="B1173" s="7">
        <v>106.2</v>
      </c>
      <c r="C1173" s="45" t="str">
        <f t="shared" si="332"/>
        <v>LA PRESA 1</v>
      </c>
      <c r="D1173" s="7" t="s">
        <v>133</v>
      </c>
      <c r="E1173" s="7" t="str">
        <f t="shared" si="333"/>
        <v>FESTIVAL</v>
      </c>
      <c r="F1173" s="7">
        <v>2</v>
      </c>
      <c r="G1173" s="7" t="s">
        <v>476</v>
      </c>
      <c r="H1173" s="7" t="s">
        <v>155</v>
      </c>
      <c r="I1173" s="7" t="s">
        <v>155</v>
      </c>
      <c r="J1173" s="7">
        <v>1000</v>
      </c>
      <c r="K1173" s="7"/>
    </row>
    <row r="1174" spans="1:11" x14ac:dyDescent="0.2">
      <c r="A1174" s="7">
        <v>1001</v>
      </c>
      <c r="B1174" s="7">
        <v>106.2</v>
      </c>
      <c r="C1174" s="45" t="str">
        <f t="shared" si="332"/>
        <v>LA PRESA 1</v>
      </c>
      <c r="D1174" s="7" t="s">
        <v>133</v>
      </c>
      <c r="E1174" s="7" t="str">
        <f t="shared" si="333"/>
        <v>FESTIVAL</v>
      </c>
      <c r="F1174" s="7">
        <v>2</v>
      </c>
      <c r="G1174" s="7" t="s">
        <v>476</v>
      </c>
      <c r="H1174" s="7" t="s">
        <v>155</v>
      </c>
      <c r="I1174" s="7" t="s">
        <v>155</v>
      </c>
      <c r="J1174" s="7">
        <v>1001</v>
      </c>
      <c r="K1174" s="28" t="s">
        <v>638</v>
      </c>
    </row>
    <row r="1175" spans="1:11" x14ac:dyDescent="0.2">
      <c r="A1175" s="7">
        <v>1002</v>
      </c>
      <c r="B1175" s="7">
        <v>106.2</v>
      </c>
      <c r="C1175" s="48" t="str">
        <f t="shared" si="332"/>
        <v>LA PRESA 1</v>
      </c>
      <c r="D1175" s="13" t="s">
        <v>133</v>
      </c>
      <c r="E1175" s="13" t="str">
        <f t="shared" si="333"/>
        <v>FESTIVAL</v>
      </c>
      <c r="F1175" s="13">
        <v>1</v>
      </c>
      <c r="G1175" s="13" t="s">
        <v>477</v>
      </c>
      <c r="H1175" s="7" t="s">
        <v>149</v>
      </c>
      <c r="I1175" s="13" t="s">
        <v>149</v>
      </c>
      <c r="J1175" s="7">
        <v>1002</v>
      </c>
      <c r="K1175" s="13"/>
    </row>
    <row r="1176" spans="1:11" x14ac:dyDescent="0.2">
      <c r="A1176" s="7">
        <v>1003</v>
      </c>
      <c r="B1176" s="7">
        <v>106.2</v>
      </c>
      <c r="C1176" s="45" t="str">
        <f t="shared" si="332"/>
        <v>LA PRESA 1</v>
      </c>
      <c r="D1176" s="7" t="s">
        <v>133</v>
      </c>
      <c r="E1176" s="7" t="str">
        <f t="shared" si="333"/>
        <v>FESTIVAL</v>
      </c>
      <c r="F1176" s="7">
        <v>1</v>
      </c>
      <c r="G1176" s="7" t="s">
        <v>477</v>
      </c>
      <c r="H1176" s="7" t="s">
        <v>155</v>
      </c>
      <c r="I1176" s="7" t="s">
        <v>155</v>
      </c>
      <c r="J1176" s="7">
        <v>1003</v>
      </c>
      <c r="K1176" s="7"/>
    </row>
    <row r="1177" spans="1:11" x14ac:dyDescent="0.2">
      <c r="A1177" s="7">
        <v>1084</v>
      </c>
      <c r="B1177" s="7">
        <v>106.2</v>
      </c>
      <c r="C1177" s="45" t="str">
        <f t="shared" si="332"/>
        <v>LA PRESA 1</v>
      </c>
      <c r="D1177" s="7" t="s">
        <v>133</v>
      </c>
      <c r="E1177" s="7" t="str">
        <f t="shared" si="333"/>
        <v>FESTIVAL</v>
      </c>
      <c r="F1177" s="7">
        <v>2</v>
      </c>
      <c r="G1177" s="7" t="s">
        <v>477</v>
      </c>
      <c r="H1177" s="7" t="s">
        <v>149</v>
      </c>
      <c r="I1177" s="7" t="s">
        <v>149</v>
      </c>
      <c r="J1177" s="7">
        <v>1084</v>
      </c>
      <c r="K1177" s="7"/>
    </row>
    <row r="1178" spans="1:11" x14ac:dyDescent="0.2">
      <c r="A1178" s="7">
        <v>1085</v>
      </c>
      <c r="B1178" s="7">
        <v>106.2</v>
      </c>
      <c r="C1178" s="45" t="str">
        <f t="shared" si="332"/>
        <v>LA PRESA 1</v>
      </c>
      <c r="D1178" s="7" t="s">
        <v>133</v>
      </c>
      <c r="E1178" s="7" t="str">
        <f t="shared" si="333"/>
        <v>FESTIVAL</v>
      </c>
      <c r="F1178" s="7">
        <v>2</v>
      </c>
      <c r="G1178" s="7" t="s">
        <v>477</v>
      </c>
      <c r="H1178" s="7" t="s">
        <v>471</v>
      </c>
      <c r="I1178" s="7" t="s">
        <v>471</v>
      </c>
      <c r="J1178" s="7">
        <v>1085</v>
      </c>
      <c r="K1178" s="7"/>
    </row>
    <row r="1179" spans="1:11" x14ac:dyDescent="0.2">
      <c r="A1179" s="7">
        <v>994</v>
      </c>
      <c r="B1179" s="7">
        <v>107</v>
      </c>
      <c r="C1179" s="45" t="str">
        <f t="shared" si="332"/>
        <v>LA PRESA 3</v>
      </c>
      <c r="D1179" s="7" t="s">
        <v>133</v>
      </c>
      <c r="E1179" s="45" t="s">
        <v>126</v>
      </c>
      <c r="F1179" s="7">
        <v>1</v>
      </c>
      <c r="G1179" s="7" t="s">
        <v>476</v>
      </c>
      <c r="H1179" s="7" t="s">
        <v>485</v>
      </c>
      <c r="I1179" s="20" t="s">
        <v>485</v>
      </c>
      <c r="J1179" s="7">
        <v>994</v>
      </c>
      <c r="K1179" s="7"/>
    </row>
    <row r="1180" spans="1:11" x14ac:dyDescent="0.2">
      <c r="A1180" s="7">
        <v>995</v>
      </c>
      <c r="B1180" s="7">
        <v>107</v>
      </c>
      <c r="C1180" s="45" t="str">
        <f t="shared" si="332"/>
        <v>LA PRESA 3</v>
      </c>
      <c r="D1180" s="7" t="s">
        <v>133</v>
      </c>
      <c r="E1180" s="45" t="s">
        <v>126</v>
      </c>
      <c r="F1180" s="7">
        <v>1</v>
      </c>
      <c r="G1180" s="7" t="s">
        <v>477</v>
      </c>
      <c r="H1180" s="7" t="s">
        <v>149</v>
      </c>
      <c r="I1180" s="7" t="s">
        <v>149</v>
      </c>
      <c r="J1180" s="7">
        <v>995</v>
      </c>
      <c r="K1180" s="7"/>
    </row>
    <row r="1181" spans="1:11" x14ac:dyDescent="0.2">
      <c r="A1181" s="7">
        <v>996</v>
      </c>
      <c r="B1181" s="7">
        <v>107</v>
      </c>
      <c r="C1181" s="45" t="str">
        <f t="shared" si="332"/>
        <v>LA PRESA 3</v>
      </c>
      <c r="D1181" s="7" t="s">
        <v>133</v>
      </c>
      <c r="E1181" s="45" t="s">
        <v>126</v>
      </c>
      <c r="F1181" s="7">
        <v>1</v>
      </c>
      <c r="G1181" s="7" t="s">
        <v>477</v>
      </c>
      <c r="H1181" s="7" t="s">
        <v>473</v>
      </c>
      <c r="I1181" s="20" t="s">
        <v>473</v>
      </c>
      <c r="J1181" s="7">
        <v>996</v>
      </c>
      <c r="K1181" s="7"/>
    </row>
    <row r="1182" spans="1:11" x14ac:dyDescent="0.2">
      <c r="A1182" s="7">
        <v>991</v>
      </c>
      <c r="B1182" s="7">
        <v>108</v>
      </c>
      <c r="C1182" s="45" t="str">
        <f t="shared" si="332"/>
        <v>MOLINO LOS AGUACATES</v>
      </c>
      <c r="D1182" s="7" t="s">
        <v>133</v>
      </c>
      <c r="E1182" s="45" t="s">
        <v>126</v>
      </c>
      <c r="F1182" s="7">
        <v>1</v>
      </c>
      <c r="G1182" s="7" t="s">
        <v>476</v>
      </c>
      <c r="H1182" s="7" t="s">
        <v>485</v>
      </c>
      <c r="I1182" s="7" t="s">
        <v>485</v>
      </c>
      <c r="J1182" s="10">
        <v>991</v>
      </c>
      <c r="K1182" s="7"/>
    </row>
    <row r="1183" spans="1:11" x14ac:dyDescent="0.2">
      <c r="A1183" s="7">
        <v>992</v>
      </c>
      <c r="B1183" s="7">
        <v>108</v>
      </c>
      <c r="C1183" s="45" t="str">
        <f t="shared" si="332"/>
        <v>MOLINO LOS AGUACATES</v>
      </c>
      <c r="D1183" s="7" t="s">
        <v>133</v>
      </c>
      <c r="E1183" s="45" t="s">
        <v>126</v>
      </c>
      <c r="F1183" s="7">
        <v>1</v>
      </c>
      <c r="G1183" s="7" t="s">
        <v>477</v>
      </c>
      <c r="H1183" s="7" t="s">
        <v>155</v>
      </c>
      <c r="I1183" s="7" t="s">
        <v>155</v>
      </c>
      <c r="J1183" s="7">
        <v>992</v>
      </c>
      <c r="K1183" s="28" t="s">
        <v>638</v>
      </c>
    </row>
    <row r="1184" spans="1:11" x14ac:dyDescent="0.2">
      <c r="A1184" s="7">
        <v>993</v>
      </c>
      <c r="B1184" s="7">
        <v>108</v>
      </c>
      <c r="C1184" s="45" t="str">
        <f t="shared" si="332"/>
        <v>MOLINO LOS AGUACATES</v>
      </c>
      <c r="D1184" s="7" t="s">
        <v>133</v>
      </c>
      <c r="E1184" s="45" t="s">
        <v>126</v>
      </c>
      <c r="F1184" s="7">
        <v>1</v>
      </c>
      <c r="G1184" s="7" t="s">
        <v>477</v>
      </c>
      <c r="H1184" s="7" t="s">
        <v>149</v>
      </c>
      <c r="I1184" s="20" t="s">
        <v>149</v>
      </c>
      <c r="J1184" s="7">
        <v>993</v>
      </c>
      <c r="K1184" s="7"/>
    </row>
    <row r="1185" spans="1:11" x14ac:dyDescent="0.2">
      <c r="A1185" s="7">
        <v>1093</v>
      </c>
      <c r="B1185" s="7">
        <v>108</v>
      </c>
      <c r="C1185" s="45" t="str">
        <f t="shared" si="332"/>
        <v>MOLINO LOS AGUACATES</v>
      </c>
      <c r="D1185" s="7" t="s">
        <v>133</v>
      </c>
      <c r="E1185" s="45" t="s">
        <v>126</v>
      </c>
      <c r="F1185" s="7">
        <v>2</v>
      </c>
      <c r="G1185" s="7" t="s">
        <v>477</v>
      </c>
      <c r="H1185" s="7" t="s">
        <v>149</v>
      </c>
      <c r="I1185" s="7" t="s">
        <v>149</v>
      </c>
      <c r="J1185" s="7">
        <v>1093</v>
      </c>
      <c r="K1185" s="7"/>
    </row>
    <row r="1186" spans="1:11" x14ac:dyDescent="0.2">
      <c r="A1186" s="7">
        <v>1094</v>
      </c>
      <c r="B1186" s="7">
        <v>108</v>
      </c>
      <c r="C1186" s="45" t="str">
        <f t="shared" si="332"/>
        <v>MOLINO LOS AGUACATES</v>
      </c>
      <c r="D1186" s="7" t="s">
        <v>133</v>
      </c>
      <c r="E1186" s="45" t="s">
        <v>126</v>
      </c>
      <c r="F1186" s="7">
        <v>2</v>
      </c>
      <c r="G1186" s="7" t="s">
        <v>477</v>
      </c>
      <c r="H1186" s="7" t="s">
        <v>475</v>
      </c>
      <c r="I1186" s="7" t="s">
        <v>475</v>
      </c>
      <c r="J1186" s="7">
        <v>1094</v>
      </c>
      <c r="K1186" s="7"/>
    </row>
    <row r="1187" spans="1:11" x14ac:dyDescent="0.2">
      <c r="A1187" s="7">
        <v>1008</v>
      </c>
      <c r="B1187" s="7">
        <v>109</v>
      </c>
      <c r="C1187" s="45" t="str">
        <f t="shared" si="332"/>
        <v>EL SILO</v>
      </c>
      <c r="D1187" s="7" t="s">
        <v>133</v>
      </c>
      <c r="E1187" s="45" t="s">
        <v>126</v>
      </c>
      <c r="F1187" s="7">
        <v>1</v>
      </c>
      <c r="G1187" s="7" t="s">
        <v>476</v>
      </c>
      <c r="H1187" s="7" t="s">
        <v>485</v>
      </c>
      <c r="I1187" s="20" t="s">
        <v>485</v>
      </c>
      <c r="J1187" s="7">
        <v>1008</v>
      </c>
      <c r="K1187" s="7"/>
    </row>
    <row r="1188" spans="1:11" x14ac:dyDescent="0.2">
      <c r="A1188" s="7">
        <v>1088</v>
      </c>
      <c r="B1188" s="7">
        <v>109</v>
      </c>
      <c r="C1188" s="45" t="str">
        <f t="shared" si="332"/>
        <v>EL SILO</v>
      </c>
      <c r="D1188" s="7" t="s">
        <v>133</v>
      </c>
      <c r="E1188" s="45" t="s">
        <v>126</v>
      </c>
      <c r="F1188" s="7">
        <v>1</v>
      </c>
      <c r="G1188" s="7" t="s">
        <v>477</v>
      </c>
      <c r="H1188" s="7" t="s">
        <v>149</v>
      </c>
      <c r="I1188" s="7" t="s">
        <v>149</v>
      </c>
      <c r="J1188" s="7">
        <v>1088</v>
      </c>
      <c r="K1188" s="7"/>
    </row>
    <row r="1189" spans="1:11" x14ac:dyDescent="0.2">
      <c r="A1189" s="7">
        <v>1089</v>
      </c>
      <c r="B1189" s="7">
        <v>109</v>
      </c>
      <c r="C1189" s="45" t="str">
        <f t="shared" si="332"/>
        <v>EL SILO</v>
      </c>
      <c r="D1189" s="7" t="s">
        <v>133</v>
      </c>
      <c r="E1189" s="45" t="s">
        <v>126</v>
      </c>
      <c r="F1189" s="7">
        <v>1</v>
      </c>
      <c r="G1189" s="7" t="s">
        <v>477</v>
      </c>
      <c r="H1189" s="7" t="s">
        <v>475</v>
      </c>
      <c r="I1189" s="7" t="s">
        <v>475</v>
      </c>
      <c r="J1189" s="7">
        <v>1089</v>
      </c>
      <c r="K1189" s="7"/>
    </row>
    <row r="1190" spans="1:11" x14ac:dyDescent="0.2">
      <c r="A1190" s="7">
        <v>1090</v>
      </c>
      <c r="B1190" s="7">
        <v>109</v>
      </c>
      <c r="C1190" s="45" t="str">
        <f t="shared" ref="C1190:C1201" si="334">IF(B1190=93.2,"JUAREZ 2",IF(B1190=94.1,"EL JARAL 1",IF(B1190=94.2,"EL JARAL 2",IF(B1190=94.3,"EL JARAL 3",IF(B1190=95.1,"CHUCANDIRO 1",IF(B1190=95.2,"CHUCANDIRO 2",IF(B1190=96,"EL ATORON",IF(B1190=97,"PRICILIANO MONCADA G",IF(B1190=98,"SANTA MARIA",IF(B1190=99,"LA CALERA 1",IF(B1190=100,"JOSE FRANCISCO SOTO",IF(B1190=101,"LA CALERA 2",IF(B1190=102,"LA CALERA 3",IF(B1190=103,"MOLINO DE SANTA ANA 1",IF(B1190=104,"SAN VICENTILLO",IF(B1190=105,"MOLINO DE SANTA ANA 2",IF(B1190=106.1,"LA PRESA 2",IF(B1190=106.2,"LA PRESA 1",IF(B1190=107,"LA PRESA 3",IF(B1190=108,"MOLINO LOS AGUACATES",IF(B1190=109,"EL SILO",IF(B1190=110,"ALDAMA"))))))))))))))))))))))</f>
        <v>EL SILO</v>
      </c>
      <c r="D1190" s="7" t="s">
        <v>133</v>
      </c>
      <c r="E1190" s="45" t="s">
        <v>126</v>
      </c>
      <c r="F1190" s="7">
        <v>1</v>
      </c>
      <c r="G1190" s="7" t="s">
        <v>477</v>
      </c>
      <c r="H1190" s="7" t="s">
        <v>473</v>
      </c>
      <c r="I1190" s="26" t="s">
        <v>473</v>
      </c>
      <c r="J1190" s="26">
        <v>1090</v>
      </c>
      <c r="K1190" s="7"/>
    </row>
    <row r="1191" spans="1:11" x14ac:dyDescent="0.2">
      <c r="A1191" s="7">
        <v>1095</v>
      </c>
      <c r="B1191" s="7">
        <v>109</v>
      </c>
      <c r="C1191" s="45" t="str">
        <f t="shared" si="334"/>
        <v>EL SILO</v>
      </c>
      <c r="D1191" s="7" t="s">
        <v>133</v>
      </c>
      <c r="E1191" s="45" t="s">
        <v>126</v>
      </c>
      <c r="F1191" s="7">
        <v>2</v>
      </c>
      <c r="G1191" s="7" t="s">
        <v>477</v>
      </c>
      <c r="H1191" s="7" t="s">
        <v>155</v>
      </c>
      <c r="I1191" s="7" t="s">
        <v>155</v>
      </c>
      <c r="J1191" s="7">
        <v>1095</v>
      </c>
      <c r="K1191" s="7"/>
    </row>
    <row r="1192" spans="1:11" x14ac:dyDescent="0.2">
      <c r="A1192" s="7">
        <v>1096</v>
      </c>
      <c r="B1192" s="7">
        <v>109</v>
      </c>
      <c r="C1192" s="45" t="str">
        <f t="shared" si="334"/>
        <v>EL SILO</v>
      </c>
      <c r="D1192" s="7" t="s">
        <v>133</v>
      </c>
      <c r="E1192" s="45" t="s">
        <v>126</v>
      </c>
      <c r="F1192" s="7">
        <v>2</v>
      </c>
      <c r="G1192" s="7" t="s">
        <v>477</v>
      </c>
      <c r="H1192" s="7" t="s">
        <v>475</v>
      </c>
      <c r="I1192" s="7" t="s">
        <v>475</v>
      </c>
      <c r="J1192" s="7">
        <v>1096</v>
      </c>
      <c r="K1192" s="7"/>
    </row>
    <row r="1193" spans="1:11" x14ac:dyDescent="0.2">
      <c r="A1193" s="7">
        <v>1097</v>
      </c>
      <c r="B1193" s="7">
        <v>109</v>
      </c>
      <c r="C1193" s="48" t="str">
        <f t="shared" si="334"/>
        <v>EL SILO</v>
      </c>
      <c r="D1193" s="13" t="s">
        <v>133</v>
      </c>
      <c r="E1193" s="48" t="s">
        <v>126</v>
      </c>
      <c r="F1193" s="13">
        <v>2</v>
      </c>
      <c r="G1193" s="13" t="s">
        <v>477</v>
      </c>
      <c r="H1193" s="7" t="s">
        <v>471</v>
      </c>
      <c r="I1193" s="13" t="s">
        <v>471</v>
      </c>
      <c r="J1193" s="7">
        <v>1097</v>
      </c>
      <c r="K1193" s="13"/>
    </row>
    <row r="1194" spans="1:11" x14ac:dyDescent="0.2">
      <c r="A1194" s="7">
        <v>1098</v>
      </c>
      <c r="B1194" s="7">
        <v>109</v>
      </c>
      <c r="C1194" s="45" t="str">
        <f t="shared" si="334"/>
        <v>EL SILO</v>
      </c>
      <c r="D1194" s="7" t="s">
        <v>133</v>
      </c>
      <c r="E1194" s="45" t="s">
        <v>126</v>
      </c>
      <c r="F1194" s="7">
        <v>2</v>
      </c>
      <c r="G1194" s="7" t="s">
        <v>477</v>
      </c>
      <c r="H1194" s="7" t="s">
        <v>149</v>
      </c>
      <c r="I1194" s="7" t="s">
        <v>149</v>
      </c>
      <c r="J1194" s="7">
        <v>1098</v>
      </c>
      <c r="K1194" s="7"/>
    </row>
    <row r="1195" spans="1:11" x14ac:dyDescent="0.2">
      <c r="A1195" s="7">
        <v>1004</v>
      </c>
      <c r="B1195" s="7">
        <v>110</v>
      </c>
      <c r="C1195" s="45" t="str">
        <f t="shared" si="334"/>
        <v>ALDAMA</v>
      </c>
      <c r="D1195" s="7" t="s">
        <v>133</v>
      </c>
      <c r="E1195" s="45" t="s">
        <v>126</v>
      </c>
      <c r="F1195" s="7">
        <v>1</v>
      </c>
      <c r="G1195" s="7" t="s">
        <v>476</v>
      </c>
      <c r="H1195" s="7" t="s">
        <v>149</v>
      </c>
      <c r="I1195" s="20" t="s">
        <v>149</v>
      </c>
      <c r="J1195" s="7">
        <v>1004</v>
      </c>
      <c r="K1195" s="7"/>
    </row>
    <row r="1196" spans="1:11" x14ac:dyDescent="0.2">
      <c r="A1196" s="7">
        <v>1005</v>
      </c>
      <c r="B1196" s="7">
        <v>110</v>
      </c>
      <c r="C1196" s="45" t="str">
        <f t="shared" si="334"/>
        <v>ALDAMA</v>
      </c>
      <c r="D1196" s="7" t="s">
        <v>133</v>
      </c>
      <c r="E1196" s="45" t="s">
        <v>126</v>
      </c>
      <c r="F1196" s="7">
        <v>1</v>
      </c>
      <c r="G1196" s="7" t="s">
        <v>476</v>
      </c>
      <c r="H1196" s="7" t="s">
        <v>149</v>
      </c>
      <c r="I1196" s="20" t="s">
        <v>149</v>
      </c>
      <c r="J1196" s="7">
        <v>1005</v>
      </c>
      <c r="K1196" s="7"/>
    </row>
    <row r="1197" spans="1:11" x14ac:dyDescent="0.2">
      <c r="A1197" s="7">
        <v>1006</v>
      </c>
      <c r="B1197" s="7">
        <v>110</v>
      </c>
      <c r="C1197" s="48" t="str">
        <f t="shared" si="334"/>
        <v>ALDAMA</v>
      </c>
      <c r="D1197" s="13" t="s">
        <v>133</v>
      </c>
      <c r="E1197" s="48" t="s">
        <v>126</v>
      </c>
      <c r="F1197" s="13">
        <v>1</v>
      </c>
      <c r="G1197" s="13" t="s">
        <v>476</v>
      </c>
      <c r="H1197" s="7" t="s">
        <v>474</v>
      </c>
      <c r="I1197" s="57" t="s">
        <v>474</v>
      </c>
      <c r="J1197" s="13">
        <v>1006</v>
      </c>
      <c r="K1197" s="13"/>
    </row>
    <row r="1198" spans="1:11" x14ac:dyDescent="0.2">
      <c r="A1198" s="7">
        <v>1007</v>
      </c>
      <c r="B1198" s="7">
        <v>110</v>
      </c>
      <c r="C1198" s="45" t="str">
        <f t="shared" si="334"/>
        <v>ALDAMA</v>
      </c>
      <c r="D1198" s="7" t="s">
        <v>133</v>
      </c>
      <c r="E1198" s="45" t="s">
        <v>126</v>
      </c>
      <c r="F1198" s="7">
        <v>1</v>
      </c>
      <c r="G1198" s="7" t="s">
        <v>476</v>
      </c>
      <c r="H1198" s="7" t="s">
        <v>149</v>
      </c>
      <c r="I1198" s="20" t="s">
        <v>149</v>
      </c>
      <c r="J1198" s="7">
        <v>1007</v>
      </c>
      <c r="K1198" s="7"/>
    </row>
    <row r="1199" spans="1:11" x14ac:dyDescent="0.2">
      <c r="A1199" s="7">
        <v>1024</v>
      </c>
      <c r="B1199" s="7">
        <v>110</v>
      </c>
      <c r="C1199" s="45" t="str">
        <f t="shared" si="334"/>
        <v>ALDAMA</v>
      </c>
      <c r="D1199" s="7" t="s">
        <v>133</v>
      </c>
      <c r="E1199" s="45" t="s">
        <v>126</v>
      </c>
      <c r="F1199" s="7">
        <v>1</v>
      </c>
      <c r="G1199" s="7" t="s">
        <v>477</v>
      </c>
      <c r="H1199" s="7" t="s">
        <v>149</v>
      </c>
      <c r="I1199" s="7" t="s">
        <v>149</v>
      </c>
      <c r="J1199" s="7">
        <v>1024</v>
      </c>
      <c r="K1199" s="7"/>
    </row>
    <row r="1200" spans="1:11" x14ac:dyDescent="0.2">
      <c r="A1200" s="7">
        <v>1086</v>
      </c>
      <c r="B1200" s="7">
        <v>110</v>
      </c>
      <c r="C1200" s="48" t="str">
        <f t="shared" si="334"/>
        <v>ALDAMA</v>
      </c>
      <c r="D1200" s="13" t="s">
        <v>133</v>
      </c>
      <c r="E1200" s="48" t="s">
        <v>126</v>
      </c>
      <c r="F1200" s="13">
        <v>2</v>
      </c>
      <c r="G1200" s="13" t="s">
        <v>476</v>
      </c>
      <c r="H1200" s="7" t="s">
        <v>149</v>
      </c>
      <c r="I1200" s="13" t="s">
        <v>149</v>
      </c>
      <c r="J1200" s="13">
        <v>1086</v>
      </c>
      <c r="K1200" s="13"/>
    </row>
    <row r="1201" spans="1:11" x14ac:dyDescent="0.2">
      <c r="A1201" s="7">
        <v>1099</v>
      </c>
      <c r="B1201" s="7">
        <v>110</v>
      </c>
      <c r="C1201" s="48" t="str">
        <f t="shared" si="334"/>
        <v>ALDAMA</v>
      </c>
      <c r="D1201" s="13" t="s">
        <v>133</v>
      </c>
      <c r="E1201" s="48" t="s">
        <v>126</v>
      </c>
      <c r="F1201" s="13">
        <v>2</v>
      </c>
      <c r="G1201" s="13" t="s">
        <v>477</v>
      </c>
      <c r="H1201" s="13" t="s">
        <v>473</v>
      </c>
      <c r="I1201" s="27" t="s">
        <v>473</v>
      </c>
      <c r="J1201" s="26">
        <v>1099</v>
      </c>
      <c r="K1201" s="13"/>
    </row>
  </sheetData>
  <sortState xmlns:xlrd2="http://schemas.microsoft.com/office/spreadsheetml/2017/richdata2" ref="BD6:BN7">
    <sortCondition descending="1" ref="BD5:BD7"/>
  </sortState>
  <mergeCells count="1">
    <mergeCell ref="A2:J3"/>
  </mergeCells>
  <phoneticPr fontId="6" type="noConversion"/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7CFC-AE13-4DF4-8198-53FD8FB9B44D}">
  <dimension ref="B4:P181"/>
  <sheetViews>
    <sheetView zoomScale="85" zoomScaleNormal="85" workbookViewId="0">
      <selection activeCell="P27" sqref="P27"/>
    </sheetView>
  </sheetViews>
  <sheetFormatPr baseColWidth="10" defaultRowHeight="15" x14ac:dyDescent="0.2"/>
  <cols>
    <col min="3" max="3" width="20.5" customWidth="1"/>
  </cols>
  <sheetData>
    <row r="4" spans="3:16" x14ac:dyDescent="0.2">
      <c r="C4">
        <v>3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3:16" x14ac:dyDescent="0.2"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3:16" x14ac:dyDescent="0.2"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3:16" x14ac:dyDescent="0.2"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3:16" x14ac:dyDescent="0.2">
      <c r="C8">
        <v>0</v>
      </c>
      <c r="D8">
        <v>16</v>
      </c>
      <c r="E8">
        <v>2</v>
      </c>
      <c r="F8">
        <v>0</v>
      </c>
      <c r="G8">
        <v>0</v>
      </c>
      <c r="H8">
        <v>0</v>
      </c>
      <c r="I8">
        <v>1</v>
      </c>
      <c r="J8">
        <v>9</v>
      </c>
      <c r="K8">
        <v>0</v>
      </c>
      <c r="L8">
        <v>0</v>
      </c>
      <c r="M8">
        <v>4</v>
      </c>
      <c r="N8">
        <v>0</v>
      </c>
      <c r="O8">
        <v>0</v>
      </c>
      <c r="P8">
        <v>0</v>
      </c>
    </row>
    <row r="9" spans="3:16" x14ac:dyDescent="0.2">
      <c r="C9">
        <v>5</v>
      </c>
      <c r="D9">
        <v>3</v>
      </c>
      <c r="E9">
        <v>1</v>
      </c>
      <c r="F9">
        <v>2</v>
      </c>
      <c r="G9">
        <v>0</v>
      </c>
      <c r="H9">
        <v>0</v>
      </c>
      <c r="I9">
        <v>0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3:16" x14ac:dyDescent="0.2">
      <c r="C10">
        <v>2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</row>
    <row r="11" spans="3:16" x14ac:dyDescent="0.2">
      <c r="C11">
        <v>1</v>
      </c>
      <c r="D11">
        <v>3</v>
      </c>
      <c r="E11">
        <v>0</v>
      </c>
      <c r="F11">
        <v>1</v>
      </c>
      <c r="G11">
        <v>0</v>
      </c>
      <c r="H11">
        <v>0</v>
      </c>
      <c r="I11">
        <v>0</v>
      </c>
      <c r="J11">
        <v>3</v>
      </c>
      <c r="K11">
        <v>0</v>
      </c>
      <c r="L11">
        <v>0</v>
      </c>
      <c r="M11">
        <v>2</v>
      </c>
      <c r="N11">
        <v>0</v>
      </c>
      <c r="O11">
        <v>0</v>
      </c>
      <c r="P11">
        <v>0</v>
      </c>
    </row>
    <row r="12" spans="3:16" x14ac:dyDescent="0.2">
      <c r="C12">
        <v>0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3:16" x14ac:dyDescent="0.2">
      <c r="C13">
        <v>5</v>
      </c>
      <c r="D13">
        <v>5</v>
      </c>
      <c r="E13">
        <v>1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3:16" x14ac:dyDescent="0.2"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3:16" x14ac:dyDescent="0.2">
      <c r="C15">
        <v>1</v>
      </c>
      <c r="D15">
        <v>5</v>
      </c>
      <c r="E15">
        <v>3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  <c r="O15">
        <v>0</v>
      </c>
      <c r="P15">
        <v>0</v>
      </c>
    </row>
    <row r="16" spans="3:16" x14ac:dyDescent="0.2">
      <c r="C16">
        <v>1</v>
      </c>
      <c r="D16">
        <v>2</v>
      </c>
      <c r="E16">
        <v>1</v>
      </c>
      <c r="F16">
        <v>0</v>
      </c>
      <c r="G16">
        <v>0</v>
      </c>
      <c r="H16">
        <v>3</v>
      </c>
      <c r="I16">
        <v>0</v>
      </c>
      <c r="J16">
        <v>4</v>
      </c>
      <c r="K16">
        <v>0</v>
      </c>
      <c r="L16">
        <v>0</v>
      </c>
      <c r="M16">
        <v>5</v>
      </c>
      <c r="N16">
        <v>0</v>
      </c>
      <c r="O16">
        <v>1</v>
      </c>
      <c r="P16">
        <v>0</v>
      </c>
    </row>
    <row r="17" spans="3:16" x14ac:dyDescent="0.2">
      <c r="C17">
        <v>0</v>
      </c>
      <c r="D17">
        <v>7</v>
      </c>
      <c r="E17">
        <v>3</v>
      </c>
      <c r="F17">
        <v>0</v>
      </c>
      <c r="G17">
        <v>0</v>
      </c>
      <c r="H17">
        <v>1</v>
      </c>
      <c r="I17">
        <v>0</v>
      </c>
      <c r="J17">
        <v>5</v>
      </c>
      <c r="K17">
        <v>0</v>
      </c>
      <c r="L17">
        <v>3</v>
      </c>
      <c r="M17">
        <v>2</v>
      </c>
      <c r="N17">
        <v>1</v>
      </c>
      <c r="O17">
        <v>0</v>
      </c>
      <c r="P17">
        <v>0</v>
      </c>
    </row>
    <row r="18" spans="3:16" x14ac:dyDescent="0.2">
      <c r="C18">
        <v>0</v>
      </c>
      <c r="D18">
        <v>4</v>
      </c>
      <c r="E18">
        <v>3</v>
      </c>
      <c r="F18">
        <v>0</v>
      </c>
      <c r="G18">
        <v>0</v>
      </c>
      <c r="H18">
        <v>1</v>
      </c>
      <c r="I18">
        <v>1</v>
      </c>
      <c r="J18">
        <v>3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</row>
    <row r="19" spans="3:16" x14ac:dyDescent="0.2">
      <c r="C19">
        <v>1</v>
      </c>
      <c r="D19">
        <v>11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4</v>
      </c>
      <c r="N19">
        <v>0</v>
      </c>
      <c r="O19">
        <v>0</v>
      </c>
      <c r="P19">
        <v>0</v>
      </c>
    </row>
    <row r="20" spans="3:16" x14ac:dyDescent="0.2">
      <c r="C20">
        <v>1</v>
      </c>
      <c r="D20">
        <v>6</v>
      </c>
      <c r="E20">
        <v>0</v>
      </c>
      <c r="F20">
        <v>0</v>
      </c>
      <c r="G20">
        <v>0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3:16" x14ac:dyDescent="0.2">
      <c r="C21">
        <v>0</v>
      </c>
      <c r="D21">
        <v>4</v>
      </c>
      <c r="E21">
        <v>2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</row>
    <row r="22" spans="3:16" x14ac:dyDescent="0.2">
      <c r="C22">
        <v>0</v>
      </c>
      <c r="D22">
        <v>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3:16" x14ac:dyDescent="0.2">
      <c r="C23">
        <v>1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3:16" x14ac:dyDescent="0.2">
      <c r="C24">
        <v>4</v>
      </c>
      <c r="D24">
        <v>1</v>
      </c>
      <c r="E24">
        <v>4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2</v>
      </c>
      <c r="N24">
        <v>0</v>
      </c>
      <c r="O24">
        <v>0</v>
      </c>
      <c r="P24">
        <v>0</v>
      </c>
    </row>
    <row r="25" spans="3:16" x14ac:dyDescent="0.2">
      <c r="C25">
        <v>1</v>
      </c>
      <c r="D25">
        <v>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</row>
    <row r="26" spans="3:16" x14ac:dyDescent="0.2"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3:16" x14ac:dyDescent="0.2">
      <c r="C27">
        <v>1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</row>
    <row r="28" spans="3:16" x14ac:dyDescent="0.2"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3:16" x14ac:dyDescent="0.2">
      <c r="C29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</row>
    <row r="30" spans="3:16" x14ac:dyDescent="0.2"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3:16" x14ac:dyDescent="0.2">
      <c r="C31">
        <v>1</v>
      </c>
      <c r="D31">
        <v>3</v>
      </c>
      <c r="E31">
        <v>2</v>
      </c>
      <c r="F31">
        <v>2</v>
      </c>
      <c r="G31">
        <v>0</v>
      </c>
      <c r="H31">
        <v>2</v>
      </c>
      <c r="I31">
        <v>0</v>
      </c>
      <c r="J31">
        <v>1</v>
      </c>
      <c r="K31">
        <v>0</v>
      </c>
      <c r="L31">
        <v>0</v>
      </c>
      <c r="M31">
        <v>5</v>
      </c>
      <c r="N31">
        <v>0</v>
      </c>
      <c r="O31">
        <v>0</v>
      </c>
      <c r="P31">
        <v>0</v>
      </c>
    </row>
    <row r="32" spans="3:16" x14ac:dyDescent="0.2">
      <c r="C32">
        <v>1</v>
      </c>
      <c r="D32">
        <v>1</v>
      </c>
      <c r="E32">
        <v>2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2</v>
      </c>
      <c r="N32">
        <v>0</v>
      </c>
      <c r="O32">
        <v>0</v>
      </c>
      <c r="P32">
        <v>0</v>
      </c>
    </row>
    <row r="33" spans="3:16" x14ac:dyDescent="0.2">
      <c r="C33">
        <v>1</v>
      </c>
      <c r="D33">
        <v>0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3:16" x14ac:dyDescent="0.2">
      <c r="C34">
        <v>1</v>
      </c>
      <c r="D34">
        <v>6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</v>
      </c>
      <c r="N34">
        <v>0</v>
      </c>
      <c r="O34">
        <v>0</v>
      </c>
      <c r="P34">
        <v>0</v>
      </c>
    </row>
    <row r="35" spans="3:16" x14ac:dyDescent="0.2"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3:16" x14ac:dyDescent="0.2"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3:16" x14ac:dyDescent="0.2">
      <c r="C37">
        <v>1</v>
      </c>
      <c r="D37">
        <v>0</v>
      </c>
      <c r="E37">
        <v>1</v>
      </c>
      <c r="F37">
        <v>0</v>
      </c>
      <c r="G37">
        <v>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3:16" x14ac:dyDescent="0.2">
      <c r="C38">
        <v>1</v>
      </c>
      <c r="D38">
        <v>3</v>
      </c>
      <c r="E38">
        <v>2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</row>
    <row r="39" spans="3:16" x14ac:dyDescent="0.2"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3:16" x14ac:dyDescent="0.2">
      <c r="C40">
        <v>2</v>
      </c>
      <c r="D40">
        <v>2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3:16" x14ac:dyDescent="0.2">
      <c r="C41">
        <v>0</v>
      </c>
      <c r="D41">
        <v>6</v>
      </c>
      <c r="E41">
        <v>0</v>
      </c>
      <c r="F41">
        <v>0</v>
      </c>
      <c r="G41">
        <v>2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3:16" x14ac:dyDescent="0.2">
      <c r="C42">
        <v>0</v>
      </c>
      <c r="D42">
        <v>3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</row>
    <row r="43" spans="3:16" x14ac:dyDescent="0.2">
      <c r="C43">
        <v>0</v>
      </c>
      <c r="D43">
        <v>5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</row>
    <row r="44" spans="3:16" x14ac:dyDescent="0.2">
      <c r="C44">
        <v>2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3:16" x14ac:dyDescent="0.2">
      <c r="C45">
        <v>1</v>
      </c>
      <c r="D45">
        <v>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3:16" x14ac:dyDescent="0.2">
      <c r="C46">
        <v>3</v>
      </c>
      <c r="D46">
        <v>4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</row>
    <row r="47" spans="3:16" x14ac:dyDescent="0.2">
      <c r="C47">
        <v>2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>
        <v>3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</row>
    <row r="48" spans="3:16" x14ac:dyDescent="0.2">
      <c r="C48">
        <v>2</v>
      </c>
      <c r="D48">
        <v>4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3:16" x14ac:dyDescent="0.2">
      <c r="C49">
        <v>1</v>
      </c>
      <c r="D49">
        <v>3</v>
      </c>
      <c r="E49">
        <v>0</v>
      </c>
      <c r="F49">
        <v>0</v>
      </c>
      <c r="G49">
        <v>1</v>
      </c>
      <c r="H49">
        <v>2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</row>
    <row r="50" spans="3:16" x14ac:dyDescent="0.2">
      <c r="C50">
        <v>2</v>
      </c>
      <c r="D50">
        <v>2</v>
      </c>
      <c r="E50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</row>
    <row r="51" spans="3:16" x14ac:dyDescent="0.2">
      <c r="C51">
        <v>0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3:16" x14ac:dyDescent="0.2"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3:16" x14ac:dyDescent="0.2"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</row>
    <row r="54" spans="3:16" x14ac:dyDescent="0.2"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3</v>
      </c>
      <c r="K54">
        <v>0</v>
      </c>
      <c r="L54">
        <v>0</v>
      </c>
      <c r="M54">
        <v>0</v>
      </c>
      <c r="N54">
        <v>2</v>
      </c>
      <c r="O54">
        <v>0</v>
      </c>
      <c r="P54">
        <v>0</v>
      </c>
    </row>
    <row r="55" spans="3:16" x14ac:dyDescent="0.2"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2</v>
      </c>
      <c r="J55">
        <v>0</v>
      </c>
      <c r="K55">
        <v>0</v>
      </c>
      <c r="L55">
        <v>0</v>
      </c>
      <c r="M55">
        <v>2</v>
      </c>
      <c r="N55">
        <v>2</v>
      </c>
      <c r="O55">
        <v>0</v>
      </c>
      <c r="P55">
        <v>0</v>
      </c>
    </row>
    <row r="56" spans="3:16" x14ac:dyDescent="0.2">
      <c r="C56">
        <v>0</v>
      </c>
      <c r="D56">
        <v>2</v>
      </c>
      <c r="E56">
        <v>3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3:16" x14ac:dyDescent="0.2">
      <c r="C57">
        <v>4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</row>
    <row r="58" spans="3:16" x14ac:dyDescent="0.2"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3:16" x14ac:dyDescent="0.2">
      <c r="C59">
        <v>2</v>
      </c>
      <c r="D59">
        <v>1</v>
      </c>
      <c r="E59">
        <v>1</v>
      </c>
      <c r="F59">
        <v>0</v>
      </c>
      <c r="G59">
        <v>0</v>
      </c>
      <c r="H59">
        <v>0</v>
      </c>
      <c r="I59">
        <v>2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</row>
    <row r="60" spans="3:16" x14ac:dyDescent="0.2"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3:16" x14ac:dyDescent="0.2">
      <c r="C61">
        <v>2</v>
      </c>
      <c r="D61">
        <v>1</v>
      </c>
      <c r="E61">
        <v>1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3:16" x14ac:dyDescent="0.2">
      <c r="C62">
        <v>1</v>
      </c>
      <c r="D62">
        <v>4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</row>
    <row r="63" spans="3:16" x14ac:dyDescent="0.2"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3:16" x14ac:dyDescent="0.2"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3:16" x14ac:dyDescent="0.2">
      <c r="C65">
        <v>3</v>
      </c>
      <c r="D65">
        <v>3</v>
      </c>
      <c r="E65">
        <v>2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3:16" x14ac:dyDescent="0.2">
      <c r="C66">
        <v>4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3:16" x14ac:dyDescent="0.2">
      <c r="C67">
        <v>3</v>
      </c>
      <c r="D67">
        <v>1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</row>
    <row r="68" spans="3:16" x14ac:dyDescent="0.2">
      <c r="C68">
        <v>0</v>
      </c>
      <c r="D68">
        <v>0</v>
      </c>
      <c r="E68">
        <v>0</v>
      </c>
      <c r="F68">
        <v>0</v>
      </c>
      <c r="G68">
        <v>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3:16" x14ac:dyDescent="0.2">
      <c r="C69">
        <v>2</v>
      </c>
      <c r="D69">
        <v>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</row>
    <row r="70" spans="3:16" x14ac:dyDescent="0.2"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2</v>
      </c>
      <c r="O70">
        <v>0</v>
      </c>
      <c r="P70">
        <v>0</v>
      </c>
    </row>
    <row r="71" spans="3:16" x14ac:dyDescent="0.2"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</row>
    <row r="72" spans="3:16" x14ac:dyDescent="0.2"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3:16" x14ac:dyDescent="0.2"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3:16" x14ac:dyDescent="0.2"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3:16" x14ac:dyDescent="0.2"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3:16" x14ac:dyDescent="0.2"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3:16" x14ac:dyDescent="0.2"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</row>
    <row r="78" spans="3:16" x14ac:dyDescent="0.2"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3:16" x14ac:dyDescent="0.2"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3:16" x14ac:dyDescent="0.2">
      <c r="C80">
        <v>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3:16" x14ac:dyDescent="0.2"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3:16" x14ac:dyDescent="0.2"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3:16" x14ac:dyDescent="0.2">
      <c r="C83">
        <v>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3:16" x14ac:dyDescent="0.2">
      <c r="C84">
        <v>3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3:16" x14ac:dyDescent="0.2">
      <c r="C85">
        <v>1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3:16" x14ac:dyDescent="0.2"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3:16" x14ac:dyDescent="0.2"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3:16" x14ac:dyDescent="0.2"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3:16" x14ac:dyDescent="0.2">
      <c r="C89">
        <v>1</v>
      </c>
      <c r="D89">
        <v>0</v>
      </c>
      <c r="E89">
        <v>0</v>
      </c>
      <c r="F89">
        <v>0</v>
      </c>
      <c r="G89">
        <v>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3:16" x14ac:dyDescent="0.2"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3:16" x14ac:dyDescent="0.2"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3:16" x14ac:dyDescent="0.2">
      <c r="C92">
        <v>2</v>
      </c>
      <c r="D92">
        <v>0</v>
      </c>
      <c r="E92">
        <v>0</v>
      </c>
      <c r="F92">
        <v>0</v>
      </c>
      <c r="G92">
        <v>2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</row>
    <row r="93" spans="3:16" x14ac:dyDescent="0.2">
      <c r="C93">
        <v>4</v>
      </c>
      <c r="D93">
        <v>1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3:16" x14ac:dyDescent="0.2">
      <c r="C94">
        <v>1</v>
      </c>
      <c r="D94">
        <v>1</v>
      </c>
      <c r="E94">
        <v>1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3:16" x14ac:dyDescent="0.2">
      <c r="C95">
        <v>3</v>
      </c>
      <c r="D95">
        <v>2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</row>
    <row r="96" spans="3:16" x14ac:dyDescent="0.2">
      <c r="C96">
        <v>2</v>
      </c>
      <c r="D96">
        <v>2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3:16" x14ac:dyDescent="0.2"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3:16" x14ac:dyDescent="0.2"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3:16" x14ac:dyDescent="0.2"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3:16" x14ac:dyDescent="0.2"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3:16" x14ac:dyDescent="0.2"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3:16" x14ac:dyDescent="0.2"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3:16" x14ac:dyDescent="0.2"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3:16" x14ac:dyDescent="0.2"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3:16" x14ac:dyDescent="0.2"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3:16" x14ac:dyDescent="0.2"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3:16" x14ac:dyDescent="0.2">
      <c r="C107">
        <v>0</v>
      </c>
      <c r="D107">
        <v>8</v>
      </c>
      <c r="E107">
        <v>1</v>
      </c>
      <c r="F107">
        <v>0</v>
      </c>
      <c r="G107">
        <v>2</v>
      </c>
      <c r="H107">
        <v>3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</row>
    <row r="108" spans="3:16" x14ac:dyDescent="0.2">
      <c r="C108">
        <v>0</v>
      </c>
      <c r="D108">
        <v>2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3:16" x14ac:dyDescent="0.2">
      <c r="C109">
        <v>0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3:16" x14ac:dyDescent="0.2"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3:16" x14ac:dyDescent="0.2"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3:16" x14ac:dyDescent="0.2"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3:16" x14ac:dyDescent="0.2"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3:16" x14ac:dyDescent="0.2"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3:16" x14ac:dyDescent="0.2">
      <c r="C115">
        <v>2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</row>
    <row r="116" spans="3:16" x14ac:dyDescent="0.2"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3:16" x14ac:dyDescent="0.2">
      <c r="C117">
        <v>0</v>
      </c>
      <c r="D117">
        <v>5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3:16" x14ac:dyDescent="0.2"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3:16" x14ac:dyDescent="0.2">
      <c r="C119">
        <v>0</v>
      </c>
      <c r="D119">
        <v>4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</row>
    <row r="120" spans="3:16" x14ac:dyDescent="0.2">
      <c r="C120">
        <v>0</v>
      </c>
      <c r="D120">
        <v>4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</row>
    <row r="121" spans="3:16" x14ac:dyDescent="0.2">
      <c r="C121">
        <v>0</v>
      </c>
      <c r="D121">
        <v>2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3:16" x14ac:dyDescent="0.2">
      <c r="C122">
        <v>0</v>
      </c>
      <c r="D122">
        <v>1</v>
      </c>
      <c r="E122">
        <v>0</v>
      </c>
      <c r="F122">
        <v>0</v>
      </c>
      <c r="G122">
        <v>1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3:16" x14ac:dyDescent="0.2">
      <c r="C123">
        <v>0</v>
      </c>
      <c r="D123">
        <v>1</v>
      </c>
      <c r="E123">
        <v>0</v>
      </c>
      <c r="F123">
        <v>0</v>
      </c>
      <c r="G123">
        <v>1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3:16" x14ac:dyDescent="0.2">
      <c r="C124">
        <v>1</v>
      </c>
      <c r="D124">
        <v>2</v>
      </c>
      <c r="E124">
        <v>1</v>
      </c>
      <c r="F124">
        <v>0</v>
      </c>
      <c r="G124">
        <v>3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3:16" x14ac:dyDescent="0.2">
      <c r="C125">
        <v>1</v>
      </c>
      <c r="D125">
        <v>2</v>
      </c>
      <c r="E125">
        <v>2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3:16" x14ac:dyDescent="0.2"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3:16" x14ac:dyDescent="0.2">
      <c r="C127">
        <v>1</v>
      </c>
      <c r="D127">
        <v>4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3:16" x14ac:dyDescent="0.2">
      <c r="C128">
        <v>3</v>
      </c>
      <c r="D128">
        <v>1</v>
      </c>
      <c r="E128">
        <v>3</v>
      </c>
      <c r="F128">
        <v>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3:16" x14ac:dyDescent="0.2">
      <c r="C129">
        <v>0</v>
      </c>
      <c r="D129">
        <v>2</v>
      </c>
      <c r="E129">
        <v>0</v>
      </c>
      <c r="F129">
        <v>0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3:16" x14ac:dyDescent="0.2">
      <c r="C130">
        <v>0</v>
      </c>
      <c r="D130">
        <v>1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</row>
    <row r="131" spans="3:16" x14ac:dyDescent="0.2">
      <c r="C131">
        <v>0</v>
      </c>
      <c r="D131">
        <v>1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3:16" x14ac:dyDescent="0.2">
      <c r="C132">
        <v>3</v>
      </c>
      <c r="D132">
        <v>7</v>
      </c>
      <c r="E132">
        <v>0</v>
      </c>
      <c r="F132">
        <v>1</v>
      </c>
      <c r="G132">
        <v>4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3:16" x14ac:dyDescent="0.2">
      <c r="C133">
        <v>1</v>
      </c>
      <c r="D133">
        <v>3</v>
      </c>
      <c r="E133">
        <v>2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</row>
    <row r="134" spans="3:16" x14ac:dyDescent="0.2">
      <c r="C134">
        <v>0</v>
      </c>
      <c r="D134">
        <v>4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3:16" x14ac:dyDescent="0.2">
      <c r="C135">
        <v>0</v>
      </c>
      <c r="D135">
        <v>4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3:16" x14ac:dyDescent="0.2">
      <c r="C136">
        <v>0</v>
      </c>
      <c r="D136">
        <v>2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3:16" x14ac:dyDescent="0.2">
      <c r="C137">
        <v>0</v>
      </c>
      <c r="D137">
        <v>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3:16" x14ac:dyDescent="0.2">
      <c r="C138">
        <v>0</v>
      </c>
      <c r="D138">
        <v>2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3:16" x14ac:dyDescent="0.2">
      <c r="C139">
        <v>0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3:16" x14ac:dyDescent="0.2">
      <c r="C140">
        <v>1</v>
      </c>
      <c r="D140">
        <v>2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3:16" x14ac:dyDescent="0.2">
      <c r="C141">
        <v>0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3:16" x14ac:dyDescent="0.2">
      <c r="C142">
        <v>1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3:16" x14ac:dyDescent="0.2">
      <c r="C143">
        <v>1</v>
      </c>
      <c r="D143">
        <v>2</v>
      </c>
      <c r="E143">
        <v>1</v>
      </c>
      <c r="F143">
        <v>0</v>
      </c>
      <c r="G143">
        <v>1</v>
      </c>
      <c r="H143">
        <v>0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3:16" x14ac:dyDescent="0.2">
      <c r="C144">
        <v>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6" spans="2:16" x14ac:dyDescent="0.2">
      <c r="C146">
        <f>SUM(C4:C144)</f>
        <v>127</v>
      </c>
      <c r="D146">
        <f t="shared" ref="D146:P146" si="0">SUM(D4:D144)</f>
        <v>275</v>
      </c>
      <c r="E146">
        <f t="shared" si="0"/>
        <v>62</v>
      </c>
      <c r="F146">
        <f t="shared" si="0"/>
        <v>8</v>
      </c>
      <c r="G146">
        <f t="shared" si="0"/>
        <v>78</v>
      </c>
      <c r="H146">
        <f t="shared" si="0"/>
        <v>29</v>
      </c>
      <c r="I146">
        <f t="shared" si="0"/>
        <v>20</v>
      </c>
      <c r="J146">
        <f t="shared" si="0"/>
        <v>49</v>
      </c>
      <c r="K146">
        <f t="shared" si="0"/>
        <v>1</v>
      </c>
      <c r="L146">
        <f t="shared" si="0"/>
        <v>3</v>
      </c>
      <c r="M146">
        <f t="shared" si="0"/>
        <v>57</v>
      </c>
      <c r="N146">
        <f t="shared" si="0"/>
        <v>18</v>
      </c>
      <c r="O146">
        <f t="shared" si="0"/>
        <v>2</v>
      </c>
      <c r="P146">
        <f t="shared" si="0"/>
        <v>1</v>
      </c>
    </row>
    <row r="149" spans="2:16" x14ac:dyDescent="0.2">
      <c r="C149" t="s">
        <v>155</v>
      </c>
      <c r="D149" t="s">
        <v>149</v>
      </c>
      <c r="E149" t="s">
        <v>471</v>
      </c>
      <c r="F149" t="s">
        <v>472</v>
      </c>
      <c r="G149" t="s">
        <v>473</v>
      </c>
      <c r="H149" t="s">
        <v>474</v>
      </c>
      <c r="I149" t="s">
        <v>475</v>
      </c>
      <c r="J149" t="s">
        <v>228</v>
      </c>
      <c r="K149" t="s">
        <v>642</v>
      </c>
      <c r="L149" t="s">
        <v>489</v>
      </c>
      <c r="M149" t="s">
        <v>485</v>
      </c>
      <c r="N149" t="s">
        <v>490</v>
      </c>
      <c r="O149" t="s">
        <v>488</v>
      </c>
      <c r="P149" t="s">
        <v>491</v>
      </c>
    </row>
    <row r="150" spans="2:16" x14ac:dyDescent="0.2">
      <c r="B150" t="s">
        <v>476</v>
      </c>
      <c r="C150">
        <v>191</v>
      </c>
      <c r="D150">
        <v>92</v>
      </c>
      <c r="E150">
        <v>8</v>
      </c>
      <c r="F150">
        <v>20</v>
      </c>
      <c r="G150">
        <v>15</v>
      </c>
      <c r="H150">
        <v>10</v>
      </c>
      <c r="I150">
        <v>9</v>
      </c>
      <c r="J150">
        <v>11</v>
      </c>
      <c r="K150">
        <v>6</v>
      </c>
      <c r="L150">
        <v>0</v>
      </c>
      <c r="M150">
        <v>19</v>
      </c>
      <c r="N150">
        <v>10</v>
      </c>
      <c r="O150">
        <v>0</v>
      </c>
      <c r="P150">
        <v>0</v>
      </c>
    </row>
    <row r="151" spans="2:16" x14ac:dyDescent="0.2">
      <c r="B151" t="s">
        <v>477</v>
      </c>
      <c r="C151">
        <v>127</v>
      </c>
      <c r="D151">
        <v>275</v>
      </c>
      <c r="E151">
        <v>62</v>
      </c>
      <c r="F151">
        <v>8</v>
      </c>
      <c r="G151">
        <v>78</v>
      </c>
      <c r="H151">
        <v>29</v>
      </c>
      <c r="I151">
        <v>20</v>
      </c>
      <c r="J151">
        <v>49</v>
      </c>
      <c r="K151">
        <v>1</v>
      </c>
      <c r="L151">
        <v>3</v>
      </c>
      <c r="M151">
        <v>57</v>
      </c>
      <c r="N151">
        <v>18</v>
      </c>
      <c r="O151">
        <v>2</v>
      </c>
      <c r="P151">
        <v>1</v>
      </c>
    </row>
    <row r="152" spans="2:16" x14ac:dyDescent="0.2">
      <c r="B152" t="s">
        <v>724</v>
      </c>
      <c r="C152">
        <f>SUM(C150:C151)</f>
        <v>318</v>
      </c>
      <c r="D152">
        <f t="shared" ref="D152:P152" si="1">SUM(D150:D151)</f>
        <v>367</v>
      </c>
      <c r="E152">
        <f t="shared" si="1"/>
        <v>70</v>
      </c>
      <c r="F152">
        <f t="shared" si="1"/>
        <v>28</v>
      </c>
      <c r="G152">
        <f t="shared" si="1"/>
        <v>93</v>
      </c>
      <c r="H152">
        <f t="shared" si="1"/>
        <v>39</v>
      </c>
      <c r="I152">
        <f t="shared" si="1"/>
        <v>29</v>
      </c>
      <c r="J152">
        <f t="shared" si="1"/>
        <v>60</v>
      </c>
      <c r="K152">
        <f t="shared" si="1"/>
        <v>7</v>
      </c>
      <c r="L152">
        <f t="shared" si="1"/>
        <v>3</v>
      </c>
      <c r="M152">
        <f t="shared" si="1"/>
        <v>76</v>
      </c>
      <c r="N152">
        <f t="shared" si="1"/>
        <v>28</v>
      </c>
      <c r="O152">
        <f t="shared" si="1"/>
        <v>2</v>
      </c>
      <c r="P152">
        <f t="shared" si="1"/>
        <v>1</v>
      </c>
    </row>
    <row r="154" spans="2:16" x14ac:dyDescent="0.2">
      <c r="C154" t="s">
        <v>725</v>
      </c>
      <c r="D154" t="s">
        <v>476</v>
      </c>
      <c r="E154" t="s">
        <v>477</v>
      </c>
      <c r="F154" t="s">
        <v>724</v>
      </c>
    </row>
    <row r="155" spans="2:16" x14ac:dyDescent="0.2">
      <c r="C155" t="s">
        <v>485</v>
      </c>
      <c r="D155">
        <v>19</v>
      </c>
      <c r="E155">
        <v>57</v>
      </c>
      <c r="F155">
        <f t="shared" ref="F155:F165" si="2">SUM(D155:E155)</f>
        <v>76</v>
      </c>
    </row>
    <row r="156" spans="2:16" x14ac:dyDescent="0.2">
      <c r="C156" t="s">
        <v>642</v>
      </c>
      <c r="D156">
        <v>6</v>
      </c>
      <c r="E156">
        <v>1</v>
      </c>
      <c r="F156">
        <f t="shared" si="2"/>
        <v>7</v>
      </c>
    </row>
    <row r="157" spans="2:16" x14ac:dyDescent="0.2">
      <c r="C157" t="s">
        <v>472</v>
      </c>
      <c r="D157">
        <v>20</v>
      </c>
      <c r="E157">
        <v>8</v>
      </c>
      <c r="F157">
        <f t="shared" si="2"/>
        <v>28</v>
      </c>
    </row>
    <row r="158" spans="2:16" x14ac:dyDescent="0.2">
      <c r="C158" t="s">
        <v>490</v>
      </c>
      <c r="D158">
        <v>10</v>
      </c>
      <c r="E158">
        <v>18</v>
      </c>
      <c r="F158">
        <f t="shared" si="2"/>
        <v>28</v>
      </c>
    </row>
    <row r="159" spans="2:16" x14ac:dyDescent="0.2">
      <c r="C159" t="s">
        <v>475</v>
      </c>
      <c r="D159">
        <v>9</v>
      </c>
      <c r="E159">
        <v>20</v>
      </c>
      <c r="F159">
        <f t="shared" si="2"/>
        <v>29</v>
      </c>
    </row>
    <row r="160" spans="2:16" x14ac:dyDescent="0.2">
      <c r="C160" t="s">
        <v>474</v>
      </c>
      <c r="D160">
        <v>10</v>
      </c>
      <c r="E160">
        <v>29</v>
      </c>
      <c r="F160">
        <f t="shared" si="2"/>
        <v>39</v>
      </c>
    </row>
    <row r="161" spans="3:6" x14ac:dyDescent="0.2">
      <c r="C161" t="s">
        <v>228</v>
      </c>
      <c r="D161">
        <v>11</v>
      </c>
      <c r="E161">
        <v>49</v>
      </c>
      <c r="F161">
        <f t="shared" si="2"/>
        <v>60</v>
      </c>
    </row>
    <row r="162" spans="3:6" x14ac:dyDescent="0.2">
      <c r="C162" t="s">
        <v>471</v>
      </c>
      <c r="D162">
        <v>8</v>
      </c>
      <c r="E162">
        <v>62</v>
      </c>
      <c r="F162">
        <f t="shared" si="2"/>
        <v>70</v>
      </c>
    </row>
    <row r="163" spans="3:6" x14ac:dyDescent="0.2">
      <c r="C163" t="s">
        <v>473</v>
      </c>
      <c r="D163">
        <v>15</v>
      </c>
      <c r="E163">
        <v>78</v>
      </c>
      <c r="F163">
        <f t="shared" si="2"/>
        <v>93</v>
      </c>
    </row>
    <row r="164" spans="3:6" x14ac:dyDescent="0.2">
      <c r="C164" t="s">
        <v>155</v>
      </c>
      <c r="D164">
        <v>191</v>
      </c>
      <c r="E164">
        <v>127</v>
      </c>
      <c r="F164">
        <f t="shared" si="2"/>
        <v>318</v>
      </c>
    </row>
    <row r="165" spans="3:6" x14ac:dyDescent="0.2">
      <c r="C165" t="s">
        <v>149</v>
      </c>
      <c r="D165">
        <v>92</v>
      </c>
      <c r="E165">
        <v>275</v>
      </c>
      <c r="F165">
        <f t="shared" si="2"/>
        <v>367</v>
      </c>
    </row>
    <row r="171" spans="3:6" x14ac:dyDescent="0.2">
      <c r="C171" t="s">
        <v>725</v>
      </c>
      <c r="D171" t="s">
        <v>476</v>
      </c>
      <c r="E171" t="s">
        <v>477</v>
      </c>
      <c r="F171" t="s">
        <v>724</v>
      </c>
    </row>
    <row r="172" spans="3:6" x14ac:dyDescent="0.2">
      <c r="C172" t="s">
        <v>155</v>
      </c>
      <c r="D172">
        <v>191</v>
      </c>
      <c r="E172">
        <v>127</v>
      </c>
      <c r="F172">
        <f t="shared" ref="F172:F181" si="3">SUM(D172:E172)</f>
        <v>318</v>
      </c>
    </row>
    <row r="173" spans="3:6" x14ac:dyDescent="0.2">
      <c r="C173" t="s">
        <v>149</v>
      </c>
      <c r="D173">
        <v>92</v>
      </c>
      <c r="E173">
        <v>275</v>
      </c>
      <c r="F173">
        <f t="shared" si="3"/>
        <v>367</v>
      </c>
    </row>
    <row r="174" spans="3:6" x14ac:dyDescent="0.2">
      <c r="C174" t="s">
        <v>473</v>
      </c>
      <c r="D174">
        <v>15</v>
      </c>
      <c r="E174">
        <v>78</v>
      </c>
      <c r="F174">
        <f t="shared" si="3"/>
        <v>93</v>
      </c>
    </row>
    <row r="175" spans="3:6" x14ac:dyDescent="0.2">
      <c r="C175" t="s">
        <v>471</v>
      </c>
      <c r="D175">
        <v>8</v>
      </c>
      <c r="E175">
        <v>62</v>
      </c>
      <c r="F175">
        <f t="shared" si="3"/>
        <v>70</v>
      </c>
    </row>
    <row r="176" spans="3:6" x14ac:dyDescent="0.2">
      <c r="C176" t="s">
        <v>228</v>
      </c>
      <c r="D176">
        <v>11</v>
      </c>
      <c r="E176">
        <v>49</v>
      </c>
      <c r="F176">
        <f t="shared" si="3"/>
        <v>60</v>
      </c>
    </row>
    <row r="177" spans="3:6" x14ac:dyDescent="0.2">
      <c r="C177" t="s">
        <v>474</v>
      </c>
      <c r="D177">
        <v>10</v>
      </c>
      <c r="E177">
        <v>29</v>
      </c>
      <c r="F177">
        <f t="shared" si="3"/>
        <v>39</v>
      </c>
    </row>
    <row r="178" spans="3:6" x14ac:dyDescent="0.2">
      <c r="C178" t="s">
        <v>475</v>
      </c>
      <c r="D178">
        <v>9</v>
      </c>
      <c r="E178">
        <v>20</v>
      </c>
      <c r="F178">
        <f t="shared" si="3"/>
        <v>29</v>
      </c>
    </row>
    <row r="179" spans="3:6" x14ac:dyDescent="0.2">
      <c r="C179" t="s">
        <v>490</v>
      </c>
      <c r="D179">
        <v>10</v>
      </c>
      <c r="E179">
        <v>18</v>
      </c>
      <c r="F179">
        <f t="shared" si="3"/>
        <v>28</v>
      </c>
    </row>
    <row r="180" spans="3:6" x14ac:dyDescent="0.2">
      <c r="C180" t="s">
        <v>642</v>
      </c>
      <c r="D180">
        <v>6</v>
      </c>
      <c r="E180">
        <v>1</v>
      </c>
      <c r="F180">
        <f t="shared" si="3"/>
        <v>7</v>
      </c>
    </row>
    <row r="181" spans="3:6" x14ac:dyDescent="0.2">
      <c r="C181" t="s">
        <v>485</v>
      </c>
      <c r="D181">
        <v>19</v>
      </c>
      <c r="E181">
        <v>57</v>
      </c>
      <c r="F181">
        <f t="shared" si="3"/>
        <v>76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5B62-AED9-4761-834E-4503BC3CF142}">
  <dimension ref="A1:AI304"/>
  <sheetViews>
    <sheetView tabSelected="1" topLeftCell="A216" zoomScale="70" zoomScaleNormal="70" workbookViewId="0">
      <selection activeCell="J212" sqref="J212"/>
    </sheetView>
  </sheetViews>
  <sheetFormatPr baseColWidth="10" defaultRowHeight="15" x14ac:dyDescent="0.2"/>
  <cols>
    <col min="2" max="3" width="15.1640625" customWidth="1"/>
    <col min="4" max="4" width="11.5" customWidth="1"/>
    <col min="6" max="6" width="20.33203125" customWidth="1"/>
    <col min="7" max="7" width="11.6640625" customWidth="1"/>
    <col min="8" max="8" width="16.83203125" customWidth="1"/>
    <col min="9" max="9" width="17" customWidth="1"/>
    <col min="10" max="10" width="14" customWidth="1"/>
    <col min="11" max="11" width="11.6640625" customWidth="1"/>
    <col min="12" max="12" width="12.5" customWidth="1"/>
    <col min="14" max="14" width="16.5" customWidth="1"/>
    <col min="15" max="15" width="14.5" customWidth="1"/>
    <col min="17" max="17" width="14.5" customWidth="1"/>
    <col min="18" max="18" width="12.1640625" customWidth="1"/>
    <col min="19" max="19" width="12.6640625" customWidth="1"/>
    <col min="22" max="22" width="19.5" customWidth="1"/>
  </cols>
  <sheetData>
    <row r="1" spans="1:32" x14ac:dyDescent="0.2">
      <c r="S1" t="s">
        <v>155</v>
      </c>
      <c r="T1" t="s">
        <v>149</v>
      </c>
      <c r="U1" t="s">
        <v>471</v>
      </c>
      <c r="V1" t="s">
        <v>472</v>
      </c>
      <c r="W1" t="s">
        <v>473</v>
      </c>
      <c r="X1" t="s">
        <v>474</v>
      </c>
      <c r="Y1" t="s">
        <v>475</v>
      </c>
      <c r="Z1" t="s">
        <v>228</v>
      </c>
      <c r="AA1" t="s">
        <v>642</v>
      </c>
      <c r="AB1" t="s">
        <v>489</v>
      </c>
      <c r="AC1" t="s">
        <v>485</v>
      </c>
      <c r="AD1" t="s">
        <v>490</v>
      </c>
      <c r="AE1" t="s">
        <v>488</v>
      </c>
      <c r="AF1" t="s">
        <v>491</v>
      </c>
    </row>
    <row r="2" spans="1:32" x14ac:dyDescent="0.2">
      <c r="B2" t="s">
        <v>155</v>
      </c>
      <c r="C2" t="s">
        <v>149</v>
      </c>
      <c r="D2" t="s">
        <v>471</v>
      </c>
      <c r="E2" t="s">
        <v>472</v>
      </c>
      <c r="F2" t="s">
        <v>473</v>
      </c>
      <c r="G2" t="s">
        <v>474</v>
      </c>
      <c r="H2" t="s">
        <v>475</v>
      </c>
      <c r="I2" t="s">
        <v>228</v>
      </c>
      <c r="J2" t="s">
        <v>642</v>
      </c>
      <c r="K2" t="s">
        <v>489</v>
      </c>
      <c r="L2" t="s">
        <v>485</v>
      </c>
      <c r="M2" t="s">
        <v>490</v>
      </c>
      <c r="N2" t="s">
        <v>488</v>
      </c>
      <c r="O2" t="s">
        <v>491</v>
      </c>
      <c r="Q2" t="s">
        <v>112</v>
      </c>
      <c r="R2" t="s">
        <v>476</v>
      </c>
      <c r="S2">
        <v>0</v>
      </c>
      <c r="T2">
        <v>1</v>
      </c>
      <c r="U2">
        <v>0</v>
      </c>
      <c r="V2">
        <v>2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726</v>
      </c>
      <c r="B3">
        <v>138</v>
      </c>
      <c r="C3">
        <v>285</v>
      </c>
      <c r="D3">
        <v>66</v>
      </c>
      <c r="E3">
        <v>8</v>
      </c>
      <c r="F3">
        <v>85</v>
      </c>
      <c r="G3">
        <v>29</v>
      </c>
      <c r="H3">
        <v>20</v>
      </c>
      <c r="I3">
        <v>49</v>
      </c>
      <c r="J3">
        <v>3</v>
      </c>
      <c r="K3">
        <v>3</v>
      </c>
      <c r="L3">
        <v>57</v>
      </c>
      <c r="M3">
        <v>18</v>
      </c>
      <c r="N3">
        <v>2</v>
      </c>
      <c r="O3">
        <v>1</v>
      </c>
      <c r="Q3" t="s">
        <v>112</v>
      </c>
      <c r="R3" t="s">
        <v>477</v>
      </c>
      <c r="S3">
        <v>0</v>
      </c>
      <c r="T3">
        <v>4</v>
      </c>
      <c r="U3">
        <v>3</v>
      </c>
      <c r="V3">
        <v>0</v>
      </c>
      <c r="W3">
        <v>0</v>
      </c>
      <c r="X3">
        <v>1</v>
      </c>
      <c r="Y3">
        <v>1</v>
      </c>
      <c r="Z3">
        <v>3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</row>
    <row r="4" spans="1:32" x14ac:dyDescent="0.2">
      <c r="A4" t="s">
        <v>727</v>
      </c>
      <c r="B4">
        <v>209</v>
      </c>
      <c r="C4">
        <v>99</v>
      </c>
      <c r="D4">
        <v>9</v>
      </c>
      <c r="E4">
        <v>20</v>
      </c>
      <c r="F4">
        <v>15</v>
      </c>
      <c r="G4">
        <v>10</v>
      </c>
      <c r="H4">
        <v>9</v>
      </c>
      <c r="I4">
        <v>11</v>
      </c>
      <c r="J4">
        <v>6</v>
      </c>
      <c r="K4">
        <v>0</v>
      </c>
      <c r="L4">
        <v>20</v>
      </c>
      <c r="M4">
        <v>10</v>
      </c>
      <c r="N4">
        <v>0</v>
      </c>
      <c r="O4">
        <v>0</v>
      </c>
      <c r="Q4" t="s">
        <v>134</v>
      </c>
      <c r="R4" t="s">
        <v>476</v>
      </c>
      <c r="S4">
        <v>2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O5">
        <f>SUM(B3:O4)</f>
        <v>1182</v>
      </c>
      <c r="Q5" t="s">
        <v>134</v>
      </c>
      <c r="R5" t="s">
        <v>477</v>
      </c>
      <c r="S5">
        <v>0</v>
      </c>
      <c r="T5">
        <v>6</v>
      </c>
      <c r="U5">
        <v>0</v>
      </c>
      <c r="V5">
        <v>0</v>
      </c>
      <c r="W5">
        <v>2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Q6" t="s">
        <v>136</v>
      </c>
      <c r="R6" t="s">
        <v>476</v>
      </c>
      <c r="S6">
        <v>4</v>
      </c>
    </row>
    <row r="7" spans="1:32" x14ac:dyDescent="0.2">
      <c r="Q7" t="s">
        <v>136</v>
      </c>
      <c r="R7" t="s">
        <v>477</v>
      </c>
      <c r="S7">
        <v>4</v>
      </c>
      <c r="T7">
        <v>3</v>
      </c>
      <c r="U7">
        <v>1</v>
      </c>
      <c r="V7">
        <v>0</v>
      </c>
      <c r="W7">
        <v>0</v>
      </c>
      <c r="X7">
        <v>0</v>
      </c>
      <c r="Y7">
        <v>1</v>
      </c>
      <c r="Z7">
        <v>3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</row>
    <row r="8" spans="1:32" x14ac:dyDescent="0.2">
      <c r="Q8" t="s">
        <v>126</v>
      </c>
      <c r="R8" t="s">
        <v>476</v>
      </c>
      <c r="S8">
        <v>26</v>
      </c>
      <c r="T8">
        <v>7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</row>
    <row r="9" spans="1:32" x14ac:dyDescent="0.2">
      <c r="Q9" t="s">
        <v>126</v>
      </c>
      <c r="R9" t="s">
        <v>477</v>
      </c>
      <c r="S9">
        <v>15</v>
      </c>
      <c r="T9">
        <v>29</v>
      </c>
      <c r="U9">
        <v>8</v>
      </c>
      <c r="V9">
        <v>0</v>
      </c>
      <c r="W9">
        <v>7</v>
      </c>
      <c r="X9">
        <v>4</v>
      </c>
      <c r="Y9">
        <v>0</v>
      </c>
      <c r="Z9">
        <v>0</v>
      </c>
      <c r="AA9">
        <v>0</v>
      </c>
      <c r="AB9">
        <v>0</v>
      </c>
      <c r="AC9">
        <v>3</v>
      </c>
      <c r="AD9">
        <v>3</v>
      </c>
      <c r="AE9">
        <v>0</v>
      </c>
      <c r="AF9">
        <v>0</v>
      </c>
    </row>
    <row r="22" spans="2:35" x14ac:dyDescent="0.2">
      <c r="B22" t="s">
        <v>467</v>
      </c>
      <c r="C22" t="s">
        <v>468</v>
      </c>
      <c r="D22" t="s">
        <v>469</v>
      </c>
      <c r="E22" t="s">
        <v>470</v>
      </c>
      <c r="F22" t="s">
        <v>155</v>
      </c>
      <c r="G22" t="s">
        <v>149</v>
      </c>
      <c r="H22" t="s">
        <v>471</v>
      </c>
      <c r="I22" t="s">
        <v>472</v>
      </c>
      <c r="J22" t="s">
        <v>473</v>
      </c>
      <c r="K22" t="s">
        <v>474</v>
      </c>
      <c r="L22" t="s">
        <v>475</v>
      </c>
      <c r="M22" t="s">
        <v>228</v>
      </c>
      <c r="N22" t="s">
        <v>642</v>
      </c>
      <c r="O22" t="s">
        <v>489</v>
      </c>
      <c r="P22" t="s">
        <v>485</v>
      </c>
      <c r="Q22" t="s">
        <v>490</v>
      </c>
      <c r="R22" t="s">
        <v>488</v>
      </c>
      <c r="S22" t="s">
        <v>491</v>
      </c>
    </row>
    <row r="23" spans="2:35" x14ac:dyDescent="0.2">
      <c r="B23">
        <v>1.1000000000000001</v>
      </c>
      <c r="C23" t="s">
        <v>648</v>
      </c>
      <c r="D23" t="s">
        <v>111</v>
      </c>
      <c r="E23" t="s">
        <v>476</v>
      </c>
      <c r="F23">
        <v>5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491</v>
      </c>
    </row>
    <row r="24" spans="2:35" x14ac:dyDescent="0.2">
      <c r="B24">
        <v>1.1000000000000001</v>
      </c>
      <c r="C24" t="s">
        <v>648</v>
      </c>
      <c r="D24" t="s">
        <v>111</v>
      </c>
      <c r="E24" t="s">
        <v>477</v>
      </c>
      <c r="F24">
        <v>3</v>
      </c>
      <c r="G24">
        <v>6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>
        <v>0</v>
      </c>
      <c r="V24">
        <v>8</v>
      </c>
      <c r="W24">
        <v>1</v>
      </c>
      <c r="X24">
        <v>0</v>
      </c>
      <c r="Y24">
        <v>2</v>
      </c>
      <c r="Z24">
        <v>3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</row>
    <row r="25" spans="2:35" x14ac:dyDescent="0.2">
      <c r="B25">
        <v>1.2</v>
      </c>
      <c r="C25" t="s">
        <v>649</v>
      </c>
      <c r="D25" t="s">
        <v>119</v>
      </c>
      <c r="E25" t="s">
        <v>476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2:35" x14ac:dyDescent="0.2">
      <c r="B26">
        <v>1.2</v>
      </c>
      <c r="C26" t="s">
        <v>649</v>
      </c>
      <c r="D26" t="s">
        <v>119</v>
      </c>
      <c r="E26" t="s">
        <v>477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1</v>
      </c>
      <c r="V26">
        <v>2</v>
      </c>
      <c r="W26">
        <v>2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2:35" x14ac:dyDescent="0.2">
      <c r="B27">
        <v>1.3</v>
      </c>
      <c r="C27" t="s">
        <v>650</v>
      </c>
      <c r="D27" t="s">
        <v>83</v>
      </c>
      <c r="E27" t="s">
        <v>476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>
        <v>1</v>
      </c>
      <c r="V27">
        <v>4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2:35" x14ac:dyDescent="0.2">
      <c r="B28">
        <v>1.3</v>
      </c>
      <c r="C28" t="s">
        <v>650</v>
      </c>
      <c r="D28" t="s">
        <v>83</v>
      </c>
      <c r="E28" t="s">
        <v>477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>
        <v>3</v>
      </c>
      <c r="V28">
        <v>1</v>
      </c>
      <c r="W28">
        <v>3</v>
      </c>
      <c r="X28">
        <v>0</v>
      </c>
      <c r="Y28">
        <v>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2:35" x14ac:dyDescent="0.2">
      <c r="B29">
        <v>1.4</v>
      </c>
      <c r="C29" t="s">
        <v>651</v>
      </c>
      <c r="D29" t="s">
        <v>128</v>
      </c>
      <c r="E29" t="s">
        <v>476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  <c r="V29">
        <v>1</v>
      </c>
      <c r="W29">
        <v>0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</row>
    <row r="30" spans="2:35" x14ac:dyDescent="0.2">
      <c r="B30">
        <v>1.4</v>
      </c>
      <c r="C30" t="s">
        <v>651</v>
      </c>
      <c r="D30" t="s">
        <v>128</v>
      </c>
      <c r="E30" t="s">
        <v>477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>
        <v>0</v>
      </c>
      <c r="V30">
        <v>1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2:35" x14ac:dyDescent="0.2">
      <c r="B31">
        <v>2</v>
      </c>
      <c r="C31" t="s">
        <v>1</v>
      </c>
      <c r="D31" t="s">
        <v>116</v>
      </c>
      <c r="E31" t="s">
        <v>476</v>
      </c>
      <c r="F31">
        <v>8</v>
      </c>
      <c r="G31">
        <v>0</v>
      </c>
      <c r="H31">
        <v>0</v>
      </c>
      <c r="I31">
        <v>3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>
        <v>3</v>
      </c>
      <c r="V31">
        <v>7</v>
      </c>
      <c r="W31">
        <v>0</v>
      </c>
      <c r="X31">
        <v>1</v>
      </c>
      <c r="Y31">
        <v>4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2:35" x14ac:dyDescent="0.2">
      <c r="B32">
        <v>2</v>
      </c>
      <c r="C32" t="s">
        <v>1</v>
      </c>
      <c r="D32" t="s">
        <v>116</v>
      </c>
      <c r="E32" t="s">
        <v>477</v>
      </c>
      <c r="F32">
        <v>1</v>
      </c>
      <c r="G32">
        <v>16</v>
      </c>
      <c r="H32">
        <v>2</v>
      </c>
      <c r="I32">
        <v>0</v>
      </c>
      <c r="J32">
        <v>0</v>
      </c>
      <c r="K32">
        <v>0</v>
      </c>
      <c r="L32">
        <v>1</v>
      </c>
      <c r="M32">
        <v>9</v>
      </c>
      <c r="N32">
        <v>0</v>
      </c>
      <c r="O32">
        <v>0</v>
      </c>
      <c r="P32">
        <v>4</v>
      </c>
      <c r="Q32">
        <v>0</v>
      </c>
      <c r="R32">
        <v>0</v>
      </c>
      <c r="S32">
        <v>0</v>
      </c>
      <c r="U32">
        <v>1</v>
      </c>
      <c r="V32">
        <v>3</v>
      </c>
      <c r="W32">
        <v>2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</row>
    <row r="33" spans="2:34" x14ac:dyDescent="0.2">
      <c r="B33">
        <v>3</v>
      </c>
      <c r="C33" t="s">
        <v>2</v>
      </c>
      <c r="D33" t="s">
        <v>116</v>
      </c>
      <c r="E33" t="s">
        <v>476</v>
      </c>
      <c r="F33">
        <v>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>
        <v>0</v>
      </c>
      <c r="V33">
        <v>4</v>
      </c>
      <c r="W33">
        <v>0</v>
      </c>
      <c r="X33">
        <v>0</v>
      </c>
      <c r="Y33">
        <v>0</v>
      </c>
      <c r="Z33">
        <v>0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2:34" x14ac:dyDescent="0.2">
      <c r="B34">
        <v>3</v>
      </c>
      <c r="C34" t="s">
        <v>2</v>
      </c>
      <c r="D34" t="s">
        <v>116</v>
      </c>
      <c r="E34" t="s">
        <v>477</v>
      </c>
      <c r="F34">
        <v>5</v>
      </c>
      <c r="G34">
        <v>3</v>
      </c>
      <c r="H34">
        <v>1</v>
      </c>
      <c r="I34">
        <v>2</v>
      </c>
      <c r="J34">
        <v>0</v>
      </c>
      <c r="K34">
        <v>0</v>
      </c>
      <c r="L34">
        <v>0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  <c r="V34">
        <v>4</v>
      </c>
      <c r="W34">
        <v>0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2:34" x14ac:dyDescent="0.2">
      <c r="B35">
        <v>4.0999999999999996</v>
      </c>
      <c r="C35" t="s">
        <v>653</v>
      </c>
      <c r="D35" t="s">
        <v>116</v>
      </c>
      <c r="E35" t="s">
        <v>476</v>
      </c>
      <c r="F35">
        <v>4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U35">
        <v>0</v>
      </c>
      <c r="V35">
        <v>2</v>
      </c>
      <c r="W35">
        <v>0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2:34" x14ac:dyDescent="0.2">
      <c r="B36">
        <v>4.0999999999999996</v>
      </c>
      <c r="C36" t="s">
        <v>653</v>
      </c>
      <c r="D36" t="s">
        <v>116</v>
      </c>
      <c r="E36" t="s">
        <v>477</v>
      </c>
      <c r="F36">
        <v>2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U36">
        <v>0</v>
      </c>
      <c r="V36">
        <v>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2:34" x14ac:dyDescent="0.2">
      <c r="B37">
        <v>4.2</v>
      </c>
      <c r="C37" t="s">
        <v>654</v>
      </c>
      <c r="D37" t="s">
        <v>83</v>
      </c>
      <c r="E37" t="s">
        <v>476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>
        <v>0</v>
      </c>
      <c r="V37">
        <v>2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2:34" x14ac:dyDescent="0.2">
      <c r="B38">
        <v>4.2</v>
      </c>
      <c r="C38" t="s">
        <v>654</v>
      </c>
      <c r="D38" t="s">
        <v>83</v>
      </c>
      <c r="E38" t="s">
        <v>477</v>
      </c>
      <c r="F38">
        <v>1</v>
      </c>
      <c r="G38">
        <v>3</v>
      </c>
      <c r="H38">
        <v>0</v>
      </c>
      <c r="I38">
        <v>1</v>
      </c>
      <c r="J38">
        <v>0</v>
      </c>
      <c r="K38">
        <v>0</v>
      </c>
      <c r="L38">
        <v>0</v>
      </c>
      <c r="M38">
        <v>3</v>
      </c>
      <c r="N38">
        <v>0</v>
      </c>
      <c r="O38">
        <v>0</v>
      </c>
      <c r="P38">
        <v>2</v>
      </c>
      <c r="Q38">
        <v>0</v>
      </c>
      <c r="R38">
        <v>0</v>
      </c>
      <c r="S38">
        <v>0</v>
      </c>
      <c r="U38">
        <v>1</v>
      </c>
      <c r="V38">
        <v>2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2:34" x14ac:dyDescent="0.2">
      <c r="B39">
        <v>4.3</v>
      </c>
      <c r="C39" t="s">
        <v>652</v>
      </c>
      <c r="D39" t="s">
        <v>122</v>
      </c>
      <c r="E39" t="s">
        <v>476</v>
      </c>
      <c r="F39">
        <v>4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2:34" x14ac:dyDescent="0.2">
      <c r="B40">
        <v>4.3</v>
      </c>
      <c r="C40" t="s">
        <v>652</v>
      </c>
      <c r="D40" t="s">
        <v>122</v>
      </c>
      <c r="E40" t="s">
        <v>477</v>
      </c>
      <c r="F40">
        <v>0</v>
      </c>
      <c r="G40">
        <v>6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>
        <v>1</v>
      </c>
      <c r="V40">
        <v>2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2">
      <c r="B41">
        <v>5.0999999999999996</v>
      </c>
      <c r="C41" t="s">
        <v>655</v>
      </c>
      <c r="D41" t="s">
        <v>116</v>
      </c>
      <c r="E41" t="s">
        <v>476</v>
      </c>
      <c r="F41">
        <v>4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>
        <v>1</v>
      </c>
      <c r="V41">
        <v>2</v>
      </c>
      <c r="W41">
        <v>1</v>
      </c>
      <c r="X41">
        <v>0</v>
      </c>
      <c r="Y41">
        <v>1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2:34" x14ac:dyDescent="0.2">
      <c r="B42">
        <v>5.0999999999999996</v>
      </c>
      <c r="C42" t="s">
        <v>655</v>
      </c>
      <c r="D42" t="s">
        <v>116</v>
      </c>
      <c r="E42" t="s">
        <v>477</v>
      </c>
      <c r="F42">
        <v>5</v>
      </c>
      <c r="G42">
        <v>5</v>
      </c>
      <c r="H42">
        <v>1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2:34" x14ac:dyDescent="0.2">
      <c r="B43">
        <v>5.2</v>
      </c>
      <c r="C43" t="s">
        <v>656</v>
      </c>
      <c r="D43" t="s">
        <v>111</v>
      </c>
      <c r="E43" t="s">
        <v>476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2:34" x14ac:dyDescent="0.2">
      <c r="B44">
        <v>5.2</v>
      </c>
      <c r="C44" t="s">
        <v>656</v>
      </c>
      <c r="D44" t="s">
        <v>111</v>
      </c>
      <c r="E44" t="s">
        <v>477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2:34" x14ac:dyDescent="0.2">
      <c r="B45">
        <v>6</v>
      </c>
      <c r="C45" t="s">
        <v>5</v>
      </c>
      <c r="D45" t="s">
        <v>109</v>
      </c>
      <c r="E45" t="s">
        <v>476</v>
      </c>
      <c r="F45">
        <v>3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2:34" x14ac:dyDescent="0.2">
      <c r="B46">
        <v>6</v>
      </c>
      <c r="C46" t="s">
        <v>5</v>
      </c>
      <c r="D46" t="s">
        <v>109</v>
      </c>
      <c r="E46" t="s">
        <v>477</v>
      </c>
      <c r="F46">
        <v>1</v>
      </c>
      <c r="G46">
        <v>5</v>
      </c>
      <c r="H46">
        <v>3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0</v>
      </c>
    </row>
    <row r="47" spans="2:34" x14ac:dyDescent="0.2">
      <c r="B47">
        <v>7</v>
      </c>
      <c r="C47" t="s">
        <v>6</v>
      </c>
      <c r="D47" t="s">
        <v>111</v>
      </c>
      <c r="E47" t="s">
        <v>476</v>
      </c>
      <c r="F47">
        <v>2</v>
      </c>
      <c r="G47">
        <v>2</v>
      </c>
      <c r="H47">
        <v>0</v>
      </c>
      <c r="I47">
        <v>1</v>
      </c>
      <c r="J47">
        <v>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2:34" x14ac:dyDescent="0.2">
      <c r="B48">
        <v>7</v>
      </c>
      <c r="C48" t="s">
        <v>6</v>
      </c>
      <c r="D48" t="s">
        <v>111</v>
      </c>
      <c r="E48" t="s">
        <v>477</v>
      </c>
      <c r="F48">
        <v>1</v>
      </c>
      <c r="G48">
        <v>2</v>
      </c>
      <c r="H48">
        <v>1</v>
      </c>
      <c r="I48">
        <v>0</v>
      </c>
      <c r="J48">
        <v>0</v>
      </c>
      <c r="K48">
        <v>3</v>
      </c>
      <c r="L48">
        <v>0</v>
      </c>
      <c r="M48">
        <v>4</v>
      </c>
      <c r="N48">
        <v>0</v>
      </c>
      <c r="O48">
        <v>0</v>
      </c>
      <c r="P48">
        <v>5</v>
      </c>
      <c r="Q48">
        <v>0</v>
      </c>
      <c r="R48">
        <v>1</v>
      </c>
      <c r="S48">
        <v>0</v>
      </c>
    </row>
    <row r="49" spans="2:19" x14ac:dyDescent="0.2">
      <c r="B49">
        <v>8.1</v>
      </c>
      <c r="C49" t="s">
        <v>659</v>
      </c>
      <c r="D49" t="s">
        <v>109</v>
      </c>
      <c r="E49" t="s">
        <v>476</v>
      </c>
      <c r="F49">
        <v>2</v>
      </c>
      <c r="G49">
        <v>4</v>
      </c>
      <c r="H49">
        <v>0</v>
      </c>
      <c r="I49">
        <v>2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2:19" x14ac:dyDescent="0.2">
      <c r="B50">
        <v>8.1</v>
      </c>
      <c r="C50" t="s">
        <v>659</v>
      </c>
      <c r="D50" t="s">
        <v>109</v>
      </c>
      <c r="E50" t="s">
        <v>477</v>
      </c>
      <c r="F50">
        <v>0</v>
      </c>
      <c r="G50">
        <v>7</v>
      </c>
      <c r="H50">
        <v>3</v>
      </c>
      <c r="I50">
        <v>0</v>
      </c>
      <c r="J50">
        <v>0</v>
      </c>
      <c r="K50">
        <v>1</v>
      </c>
      <c r="L50">
        <v>0</v>
      </c>
      <c r="M50">
        <v>5</v>
      </c>
      <c r="N50">
        <v>0</v>
      </c>
      <c r="O50">
        <v>3</v>
      </c>
      <c r="P50">
        <v>2</v>
      </c>
      <c r="Q50">
        <v>1</v>
      </c>
      <c r="R50">
        <v>0</v>
      </c>
      <c r="S50">
        <v>0</v>
      </c>
    </row>
    <row r="51" spans="2:19" x14ac:dyDescent="0.2">
      <c r="B51">
        <v>8.1999999999999993</v>
      </c>
      <c r="C51" t="s">
        <v>660</v>
      </c>
      <c r="D51" t="s">
        <v>112</v>
      </c>
      <c r="E51" t="s">
        <v>476</v>
      </c>
      <c r="F51">
        <v>0</v>
      </c>
      <c r="G51">
        <v>1</v>
      </c>
      <c r="H51">
        <v>0</v>
      </c>
      <c r="I51">
        <v>2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2:19" x14ac:dyDescent="0.2">
      <c r="B52">
        <v>8.1999999999999993</v>
      </c>
      <c r="C52" t="s">
        <v>660</v>
      </c>
      <c r="D52" t="s">
        <v>112</v>
      </c>
      <c r="E52" t="s">
        <v>477</v>
      </c>
      <c r="F52">
        <v>0</v>
      </c>
      <c r="G52">
        <v>4</v>
      </c>
      <c r="H52">
        <v>3</v>
      </c>
      <c r="I52">
        <v>0</v>
      </c>
      <c r="J52">
        <v>0</v>
      </c>
      <c r="K52">
        <v>1</v>
      </c>
      <c r="L52">
        <v>1</v>
      </c>
      <c r="M52">
        <v>3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</row>
    <row r="53" spans="2:19" x14ac:dyDescent="0.2">
      <c r="B53">
        <v>9.1</v>
      </c>
      <c r="C53" t="s">
        <v>657</v>
      </c>
      <c r="D53" t="s">
        <v>113</v>
      </c>
      <c r="E53" t="s">
        <v>476</v>
      </c>
      <c r="F53">
        <v>3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3</v>
      </c>
      <c r="R53">
        <v>0</v>
      </c>
      <c r="S53">
        <v>0</v>
      </c>
    </row>
    <row r="54" spans="2:19" x14ac:dyDescent="0.2">
      <c r="B54">
        <v>9.1</v>
      </c>
      <c r="C54" t="s">
        <v>657</v>
      </c>
      <c r="D54" t="s">
        <v>113</v>
      </c>
      <c r="E54" t="s">
        <v>477</v>
      </c>
      <c r="F54">
        <v>1</v>
      </c>
      <c r="G54">
        <v>11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4</v>
      </c>
      <c r="Q54">
        <v>0</v>
      </c>
      <c r="R54">
        <v>0</v>
      </c>
      <c r="S54">
        <v>0</v>
      </c>
    </row>
    <row r="55" spans="2:19" x14ac:dyDescent="0.2">
      <c r="B55">
        <v>9.1999999999999993</v>
      </c>
      <c r="C55" t="s">
        <v>658</v>
      </c>
      <c r="D55" t="s">
        <v>83</v>
      </c>
      <c r="E55" t="s">
        <v>476</v>
      </c>
      <c r="F55">
        <v>1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2:19" x14ac:dyDescent="0.2">
      <c r="B56">
        <v>9.1999999999999993</v>
      </c>
      <c r="C56" t="s">
        <v>658</v>
      </c>
      <c r="D56" t="s">
        <v>83</v>
      </c>
      <c r="E56" t="s">
        <v>477</v>
      </c>
      <c r="F56">
        <v>1</v>
      </c>
      <c r="G56">
        <v>6</v>
      </c>
      <c r="H56">
        <v>0</v>
      </c>
      <c r="I56">
        <v>0</v>
      </c>
      <c r="J56">
        <v>0</v>
      </c>
      <c r="K56">
        <v>0</v>
      </c>
      <c r="L56">
        <v>1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2:19" x14ac:dyDescent="0.2">
      <c r="B57">
        <v>10</v>
      </c>
      <c r="C57" t="s">
        <v>9</v>
      </c>
      <c r="D57" t="s">
        <v>109</v>
      </c>
      <c r="E57" t="s">
        <v>476</v>
      </c>
      <c r="F57">
        <v>0</v>
      </c>
      <c r="G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2:19" x14ac:dyDescent="0.2">
      <c r="B58">
        <v>10</v>
      </c>
      <c r="C58" t="s">
        <v>9</v>
      </c>
      <c r="D58" t="s">
        <v>109</v>
      </c>
      <c r="E58" t="s">
        <v>477</v>
      </c>
      <c r="F58">
        <v>0</v>
      </c>
      <c r="G58">
        <v>4</v>
      </c>
      <c r="H58">
        <v>2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</row>
    <row r="59" spans="2:19" x14ac:dyDescent="0.2">
      <c r="B59">
        <v>11</v>
      </c>
      <c r="C59" t="s">
        <v>492</v>
      </c>
      <c r="D59" t="s">
        <v>111</v>
      </c>
      <c r="E59" t="s">
        <v>476</v>
      </c>
      <c r="F59">
        <v>1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2:19" x14ac:dyDescent="0.2">
      <c r="B60">
        <v>11</v>
      </c>
      <c r="C60" t="s">
        <v>492</v>
      </c>
      <c r="D60" t="s">
        <v>111</v>
      </c>
      <c r="E60" t="s">
        <v>477</v>
      </c>
      <c r="F60">
        <v>0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2:19" x14ac:dyDescent="0.2">
      <c r="B61">
        <v>12</v>
      </c>
      <c r="C61" t="s">
        <v>11</v>
      </c>
      <c r="D61" t="s">
        <v>111</v>
      </c>
      <c r="E61" t="s">
        <v>476</v>
      </c>
      <c r="F61">
        <v>4</v>
      </c>
      <c r="G61">
        <v>3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2:19" x14ac:dyDescent="0.2">
      <c r="B62">
        <v>12</v>
      </c>
      <c r="C62" t="s">
        <v>11</v>
      </c>
      <c r="D62" t="s">
        <v>111</v>
      </c>
      <c r="E62" t="s">
        <v>477</v>
      </c>
      <c r="F62">
        <v>1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2:19" x14ac:dyDescent="0.2">
      <c r="B63">
        <v>13</v>
      </c>
      <c r="C63" t="s">
        <v>12</v>
      </c>
      <c r="D63" t="s">
        <v>114</v>
      </c>
      <c r="E63" t="s">
        <v>476</v>
      </c>
      <c r="F63">
        <v>1</v>
      </c>
      <c r="G63">
        <v>2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2:19" x14ac:dyDescent="0.2">
      <c r="B64">
        <v>13</v>
      </c>
      <c r="C64" t="s">
        <v>12</v>
      </c>
      <c r="D64" t="s">
        <v>114</v>
      </c>
      <c r="E64" t="s">
        <v>477</v>
      </c>
      <c r="F64">
        <v>4</v>
      </c>
      <c r="G64">
        <v>1</v>
      </c>
      <c r="H64">
        <v>4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2</v>
      </c>
      <c r="Q64">
        <v>0</v>
      </c>
      <c r="R64">
        <v>0</v>
      </c>
      <c r="S64">
        <v>0</v>
      </c>
    </row>
    <row r="65" spans="2:19" x14ac:dyDescent="0.2">
      <c r="B65">
        <v>14.1</v>
      </c>
      <c r="C65" t="s">
        <v>661</v>
      </c>
      <c r="D65" t="s">
        <v>111</v>
      </c>
      <c r="E65" t="s">
        <v>476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2:19" x14ac:dyDescent="0.2">
      <c r="B66">
        <v>14.1</v>
      </c>
      <c r="C66" t="s">
        <v>661</v>
      </c>
      <c r="D66" t="s">
        <v>111</v>
      </c>
      <c r="E66" t="s">
        <v>477</v>
      </c>
      <c r="F66">
        <v>1</v>
      </c>
      <c r="G66">
        <v>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</row>
    <row r="67" spans="2:19" x14ac:dyDescent="0.2">
      <c r="B67">
        <v>14.2</v>
      </c>
      <c r="C67" t="s">
        <v>662</v>
      </c>
      <c r="D67" t="s">
        <v>115</v>
      </c>
      <c r="E67" t="s">
        <v>476</v>
      </c>
      <c r="F67">
        <v>2</v>
      </c>
      <c r="G67">
        <v>5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2:19" x14ac:dyDescent="0.2">
      <c r="B68">
        <v>14.2</v>
      </c>
      <c r="C68" t="s">
        <v>662</v>
      </c>
      <c r="D68" t="s">
        <v>115</v>
      </c>
      <c r="E68" t="s">
        <v>477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2:19" x14ac:dyDescent="0.2">
      <c r="B69">
        <v>15.1</v>
      </c>
      <c r="C69" t="s">
        <v>663</v>
      </c>
      <c r="D69" t="s">
        <v>114</v>
      </c>
      <c r="E69" t="s">
        <v>476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2:19" x14ac:dyDescent="0.2">
      <c r="B70">
        <v>15.1</v>
      </c>
      <c r="C70" t="s">
        <v>663</v>
      </c>
      <c r="D70" t="s">
        <v>114</v>
      </c>
      <c r="E70" t="s">
        <v>477</v>
      </c>
      <c r="F70">
        <v>1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</row>
    <row r="71" spans="2:19" x14ac:dyDescent="0.2">
      <c r="B71">
        <v>15.2</v>
      </c>
      <c r="C71" t="s">
        <v>664</v>
      </c>
      <c r="D71" t="s">
        <v>116</v>
      </c>
      <c r="E71" t="s">
        <v>476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2:19" x14ac:dyDescent="0.2">
      <c r="B72">
        <v>15.2</v>
      </c>
      <c r="C72" t="s">
        <v>664</v>
      </c>
      <c r="D72" t="s">
        <v>116</v>
      </c>
      <c r="E72" t="s">
        <v>477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2:19" x14ac:dyDescent="0.2">
      <c r="B73">
        <v>16.100000000000001</v>
      </c>
      <c r="C73" t="s">
        <v>665</v>
      </c>
      <c r="D73" t="s">
        <v>83</v>
      </c>
      <c r="E73" t="s">
        <v>476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</row>
    <row r="74" spans="2:19" x14ac:dyDescent="0.2">
      <c r="B74">
        <v>16.100000000000001</v>
      </c>
      <c r="C74" t="s">
        <v>665</v>
      </c>
      <c r="D74" t="s">
        <v>83</v>
      </c>
      <c r="E74" t="s">
        <v>477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</row>
    <row r="75" spans="2:19" x14ac:dyDescent="0.2">
      <c r="B75">
        <v>16.2</v>
      </c>
      <c r="C75" t="s">
        <v>666</v>
      </c>
      <c r="D75" t="s">
        <v>116</v>
      </c>
      <c r="E75" t="s">
        <v>476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2:19" x14ac:dyDescent="0.2">
      <c r="B76">
        <v>16.2</v>
      </c>
      <c r="C76" t="s">
        <v>666</v>
      </c>
      <c r="D76" t="s">
        <v>116</v>
      </c>
      <c r="E76" t="s">
        <v>477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2:19" x14ac:dyDescent="0.2">
      <c r="B77">
        <v>17</v>
      </c>
      <c r="C77" t="s">
        <v>16</v>
      </c>
      <c r="D77" t="s">
        <v>118</v>
      </c>
      <c r="E77" t="s">
        <v>476</v>
      </c>
      <c r="F77">
        <v>0</v>
      </c>
      <c r="G77">
        <v>2</v>
      </c>
      <c r="H77">
        <v>0</v>
      </c>
      <c r="I77">
        <v>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</v>
      </c>
      <c r="R77">
        <v>0</v>
      </c>
      <c r="S77">
        <v>0</v>
      </c>
    </row>
    <row r="78" spans="2:19" x14ac:dyDescent="0.2">
      <c r="B78">
        <v>17</v>
      </c>
      <c r="C78" t="s">
        <v>16</v>
      </c>
      <c r="D78" t="s">
        <v>118</v>
      </c>
      <c r="E78" t="s">
        <v>477</v>
      </c>
      <c r="F78">
        <v>1</v>
      </c>
      <c r="G78">
        <v>3</v>
      </c>
      <c r="H78">
        <v>2</v>
      </c>
      <c r="I78">
        <v>2</v>
      </c>
      <c r="J78">
        <v>0</v>
      </c>
      <c r="K78">
        <v>2</v>
      </c>
      <c r="L78">
        <v>0</v>
      </c>
      <c r="M78">
        <v>1</v>
      </c>
      <c r="N78">
        <v>0</v>
      </c>
      <c r="O78">
        <v>0</v>
      </c>
      <c r="P78">
        <v>5</v>
      </c>
      <c r="Q78">
        <v>0</v>
      </c>
      <c r="R78">
        <v>0</v>
      </c>
      <c r="S78">
        <v>0</v>
      </c>
    </row>
    <row r="79" spans="2:19" x14ac:dyDescent="0.2">
      <c r="B79">
        <v>18</v>
      </c>
      <c r="C79" t="s">
        <v>667</v>
      </c>
      <c r="D79" t="s">
        <v>118</v>
      </c>
      <c r="E79" t="s">
        <v>476</v>
      </c>
      <c r="F79">
        <v>4</v>
      </c>
      <c r="G79">
        <v>0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</row>
    <row r="80" spans="2:19" x14ac:dyDescent="0.2">
      <c r="B80">
        <v>18</v>
      </c>
      <c r="C80" t="s">
        <v>667</v>
      </c>
      <c r="D80" t="s">
        <v>118</v>
      </c>
      <c r="E80" t="s">
        <v>477</v>
      </c>
      <c r="F80">
        <v>1</v>
      </c>
      <c r="G80">
        <v>1</v>
      </c>
      <c r="H80">
        <v>2</v>
      </c>
      <c r="I80">
        <v>0</v>
      </c>
      <c r="J80">
        <v>3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0</v>
      </c>
      <c r="R80">
        <v>0</v>
      </c>
      <c r="S80">
        <v>0</v>
      </c>
    </row>
    <row r="81" spans="2:19" x14ac:dyDescent="0.2">
      <c r="B81">
        <v>19</v>
      </c>
      <c r="C81" t="s">
        <v>668</v>
      </c>
      <c r="D81" t="s">
        <v>118</v>
      </c>
      <c r="E81" t="s">
        <v>476</v>
      </c>
      <c r="F81">
        <v>1</v>
      </c>
      <c r="G81">
        <v>1</v>
      </c>
      <c r="H81">
        <v>2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2:19" x14ac:dyDescent="0.2">
      <c r="B82">
        <v>19</v>
      </c>
      <c r="C82" t="s">
        <v>668</v>
      </c>
      <c r="D82" t="s">
        <v>118</v>
      </c>
      <c r="E82" t="s">
        <v>477</v>
      </c>
      <c r="F82">
        <v>1</v>
      </c>
      <c r="G82">
        <v>0</v>
      </c>
      <c r="H82">
        <v>0</v>
      </c>
      <c r="I82">
        <v>0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2:19" x14ac:dyDescent="0.2">
      <c r="B83">
        <v>20</v>
      </c>
      <c r="C83" t="s">
        <v>669</v>
      </c>
      <c r="D83" t="s">
        <v>118</v>
      </c>
      <c r="E83" t="s">
        <v>476</v>
      </c>
      <c r="F83">
        <v>2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2:19" x14ac:dyDescent="0.2">
      <c r="B84">
        <v>20</v>
      </c>
      <c r="C84" t="s">
        <v>669</v>
      </c>
      <c r="D84" t="s">
        <v>118</v>
      </c>
      <c r="E84" t="s">
        <v>477</v>
      </c>
      <c r="F84">
        <v>1</v>
      </c>
      <c r="G84">
        <v>6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</v>
      </c>
      <c r="Q84">
        <v>0</v>
      </c>
      <c r="R84">
        <v>0</v>
      </c>
      <c r="S84">
        <v>0</v>
      </c>
    </row>
    <row r="85" spans="2:19" x14ac:dyDescent="0.2">
      <c r="B85">
        <v>21.1</v>
      </c>
      <c r="C85" t="s">
        <v>670</v>
      </c>
      <c r="D85" t="s">
        <v>126</v>
      </c>
      <c r="E85" t="s">
        <v>476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2:19" x14ac:dyDescent="0.2">
      <c r="B86">
        <v>21.1</v>
      </c>
      <c r="C86" t="s">
        <v>670</v>
      </c>
      <c r="D86" t="s">
        <v>126</v>
      </c>
      <c r="E86" t="s">
        <v>477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2:19" x14ac:dyDescent="0.2">
      <c r="B87">
        <v>21.2</v>
      </c>
      <c r="C87" t="s">
        <v>671</v>
      </c>
      <c r="D87" t="s">
        <v>119</v>
      </c>
      <c r="E87" t="s">
        <v>476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2:19" x14ac:dyDescent="0.2">
      <c r="B88">
        <v>21.2</v>
      </c>
      <c r="C88" t="s">
        <v>671</v>
      </c>
      <c r="D88" t="s">
        <v>119</v>
      </c>
      <c r="E88" t="s">
        <v>477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2:19" x14ac:dyDescent="0.2">
      <c r="B89">
        <v>22</v>
      </c>
      <c r="C89" t="s">
        <v>19</v>
      </c>
      <c r="D89" t="s">
        <v>120</v>
      </c>
      <c r="E89" t="s">
        <v>476</v>
      </c>
      <c r="F89">
        <v>0</v>
      </c>
      <c r="G89">
        <v>2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2:19" x14ac:dyDescent="0.2">
      <c r="B90">
        <v>22</v>
      </c>
      <c r="C90" t="s">
        <v>19</v>
      </c>
      <c r="D90" t="s">
        <v>120</v>
      </c>
      <c r="E90" t="s">
        <v>477</v>
      </c>
      <c r="F90">
        <v>1</v>
      </c>
      <c r="G90">
        <v>0</v>
      </c>
      <c r="H90">
        <v>1</v>
      </c>
      <c r="I90">
        <v>0</v>
      </c>
      <c r="J90">
        <v>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2:19" x14ac:dyDescent="0.2">
      <c r="B91">
        <v>23</v>
      </c>
      <c r="C91" t="s">
        <v>672</v>
      </c>
      <c r="D91" t="s">
        <v>83</v>
      </c>
      <c r="E91" t="s">
        <v>476</v>
      </c>
      <c r="F91">
        <v>2</v>
      </c>
      <c r="G91">
        <v>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</v>
      </c>
      <c r="R91">
        <v>0</v>
      </c>
      <c r="S91">
        <v>0</v>
      </c>
    </row>
    <row r="92" spans="2:19" x14ac:dyDescent="0.2">
      <c r="B92">
        <v>23</v>
      </c>
      <c r="C92" t="s">
        <v>672</v>
      </c>
      <c r="D92" t="s">
        <v>83</v>
      </c>
      <c r="E92" t="s">
        <v>477</v>
      </c>
      <c r="F92">
        <v>1</v>
      </c>
      <c r="G92">
        <v>3</v>
      </c>
      <c r="H92">
        <v>2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</row>
    <row r="93" spans="2:19" x14ac:dyDescent="0.2">
      <c r="B93">
        <v>24</v>
      </c>
      <c r="C93" t="s">
        <v>673</v>
      </c>
      <c r="D93" t="s">
        <v>109</v>
      </c>
      <c r="E93" t="s">
        <v>476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</row>
    <row r="94" spans="2:19" x14ac:dyDescent="0.2">
      <c r="B94">
        <v>24</v>
      </c>
      <c r="C94" t="s">
        <v>673</v>
      </c>
      <c r="D94" t="s">
        <v>109</v>
      </c>
      <c r="E94" t="s">
        <v>477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2:19" x14ac:dyDescent="0.2">
      <c r="B95">
        <v>25</v>
      </c>
      <c r="C95" t="s">
        <v>21</v>
      </c>
      <c r="D95" t="s">
        <v>126</v>
      </c>
      <c r="E95" t="s">
        <v>476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2:19" x14ac:dyDescent="0.2">
      <c r="B96">
        <v>25</v>
      </c>
      <c r="C96" t="s">
        <v>21</v>
      </c>
      <c r="D96" t="s">
        <v>126</v>
      </c>
      <c r="E96" t="s">
        <v>477</v>
      </c>
      <c r="F96">
        <v>2</v>
      </c>
      <c r="G96">
        <v>2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2:19" x14ac:dyDescent="0.2">
      <c r="B97">
        <v>26</v>
      </c>
      <c r="C97" t="s">
        <v>22</v>
      </c>
      <c r="D97" t="s">
        <v>134</v>
      </c>
      <c r="E97" t="s">
        <v>476</v>
      </c>
      <c r="F97">
        <v>2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2:19" x14ac:dyDescent="0.2">
      <c r="B98">
        <v>26</v>
      </c>
      <c r="C98" t="s">
        <v>22</v>
      </c>
      <c r="D98" t="s">
        <v>134</v>
      </c>
      <c r="E98" t="s">
        <v>477</v>
      </c>
      <c r="F98">
        <v>0</v>
      </c>
      <c r="G98">
        <v>6</v>
      </c>
      <c r="H98">
        <v>0</v>
      </c>
      <c r="I98">
        <v>0</v>
      </c>
      <c r="J98">
        <v>2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2:19" x14ac:dyDescent="0.2">
      <c r="B99">
        <v>27</v>
      </c>
      <c r="C99" t="s">
        <v>23</v>
      </c>
      <c r="D99" t="s">
        <v>126</v>
      </c>
      <c r="E99" t="s">
        <v>476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2:19" x14ac:dyDescent="0.2">
      <c r="B100">
        <v>27</v>
      </c>
      <c r="C100" t="s">
        <v>23</v>
      </c>
      <c r="D100" t="s">
        <v>126</v>
      </c>
      <c r="E100" t="s">
        <v>477</v>
      </c>
      <c r="F100">
        <v>0</v>
      </c>
      <c r="G100">
        <v>3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</row>
    <row r="101" spans="2:19" x14ac:dyDescent="0.2">
      <c r="B101">
        <v>28</v>
      </c>
      <c r="C101" t="s">
        <v>24</v>
      </c>
      <c r="D101" t="s">
        <v>131</v>
      </c>
      <c r="E101" t="s">
        <v>476</v>
      </c>
      <c r="F101">
        <v>0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2:19" x14ac:dyDescent="0.2">
      <c r="B102">
        <v>28</v>
      </c>
      <c r="C102" t="s">
        <v>24</v>
      </c>
      <c r="D102" t="s">
        <v>131</v>
      </c>
      <c r="E102" t="s">
        <v>477</v>
      </c>
      <c r="F102">
        <v>0</v>
      </c>
      <c r="G102">
        <v>5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</row>
    <row r="103" spans="2:19" x14ac:dyDescent="0.2">
      <c r="B103">
        <v>29</v>
      </c>
      <c r="C103" t="s">
        <v>25</v>
      </c>
      <c r="D103" t="s">
        <v>135</v>
      </c>
      <c r="E103" t="s">
        <v>476</v>
      </c>
      <c r="F103">
        <v>3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2:19" x14ac:dyDescent="0.2">
      <c r="B104">
        <v>29</v>
      </c>
      <c r="C104" t="s">
        <v>25</v>
      </c>
      <c r="D104" t="s">
        <v>135</v>
      </c>
      <c r="E104" t="s">
        <v>477</v>
      </c>
      <c r="F104">
        <v>2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2:19" x14ac:dyDescent="0.2">
      <c r="B105">
        <v>30</v>
      </c>
      <c r="C105" t="s">
        <v>26</v>
      </c>
      <c r="D105" t="s">
        <v>126</v>
      </c>
      <c r="E105" t="s">
        <v>476</v>
      </c>
      <c r="F105">
        <v>4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2:19" x14ac:dyDescent="0.2">
      <c r="B106">
        <v>30</v>
      </c>
      <c r="C106" t="s">
        <v>26</v>
      </c>
      <c r="D106" t="s">
        <v>126</v>
      </c>
      <c r="E106" t="s">
        <v>477</v>
      </c>
      <c r="F106">
        <v>1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2:19" x14ac:dyDescent="0.2">
      <c r="B107">
        <v>31</v>
      </c>
      <c r="C107" t="s">
        <v>27</v>
      </c>
      <c r="D107" t="s">
        <v>126</v>
      </c>
      <c r="E107" t="s">
        <v>476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</row>
    <row r="108" spans="2:19" x14ac:dyDescent="0.2">
      <c r="B108">
        <v>31</v>
      </c>
      <c r="C108" t="s">
        <v>27</v>
      </c>
      <c r="D108" t="s">
        <v>126</v>
      </c>
      <c r="E108" t="s">
        <v>477</v>
      </c>
      <c r="F108">
        <v>3</v>
      </c>
      <c r="G108">
        <v>4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</row>
    <row r="109" spans="2:19" x14ac:dyDescent="0.2">
      <c r="B109">
        <v>32</v>
      </c>
      <c r="C109" t="s">
        <v>28</v>
      </c>
      <c r="D109" t="s">
        <v>136</v>
      </c>
      <c r="E109" t="s">
        <v>476</v>
      </c>
      <c r="F109">
        <v>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2:19" x14ac:dyDescent="0.2">
      <c r="B110">
        <v>32</v>
      </c>
      <c r="C110" t="s">
        <v>28</v>
      </c>
      <c r="D110" t="s">
        <v>136</v>
      </c>
      <c r="E110" t="s">
        <v>477</v>
      </c>
      <c r="F110">
        <v>2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3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</row>
    <row r="111" spans="2:19" x14ac:dyDescent="0.2">
      <c r="B111">
        <v>33</v>
      </c>
      <c r="C111" t="s">
        <v>29</v>
      </c>
      <c r="D111" t="s">
        <v>126</v>
      </c>
      <c r="E111" t="s">
        <v>476</v>
      </c>
      <c r="F111">
        <v>3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2:19" x14ac:dyDescent="0.2">
      <c r="B112">
        <v>33</v>
      </c>
      <c r="C112" t="s">
        <v>29</v>
      </c>
      <c r="D112" t="s">
        <v>126</v>
      </c>
      <c r="E112" t="s">
        <v>477</v>
      </c>
      <c r="F112">
        <v>2</v>
      </c>
      <c r="G112">
        <v>4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2:19" x14ac:dyDescent="0.2">
      <c r="B113">
        <v>34</v>
      </c>
      <c r="C113" t="s">
        <v>30</v>
      </c>
      <c r="D113" t="s">
        <v>126</v>
      </c>
      <c r="E113" t="s">
        <v>476</v>
      </c>
      <c r="F113">
        <v>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2:19" x14ac:dyDescent="0.2">
      <c r="B114">
        <v>34</v>
      </c>
      <c r="C114" t="s">
        <v>30</v>
      </c>
      <c r="D114" t="s">
        <v>126</v>
      </c>
      <c r="E114" t="s">
        <v>477</v>
      </c>
      <c r="F114">
        <v>1</v>
      </c>
      <c r="G114">
        <v>3</v>
      </c>
      <c r="H114">
        <v>0</v>
      </c>
      <c r="I114">
        <v>0</v>
      </c>
      <c r="J114">
        <v>1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</row>
    <row r="115" spans="2:19" x14ac:dyDescent="0.2">
      <c r="B115">
        <v>35.1</v>
      </c>
      <c r="C115" t="s">
        <v>674</v>
      </c>
      <c r="D115" t="s">
        <v>126</v>
      </c>
      <c r="E115" t="s">
        <v>476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2:19" x14ac:dyDescent="0.2">
      <c r="B116">
        <v>35.1</v>
      </c>
      <c r="C116" t="s">
        <v>674</v>
      </c>
      <c r="D116" t="s">
        <v>126</v>
      </c>
      <c r="E116" t="s">
        <v>477</v>
      </c>
      <c r="F116">
        <v>2</v>
      </c>
      <c r="G116">
        <v>2</v>
      </c>
      <c r="H116">
        <v>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</v>
      </c>
    </row>
    <row r="117" spans="2:19" x14ac:dyDescent="0.2">
      <c r="B117">
        <v>35.200000000000003</v>
      </c>
      <c r="C117" t="s">
        <v>675</v>
      </c>
      <c r="D117" t="s">
        <v>114</v>
      </c>
      <c r="E117" t="s">
        <v>476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2:19" x14ac:dyDescent="0.2">
      <c r="B118">
        <v>35.200000000000003</v>
      </c>
      <c r="C118" t="s">
        <v>675</v>
      </c>
      <c r="D118" t="s">
        <v>114</v>
      </c>
      <c r="E118" t="s">
        <v>477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2:19" x14ac:dyDescent="0.2">
      <c r="B119">
        <v>36</v>
      </c>
      <c r="C119" t="s">
        <v>678</v>
      </c>
      <c r="D119" t="s">
        <v>115</v>
      </c>
      <c r="E119" t="s">
        <v>476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2:19" x14ac:dyDescent="0.2">
      <c r="B120">
        <v>36</v>
      </c>
      <c r="C120" t="s">
        <v>678</v>
      </c>
      <c r="D120" t="s">
        <v>115</v>
      </c>
      <c r="E120" t="s">
        <v>477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2:19" x14ac:dyDescent="0.2">
      <c r="B121">
        <v>36.1</v>
      </c>
      <c r="C121" t="s">
        <v>677</v>
      </c>
      <c r="D121" t="s">
        <v>122</v>
      </c>
      <c r="E121" t="s">
        <v>476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2:19" x14ac:dyDescent="0.2">
      <c r="B122">
        <v>36.1</v>
      </c>
      <c r="C122" t="s">
        <v>677</v>
      </c>
      <c r="D122" t="s">
        <v>122</v>
      </c>
      <c r="E122" t="s">
        <v>477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</row>
    <row r="123" spans="2:19" x14ac:dyDescent="0.2">
      <c r="B123">
        <v>36.200000000000003</v>
      </c>
      <c r="C123" t="s">
        <v>676</v>
      </c>
      <c r="D123" t="s">
        <v>83</v>
      </c>
      <c r="E123" t="s">
        <v>476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2:19" x14ac:dyDescent="0.2">
      <c r="B124">
        <v>36.200000000000003</v>
      </c>
      <c r="C124" t="s">
        <v>676</v>
      </c>
      <c r="D124" t="s">
        <v>83</v>
      </c>
      <c r="E124" t="s">
        <v>477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</v>
      </c>
      <c r="N124">
        <v>0</v>
      </c>
      <c r="O124">
        <v>0</v>
      </c>
      <c r="P124">
        <v>0</v>
      </c>
      <c r="Q124">
        <v>2</v>
      </c>
      <c r="R124">
        <v>0</v>
      </c>
      <c r="S124">
        <v>0</v>
      </c>
    </row>
    <row r="125" spans="2:19" x14ac:dyDescent="0.2">
      <c r="B125">
        <v>37.1</v>
      </c>
      <c r="C125" t="s">
        <v>646</v>
      </c>
      <c r="D125" t="s">
        <v>119</v>
      </c>
      <c r="E125" t="s">
        <v>476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0</v>
      </c>
    </row>
    <row r="126" spans="2:19" x14ac:dyDescent="0.2">
      <c r="B126">
        <v>37.1</v>
      </c>
      <c r="C126" t="s">
        <v>646</v>
      </c>
      <c r="D126" t="s">
        <v>119</v>
      </c>
      <c r="E126" t="s">
        <v>477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2</v>
      </c>
      <c r="Q126">
        <v>2</v>
      </c>
      <c r="R126">
        <v>0</v>
      </c>
      <c r="S126">
        <v>0</v>
      </c>
    </row>
    <row r="127" spans="2:19" x14ac:dyDescent="0.2">
      <c r="B127">
        <v>37.200000000000003</v>
      </c>
      <c r="C127" t="s">
        <v>647</v>
      </c>
      <c r="D127" t="s">
        <v>115</v>
      </c>
      <c r="E127" t="s">
        <v>476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</row>
    <row r="128" spans="2:19" x14ac:dyDescent="0.2">
      <c r="B128">
        <v>37.200000000000003</v>
      </c>
      <c r="C128" t="s">
        <v>647</v>
      </c>
      <c r="D128" t="s">
        <v>115</v>
      </c>
      <c r="E128" t="s">
        <v>477</v>
      </c>
      <c r="F128">
        <v>0</v>
      </c>
      <c r="G128">
        <v>2</v>
      </c>
      <c r="H128">
        <v>3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2:19" x14ac:dyDescent="0.2">
      <c r="B129">
        <v>37.299999999999997</v>
      </c>
      <c r="C129" t="s">
        <v>679</v>
      </c>
      <c r="D129" t="s">
        <v>115</v>
      </c>
      <c r="E129" t="s">
        <v>476</v>
      </c>
      <c r="F129">
        <v>1</v>
      </c>
      <c r="G129">
        <v>2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2:19" x14ac:dyDescent="0.2">
      <c r="B130">
        <v>37.299999999999997</v>
      </c>
      <c r="C130" t="s">
        <v>679</v>
      </c>
      <c r="D130" t="s">
        <v>115</v>
      </c>
      <c r="E130" t="s">
        <v>477</v>
      </c>
      <c r="F130">
        <v>4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</row>
    <row r="131" spans="2:19" x14ac:dyDescent="0.2">
      <c r="B131">
        <v>38.1</v>
      </c>
      <c r="C131" t="s">
        <v>680</v>
      </c>
      <c r="D131" t="s">
        <v>116</v>
      </c>
      <c r="E131" t="s">
        <v>476</v>
      </c>
      <c r="F131">
        <v>1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2:19" x14ac:dyDescent="0.2">
      <c r="B132">
        <v>38.1</v>
      </c>
      <c r="C132" t="s">
        <v>680</v>
      </c>
      <c r="D132" t="s">
        <v>116</v>
      </c>
      <c r="E132" t="s">
        <v>477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2:19" x14ac:dyDescent="0.2">
      <c r="B133">
        <v>38.200000000000003</v>
      </c>
      <c r="C133" t="s">
        <v>682</v>
      </c>
      <c r="D133" t="s">
        <v>114</v>
      </c>
      <c r="E133" t="s">
        <v>476</v>
      </c>
      <c r="F133">
        <v>3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</row>
    <row r="134" spans="2:19" x14ac:dyDescent="0.2">
      <c r="B134">
        <v>38.200000000000003</v>
      </c>
      <c r="C134" t="s">
        <v>682</v>
      </c>
      <c r="D134" t="s">
        <v>114</v>
      </c>
      <c r="E134" t="s">
        <v>477</v>
      </c>
      <c r="F134">
        <v>2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2</v>
      </c>
      <c r="R134">
        <v>0</v>
      </c>
      <c r="S134">
        <v>0</v>
      </c>
    </row>
    <row r="135" spans="2:19" x14ac:dyDescent="0.2">
      <c r="B135">
        <v>38.299999999999997</v>
      </c>
      <c r="C135" t="s">
        <v>681</v>
      </c>
      <c r="D135" t="s">
        <v>119</v>
      </c>
      <c r="E135" t="s">
        <v>476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2:19" x14ac:dyDescent="0.2">
      <c r="B136">
        <v>38.299999999999997</v>
      </c>
      <c r="C136" t="s">
        <v>681</v>
      </c>
      <c r="D136" t="s">
        <v>119</v>
      </c>
      <c r="E136" t="s">
        <v>477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2:19" x14ac:dyDescent="0.2">
      <c r="B137">
        <v>39</v>
      </c>
      <c r="C137" t="s">
        <v>35</v>
      </c>
      <c r="D137" t="s">
        <v>115</v>
      </c>
      <c r="E137" t="s">
        <v>476</v>
      </c>
      <c r="F137">
        <v>3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2:19" x14ac:dyDescent="0.2">
      <c r="B138">
        <v>39</v>
      </c>
      <c r="C138" t="s">
        <v>35</v>
      </c>
      <c r="D138" t="s">
        <v>115</v>
      </c>
      <c r="E138" t="s">
        <v>477</v>
      </c>
      <c r="F138">
        <v>2</v>
      </c>
      <c r="G138">
        <v>1</v>
      </c>
      <c r="H138">
        <v>1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2:19" x14ac:dyDescent="0.2">
      <c r="B139">
        <v>40.1</v>
      </c>
      <c r="C139" t="s">
        <v>683</v>
      </c>
      <c r="D139" t="s">
        <v>126</v>
      </c>
      <c r="E139" t="s">
        <v>476</v>
      </c>
      <c r="F139">
        <v>5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2:19" x14ac:dyDescent="0.2">
      <c r="B140">
        <v>40.1</v>
      </c>
      <c r="C140" t="s">
        <v>683</v>
      </c>
      <c r="D140" t="s">
        <v>126</v>
      </c>
      <c r="E140" t="s">
        <v>477</v>
      </c>
      <c r="F140">
        <v>1</v>
      </c>
      <c r="G140">
        <v>4</v>
      </c>
      <c r="H140">
        <v>0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</row>
    <row r="141" spans="2:19" x14ac:dyDescent="0.2">
      <c r="B141">
        <v>40.200000000000003</v>
      </c>
      <c r="C141" t="s">
        <v>684</v>
      </c>
      <c r="D141" t="s">
        <v>125</v>
      </c>
      <c r="E141" t="s">
        <v>476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2:19" x14ac:dyDescent="0.2">
      <c r="B142">
        <v>40.200000000000003</v>
      </c>
      <c r="C142" t="s">
        <v>684</v>
      </c>
      <c r="D142" t="s">
        <v>125</v>
      </c>
      <c r="E142" t="s">
        <v>477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2:19" x14ac:dyDescent="0.2">
      <c r="B143">
        <v>40.299999999999997</v>
      </c>
      <c r="C143" t="s">
        <v>36</v>
      </c>
      <c r="D143" t="s">
        <v>125</v>
      </c>
      <c r="E143" t="s">
        <v>476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2:19" x14ac:dyDescent="0.2">
      <c r="B144">
        <v>40.299999999999997</v>
      </c>
      <c r="C144" t="s">
        <v>36</v>
      </c>
      <c r="D144" t="s">
        <v>125</v>
      </c>
      <c r="E144" t="s">
        <v>477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2:19" x14ac:dyDescent="0.2">
      <c r="B145">
        <v>41</v>
      </c>
      <c r="C145" t="s">
        <v>37</v>
      </c>
      <c r="D145" t="s">
        <v>126</v>
      </c>
      <c r="E145" t="s">
        <v>476</v>
      </c>
      <c r="F145">
        <v>4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2:19" x14ac:dyDescent="0.2">
      <c r="B146">
        <v>41</v>
      </c>
      <c r="C146" t="s">
        <v>37</v>
      </c>
      <c r="D146" t="s">
        <v>126</v>
      </c>
      <c r="E146" t="s">
        <v>477</v>
      </c>
      <c r="F146">
        <v>3</v>
      </c>
      <c r="G146">
        <v>3</v>
      </c>
      <c r="H146">
        <v>2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2:19" x14ac:dyDescent="0.2">
      <c r="B147">
        <v>42</v>
      </c>
      <c r="C147" t="s">
        <v>685</v>
      </c>
      <c r="D147" t="s">
        <v>138</v>
      </c>
      <c r="E147" t="s">
        <v>476</v>
      </c>
      <c r="F147">
        <v>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2:19" x14ac:dyDescent="0.2">
      <c r="B148">
        <v>42</v>
      </c>
      <c r="C148" t="s">
        <v>685</v>
      </c>
      <c r="D148" t="s">
        <v>138</v>
      </c>
      <c r="E148" t="s">
        <v>477</v>
      </c>
      <c r="F148">
        <v>4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2:19" x14ac:dyDescent="0.2">
      <c r="B149">
        <v>43</v>
      </c>
      <c r="C149" t="s">
        <v>686</v>
      </c>
      <c r="D149" t="s">
        <v>109</v>
      </c>
      <c r="E149" t="s">
        <v>476</v>
      </c>
      <c r="F149">
        <v>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2:19" x14ac:dyDescent="0.2">
      <c r="B150">
        <v>43</v>
      </c>
      <c r="C150" t="s">
        <v>686</v>
      </c>
      <c r="D150" t="s">
        <v>109</v>
      </c>
      <c r="E150" t="s">
        <v>477</v>
      </c>
      <c r="F150">
        <v>3</v>
      </c>
      <c r="G150">
        <v>1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</row>
    <row r="151" spans="2:19" x14ac:dyDescent="0.2">
      <c r="B151">
        <v>44</v>
      </c>
      <c r="C151" t="s">
        <v>687</v>
      </c>
      <c r="D151" t="s">
        <v>138</v>
      </c>
      <c r="E151" t="s">
        <v>476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2:19" x14ac:dyDescent="0.2">
      <c r="B152">
        <v>44</v>
      </c>
      <c r="C152" t="s">
        <v>687</v>
      </c>
      <c r="D152" t="s">
        <v>138</v>
      </c>
      <c r="E152" t="s">
        <v>477</v>
      </c>
      <c r="F152">
        <v>0</v>
      </c>
      <c r="G152">
        <v>0</v>
      </c>
      <c r="H152">
        <v>0</v>
      </c>
      <c r="I152">
        <v>0</v>
      </c>
      <c r="J152">
        <v>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2:19" x14ac:dyDescent="0.2">
      <c r="B153">
        <v>45</v>
      </c>
      <c r="C153" t="s">
        <v>688</v>
      </c>
      <c r="D153" t="s">
        <v>109</v>
      </c>
      <c r="E153" t="s">
        <v>476</v>
      </c>
      <c r="F153">
        <v>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2:19" x14ac:dyDescent="0.2">
      <c r="B154">
        <v>45</v>
      </c>
      <c r="C154" t="s">
        <v>688</v>
      </c>
      <c r="D154" t="s">
        <v>109</v>
      </c>
      <c r="E154" t="s">
        <v>477</v>
      </c>
      <c r="F154">
        <v>2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0</v>
      </c>
    </row>
    <row r="155" spans="2:19" x14ac:dyDescent="0.2">
      <c r="B155">
        <v>46</v>
      </c>
      <c r="C155" t="s">
        <v>689</v>
      </c>
      <c r="D155" t="s">
        <v>115</v>
      </c>
      <c r="E155" t="s">
        <v>476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2:19" x14ac:dyDescent="0.2">
      <c r="B156">
        <v>46</v>
      </c>
      <c r="C156" t="s">
        <v>689</v>
      </c>
      <c r="D156" t="s">
        <v>115</v>
      </c>
      <c r="E156" t="s">
        <v>477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2</v>
      </c>
      <c r="R156">
        <v>0</v>
      </c>
      <c r="S156">
        <v>0</v>
      </c>
    </row>
    <row r="157" spans="2:19" x14ac:dyDescent="0.2">
      <c r="B157">
        <v>47</v>
      </c>
      <c r="C157" t="s">
        <v>690</v>
      </c>
      <c r="D157" t="s">
        <v>111</v>
      </c>
      <c r="E157" t="s">
        <v>476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2:19" x14ac:dyDescent="0.2">
      <c r="B158">
        <v>47</v>
      </c>
      <c r="C158" t="s">
        <v>690</v>
      </c>
      <c r="D158" t="s">
        <v>111</v>
      </c>
      <c r="E158" t="s">
        <v>477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</row>
    <row r="159" spans="2:19" x14ac:dyDescent="0.2">
      <c r="B159">
        <v>48.1</v>
      </c>
      <c r="C159" t="s">
        <v>691</v>
      </c>
      <c r="D159" t="s">
        <v>114</v>
      </c>
      <c r="E159" t="s">
        <v>476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</row>
    <row r="160" spans="2:19" x14ac:dyDescent="0.2">
      <c r="B160">
        <v>48.1</v>
      </c>
      <c r="C160" t="s">
        <v>691</v>
      </c>
      <c r="D160" t="s">
        <v>114</v>
      </c>
      <c r="E160" t="s">
        <v>477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2:19" x14ac:dyDescent="0.2">
      <c r="B161">
        <v>48.2</v>
      </c>
      <c r="C161" t="s">
        <v>692</v>
      </c>
      <c r="D161" t="s">
        <v>114</v>
      </c>
      <c r="E161" t="s">
        <v>476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2:19" x14ac:dyDescent="0.2">
      <c r="B162">
        <v>48.2</v>
      </c>
      <c r="C162" t="s">
        <v>692</v>
      </c>
      <c r="D162" t="s">
        <v>114</v>
      </c>
      <c r="E162" t="s">
        <v>477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2:19" x14ac:dyDescent="0.2">
      <c r="B163">
        <v>49</v>
      </c>
      <c r="C163" t="s">
        <v>693</v>
      </c>
      <c r="D163" t="s">
        <v>114</v>
      </c>
      <c r="E163" t="s">
        <v>476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2:19" x14ac:dyDescent="0.2">
      <c r="B164">
        <v>49</v>
      </c>
      <c r="C164" t="s">
        <v>693</v>
      </c>
      <c r="D164" t="s">
        <v>114</v>
      </c>
      <c r="E164" t="s">
        <v>477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2:19" x14ac:dyDescent="0.2">
      <c r="B165">
        <v>50</v>
      </c>
      <c r="C165" t="s">
        <v>694</v>
      </c>
      <c r="D165" t="s">
        <v>114</v>
      </c>
      <c r="E165" t="s">
        <v>476</v>
      </c>
      <c r="F165">
        <v>1</v>
      </c>
      <c r="G165">
        <v>0</v>
      </c>
      <c r="H165">
        <v>0</v>
      </c>
      <c r="I165">
        <v>0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2:19" x14ac:dyDescent="0.2">
      <c r="B166">
        <v>50</v>
      </c>
      <c r="C166" t="s">
        <v>694</v>
      </c>
      <c r="D166" t="s">
        <v>114</v>
      </c>
      <c r="E166" t="s">
        <v>477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2:19" x14ac:dyDescent="0.2">
      <c r="B167">
        <v>51</v>
      </c>
      <c r="C167" t="s">
        <v>695</v>
      </c>
      <c r="D167" t="s">
        <v>131</v>
      </c>
      <c r="E167" t="s">
        <v>476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</row>
    <row r="168" spans="2:19" x14ac:dyDescent="0.2">
      <c r="B168">
        <v>51</v>
      </c>
      <c r="C168" t="s">
        <v>695</v>
      </c>
      <c r="D168" t="s">
        <v>131</v>
      </c>
      <c r="E168" t="s">
        <v>477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2:19" x14ac:dyDescent="0.2">
      <c r="B169">
        <v>52</v>
      </c>
      <c r="C169" t="s">
        <v>40</v>
      </c>
      <c r="D169" t="s">
        <v>116</v>
      </c>
      <c r="E169" t="s">
        <v>476</v>
      </c>
      <c r="F169">
        <v>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2:19" x14ac:dyDescent="0.2">
      <c r="B170">
        <v>52</v>
      </c>
      <c r="C170" t="s">
        <v>40</v>
      </c>
      <c r="D170" t="s">
        <v>116</v>
      </c>
      <c r="E170" t="s">
        <v>477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</row>
    <row r="171" spans="2:19" x14ac:dyDescent="0.2">
      <c r="B171">
        <v>53</v>
      </c>
      <c r="C171" t="s">
        <v>41</v>
      </c>
      <c r="D171" t="s">
        <v>116</v>
      </c>
      <c r="E171" t="s">
        <v>476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2:19" x14ac:dyDescent="0.2">
      <c r="B172">
        <v>53</v>
      </c>
      <c r="C172" t="s">
        <v>41</v>
      </c>
      <c r="D172" t="s">
        <v>116</v>
      </c>
      <c r="E172" t="s">
        <v>477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2:19" x14ac:dyDescent="0.2">
      <c r="B173">
        <v>54</v>
      </c>
      <c r="C173" t="s">
        <v>42</v>
      </c>
      <c r="D173" t="s">
        <v>114</v>
      </c>
      <c r="E173" t="s">
        <v>476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2:19" x14ac:dyDescent="0.2">
      <c r="B174">
        <v>54</v>
      </c>
      <c r="C174" t="s">
        <v>42</v>
      </c>
      <c r="D174" t="s">
        <v>114</v>
      </c>
      <c r="E174" t="s">
        <v>477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2:19" x14ac:dyDescent="0.2">
      <c r="B175">
        <v>55</v>
      </c>
      <c r="C175" t="s">
        <v>43</v>
      </c>
      <c r="D175" t="s">
        <v>116</v>
      </c>
      <c r="E175" t="s">
        <v>476</v>
      </c>
      <c r="F175">
        <v>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2:19" x14ac:dyDescent="0.2">
      <c r="B176">
        <v>55</v>
      </c>
      <c r="C176" t="s">
        <v>43</v>
      </c>
      <c r="D176" t="s">
        <v>116</v>
      </c>
      <c r="E176" t="s">
        <v>477</v>
      </c>
      <c r="F176">
        <v>4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2:19" x14ac:dyDescent="0.2">
      <c r="B177">
        <v>56.1</v>
      </c>
      <c r="C177" t="s">
        <v>696</v>
      </c>
      <c r="D177" t="s">
        <v>83</v>
      </c>
      <c r="E177" t="s">
        <v>476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2:19" x14ac:dyDescent="0.2">
      <c r="B178">
        <v>56.1</v>
      </c>
      <c r="C178" t="s">
        <v>696</v>
      </c>
      <c r="D178" t="s">
        <v>83</v>
      </c>
      <c r="E178" t="s">
        <v>477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2:19" x14ac:dyDescent="0.2">
      <c r="B179">
        <v>56.2</v>
      </c>
      <c r="C179" t="s">
        <v>697</v>
      </c>
      <c r="D179" t="s">
        <v>83</v>
      </c>
      <c r="E179" t="s">
        <v>476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2:19" x14ac:dyDescent="0.2">
      <c r="B180">
        <v>56.2</v>
      </c>
      <c r="C180" t="s">
        <v>697</v>
      </c>
      <c r="D180" t="s">
        <v>83</v>
      </c>
      <c r="E180" t="s">
        <v>477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2:19" x14ac:dyDescent="0.2">
      <c r="B181">
        <v>57</v>
      </c>
      <c r="C181" t="s">
        <v>45</v>
      </c>
      <c r="D181" t="s">
        <v>130</v>
      </c>
      <c r="E181" t="s">
        <v>476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2:19" x14ac:dyDescent="0.2">
      <c r="B182">
        <v>57</v>
      </c>
      <c r="C182" t="s">
        <v>45</v>
      </c>
      <c r="D182" t="s">
        <v>130</v>
      </c>
      <c r="E182" t="s">
        <v>477</v>
      </c>
      <c r="F182">
        <v>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2:19" x14ac:dyDescent="0.2">
      <c r="B183">
        <v>58</v>
      </c>
      <c r="C183" t="s">
        <v>46</v>
      </c>
      <c r="D183" t="s">
        <v>111</v>
      </c>
      <c r="E183" t="s">
        <v>476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2:19" x14ac:dyDescent="0.2">
      <c r="B184">
        <v>58</v>
      </c>
      <c r="C184" t="s">
        <v>46</v>
      </c>
      <c r="D184" t="s">
        <v>111</v>
      </c>
      <c r="E184" t="s">
        <v>477</v>
      </c>
      <c r="F184">
        <v>3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2:19" x14ac:dyDescent="0.2">
      <c r="B185">
        <v>59</v>
      </c>
      <c r="C185" t="s">
        <v>47</v>
      </c>
      <c r="D185" t="s">
        <v>114</v>
      </c>
      <c r="E185" t="s">
        <v>476</v>
      </c>
      <c r="F185">
        <v>4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2:19" x14ac:dyDescent="0.2">
      <c r="B186">
        <v>59</v>
      </c>
      <c r="C186" t="s">
        <v>47</v>
      </c>
      <c r="D186" t="s">
        <v>114</v>
      </c>
      <c r="E186" t="s">
        <v>477</v>
      </c>
      <c r="F186">
        <v>1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2:19" x14ac:dyDescent="0.2">
      <c r="B187">
        <v>60</v>
      </c>
      <c r="C187" t="s">
        <v>48</v>
      </c>
      <c r="D187" t="s">
        <v>116</v>
      </c>
      <c r="E187" t="s">
        <v>476</v>
      </c>
      <c r="F187">
        <v>1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</row>
    <row r="188" spans="2:19" x14ac:dyDescent="0.2">
      <c r="B188">
        <v>60</v>
      </c>
      <c r="C188" t="s">
        <v>48</v>
      </c>
      <c r="D188" t="s">
        <v>116</v>
      </c>
      <c r="E188" t="s">
        <v>477</v>
      </c>
      <c r="F188">
        <v>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2:19" x14ac:dyDescent="0.2">
      <c r="B189">
        <v>61</v>
      </c>
      <c r="C189" t="s">
        <v>49</v>
      </c>
      <c r="D189" t="s">
        <v>114</v>
      </c>
      <c r="E189" t="s">
        <v>476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2:19" x14ac:dyDescent="0.2">
      <c r="B190">
        <v>61</v>
      </c>
      <c r="C190" t="s">
        <v>49</v>
      </c>
      <c r="D190" t="s">
        <v>114</v>
      </c>
      <c r="E190" t="s">
        <v>477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2:19" x14ac:dyDescent="0.2">
      <c r="B191">
        <v>62</v>
      </c>
      <c r="C191" t="s">
        <v>50</v>
      </c>
      <c r="D191" t="s">
        <v>126</v>
      </c>
      <c r="E191" t="s">
        <v>476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2:19" x14ac:dyDescent="0.2">
      <c r="B192">
        <v>62</v>
      </c>
      <c r="C192" t="s">
        <v>50</v>
      </c>
      <c r="D192" t="s">
        <v>126</v>
      </c>
      <c r="E192" t="s">
        <v>477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2:19" x14ac:dyDescent="0.2">
      <c r="B193">
        <v>63</v>
      </c>
      <c r="C193" t="s">
        <v>51</v>
      </c>
      <c r="D193" t="s">
        <v>118</v>
      </c>
      <c r="E193" t="s">
        <v>476</v>
      </c>
      <c r="F193">
        <v>1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</row>
    <row r="194" spans="2:19" x14ac:dyDescent="0.2">
      <c r="B194">
        <v>63</v>
      </c>
      <c r="C194" t="s">
        <v>51</v>
      </c>
      <c r="D194" t="s">
        <v>118</v>
      </c>
      <c r="E194" t="s">
        <v>477</v>
      </c>
      <c r="F194">
        <v>1</v>
      </c>
      <c r="G194">
        <v>0</v>
      </c>
      <c r="H194">
        <v>0</v>
      </c>
      <c r="I194">
        <v>0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2:19" x14ac:dyDescent="0.2">
      <c r="B195">
        <v>64</v>
      </c>
      <c r="C195" t="s">
        <v>52</v>
      </c>
      <c r="D195" t="s">
        <v>114</v>
      </c>
      <c r="E195" t="s">
        <v>476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2:19" x14ac:dyDescent="0.2">
      <c r="B196">
        <v>64</v>
      </c>
      <c r="C196" t="s">
        <v>52</v>
      </c>
      <c r="D196" t="s">
        <v>114</v>
      </c>
      <c r="E196" t="s">
        <v>477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2:19" x14ac:dyDescent="0.2">
      <c r="B197">
        <v>65</v>
      </c>
      <c r="C197" t="s">
        <v>53</v>
      </c>
      <c r="D197" t="s">
        <v>131</v>
      </c>
      <c r="E197" t="s">
        <v>476</v>
      </c>
      <c r="F197">
        <v>1</v>
      </c>
      <c r="G197">
        <v>0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2:19" x14ac:dyDescent="0.2">
      <c r="B198">
        <v>65</v>
      </c>
      <c r="C198" t="s">
        <v>53</v>
      </c>
      <c r="D198" t="s">
        <v>131</v>
      </c>
      <c r="E198" t="s">
        <v>477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2:19" x14ac:dyDescent="0.2">
      <c r="B199">
        <v>66</v>
      </c>
      <c r="C199" t="s">
        <v>54</v>
      </c>
      <c r="D199" t="s">
        <v>114</v>
      </c>
      <c r="E199" t="s">
        <v>476</v>
      </c>
      <c r="F199">
        <v>1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</row>
    <row r="200" spans="2:19" x14ac:dyDescent="0.2">
      <c r="B200">
        <v>66</v>
      </c>
      <c r="C200" t="s">
        <v>54</v>
      </c>
      <c r="D200" t="s">
        <v>114</v>
      </c>
      <c r="E200" t="s">
        <v>477</v>
      </c>
      <c r="F200">
        <v>2</v>
      </c>
      <c r="G200">
        <v>0</v>
      </c>
      <c r="H200">
        <v>0</v>
      </c>
      <c r="I200">
        <v>0</v>
      </c>
      <c r="J200">
        <v>2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</row>
    <row r="201" spans="2:19" x14ac:dyDescent="0.2">
      <c r="B201">
        <v>67</v>
      </c>
      <c r="C201" t="s">
        <v>55</v>
      </c>
      <c r="D201" t="s">
        <v>114</v>
      </c>
      <c r="E201" t="s">
        <v>476</v>
      </c>
      <c r="F201">
        <v>10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2:19" x14ac:dyDescent="0.2">
      <c r="B202">
        <v>67</v>
      </c>
      <c r="C202" t="s">
        <v>55</v>
      </c>
      <c r="D202" t="s">
        <v>114</v>
      </c>
      <c r="E202" t="s">
        <v>477</v>
      </c>
      <c r="F202">
        <v>4</v>
      </c>
      <c r="G202">
        <v>1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2:19" x14ac:dyDescent="0.2">
      <c r="B203">
        <v>68</v>
      </c>
      <c r="C203" t="s">
        <v>56</v>
      </c>
      <c r="D203" t="s">
        <v>114</v>
      </c>
      <c r="E203" t="s">
        <v>476</v>
      </c>
      <c r="F203">
        <v>0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2:19" x14ac:dyDescent="0.2">
      <c r="B204">
        <v>68</v>
      </c>
      <c r="C204" t="s">
        <v>56</v>
      </c>
      <c r="D204" t="s">
        <v>114</v>
      </c>
      <c r="E204" t="s">
        <v>477</v>
      </c>
      <c r="F204">
        <v>1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2:19" x14ac:dyDescent="0.2">
      <c r="B205">
        <v>69</v>
      </c>
      <c r="C205" t="s">
        <v>57</v>
      </c>
      <c r="D205" t="s">
        <v>131</v>
      </c>
      <c r="E205" t="s">
        <v>476</v>
      </c>
      <c r="F205">
        <v>4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2:19" x14ac:dyDescent="0.2">
      <c r="B206">
        <v>69</v>
      </c>
      <c r="C206" t="s">
        <v>57</v>
      </c>
      <c r="D206" t="s">
        <v>131</v>
      </c>
      <c r="E206" t="s">
        <v>477</v>
      </c>
      <c r="F206">
        <v>3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</row>
    <row r="207" spans="2:19" x14ac:dyDescent="0.2">
      <c r="B207">
        <v>70</v>
      </c>
      <c r="C207" t="s">
        <v>58</v>
      </c>
      <c r="D207" t="s">
        <v>114</v>
      </c>
      <c r="E207" t="s">
        <v>476</v>
      </c>
      <c r="F207">
        <v>5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2:19" x14ac:dyDescent="0.2">
      <c r="B208">
        <v>70</v>
      </c>
      <c r="C208" t="s">
        <v>58</v>
      </c>
      <c r="D208" t="s">
        <v>114</v>
      </c>
      <c r="E208" t="s">
        <v>477</v>
      </c>
      <c r="F208">
        <v>2</v>
      </c>
      <c r="G208">
        <v>2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2:19" x14ac:dyDescent="0.2">
      <c r="B209">
        <v>71</v>
      </c>
      <c r="C209" t="s">
        <v>59</v>
      </c>
      <c r="D209" t="s">
        <v>114</v>
      </c>
      <c r="E209" t="s">
        <v>476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2:19" x14ac:dyDescent="0.2">
      <c r="B210">
        <v>71</v>
      </c>
      <c r="C210" t="s">
        <v>59</v>
      </c>
      <c r="D210" t="s">
        <v>114</v>
      </c>
      <c r="E210" t="s">
        <v>477</v>
      </c>
      <c r="F210">
        <v>0</v>
      </c>
      <c r="G210">
        <v>1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2:19" x14ac:dyDescent="0.2">
      <c r="B211">
        <v>72</v>
      </c>
      <c r="C211" t="s">
        <v>60</v>
      </c>
      <c r="D211" t="s">
        <v>114</v>
      </c>
      <c r="E211" t="s">
        <v>476</v>
      </c>
      <c r="F211">
        <v>1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2:19" x14ac:dyDescent="0.2">
      <c r="B212">
        <v>72</v>
      </c>
      <c r="C212" t="s">
        <v>60</v>
      </c>
      <c r="D212" t="s">
        <v>114</v>
      </c>
      <c r="E212" t="s">
        <v>477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2:19" x14ac:dyDescent="0.2">
      <c r="B213">
        <v>73</v>
      </c>
      <c r="C213" t="s">
        <v>62</v>
      </c>
      <c r="D213" t="s">
        <v>131</v>
      </c>
      <c r="E213" t="s">
        <v>476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2:19" x14ac:dyDescent="0.2">
      <c r="B214">
        <v>73</v>
      </c>
      <c r="C214" t="s">
        <v>62</v>
      </c>
      <c r="D214" t="s">
        <v>131</v>
      </c>
      <c r="E214" t="s">
        <v>477</v>
      </c>
      <c r="F214">
        <v>2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2:19" x14ac:dyDescent="0.2">
      <c r="B215">
        <v>74.099999999999994</v>
      </c>
      <c r="C215" t="s">
        <v>698</v>
      </c>
      <c r="D215" t="s">
        <v>114</v>
      </c>
      <c r="E215" t="s">
        <v>476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2:19" x14ac:dyDescent="0.2">
      <c r="B216">
        <v>74.099999999999994</v>
      </c>
      <c r="C216" t="s">
        <v>698</v>
      </c>
      <c r="D216" t="s">
        <v>114</v>
      </c>
      <c r="E216" t="s">
        <v>477</v>
      </c>
      <c r="F216">
        <v>1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2:19" x14ac:dyDescent="0.2">
      <c r="B217">
        <v>74.2</v>
      </c>
      <c r="C217" t="s">
        <v>699</v>
      </c>
      <c r="D217" t="s">
        <v>131</v>
      </c>
      <c r="E217" t="s">
        <v>476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2:19" x14ac:dyDescent="0.2">
      <c r="B218">
        <v>74.2</v>
      </c>
      <c r="C218" t="s">
        <v>699</v>
      </c>
      <c r="D218" t="s">
        <v>131</v>
      </c>
      <c r="E218" t="s">
        <v>477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2:19" x14ac:dyDescent="0.2">
      <c r="B219">
        <v>75</v>
      </c>
      <c r="C219" t="s">
        <v>63</v>
      </c>
      <c r="D219" t="s">
        <v>132</v>
      </c>
      <c r="E219" t="s">
        <v>476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</row>
    <row r="220" spans="2:19" x14ac:dyDescent="0.2">
      <c r="B220">
        <v>75</v>
      </c>
      <c r="C220" t="s">
        <v>63</v>
      </c>
      <c r="D220" t="s">
        <v>132</v>
      </c>
      <c r="E220" t="s">
        <v>477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2:19" x14ac:dyDescent="0.2">
      <c r="B221">
        <v>76.099999999999994</v>
      </c>
      <c r="C221" t="s">
        <v>700</v>
      </c>
      <c r="D221" t="s">
        <v>131</v>
      </c>
      <c r="E221" t="s">
        <v>476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2:19" x14ac:dyDescent="0.2">
      <c r="B222">
        <v>76.099999999999994</v>
      </c>
      <c r="C222" t="s">
        <v>700</v>
      </c>
      <c r="D222" t="s">
        <v>131</v>
      </c>
      <c r="E222" t="s">
        <v>477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2:19" x14ac:dyDescent="0.2">
      <c r="B223">
        <v>76.2</v>
      </c>
      <c r="C223" t="s">
        <v>701</v>
      </c>
      <c r="D223" t="s">
        <v>114</v>
      </c>
      <c r="E223" t="s">
        <v>476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2:19" x14ac:dyDescent="0.2">
      <c r="B224">
        <v>76.2</v>
      </c>
      <c r="C224" t="s">
        <v>701</v>
      </c>
      <c r="D224" t="s">
        <v>114</v>
      </c>
      <c r="E224" t="s">
        <v>477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2:19" x14ac:dyDescent="0.2">
      <c r="B225">
        <v>76.3</v>
      </c>
      <c r="C225" t="s">
        <v>702</v>
      </c>
      <c r="D225" t="s">
        <v>114</v>
      </c>
      <c r="E225" t="s">
        <v>476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2:19" x14ac:dyDescent="0.2">
      <c r="B226">
        <v>76.3</v>
      </c>
      <c r="C226" t="s">
        <v>702</v>
      </c>
      <c r="D226" t="s">
        <v>114</v>
      </c>
      <c r="E226" t="s">
        <v>477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2:19" x14ac:dyDescent="0.2">
      <c r="B227">
        <v>77</v>
      </c>
      <c r="C227" t="s">
        <v>65</v>
      </c>
      <c r="D227" t="s">
        <v>114</v>
      </c>
      <c r="E227" t="s">
        <v>476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2:19" x14ac:dyDescent="0.2">
      <c r="B228">
        <v>77</v>
      </c>
      <c r="C228" t="s">
        <v>65</v>
      </c>
      <c r="D228" t="s">
        <v>114</v>
      </c>
      <c r="E228" t="s">
        <v>477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2:19" x14ac:dyDescent="0.2">
      <c r="B229">
        <v>78</v>
      </c>
      <c r="C229" t="s">
        <v>66</v>
      </c>
      <c r="D229" t="s">
        <v>126</v>
      </c>
      <c r="E229" t="s">
        <v>476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2:19" x14ac:dyDescent="0.2">
      <c r="B230">
        <v>78</v>
      </c>
      <c r="C230" t="s">
        <v>66</v>
      </c>
      <c r="D230" t="s">
        <v>126</v>
      </c>
      <c r="E230" t="s">
        <v>477</v>
      </c>
      <c r="F230">
        <v>0</v>
      </c>
      <c r="G230">
        <v>8</v>
      </c>
      <c r="H230">
        <v>1</v>
      </c>
      <c r="I230">
        <v>0</v>
      </c>
      <c r="J230">
        <v>2</v>
      </c>
      <c r="K230">
        <v>3</v>
      </c>
      <c r="L230">
        <v>0</v>
      </c>
      <c r="M230">
        <v>0</v>
      </c>
      <c r="N230">
        <v>1</v>
      </c>
      <c r="O230">
        <v>0</v>
      </c>
      <c r="P230">
        <v>1</v>
      </c>
      <c r="Q230">
        <v>0</v>
      </c>
      <c r="R230">
        <v>0</v>
      </c>
      <c r="S230">
        <v>0</v>
      </c>
    </row>
    <row r="231" spans="2:19" x14ac:dyDescent="0.2">
      <c r="B231">
        <v>79</v>
      </c>
      <c r="C231" t="s">
        <v>703</v>
      </c>
      <c r="D231" t="s">
        <v>114</v>
      </c>
      <c r="E231" t="s">
        <v>476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2:19" x14ac:dyDescent="0.2">
      <c r="B232">
        <v>79</v>
      </c>
      <c r="C232" t="s">
        <v>703</v>
      </c>
      <c r="D232" t="s">
        <v>114</v>
      </c>
      <c r="E232" t="s">
        <v>477</v>
      </c>
      <c r="F232">
        <v>0</v>
      </c>
      <c r="G232">
        <v>2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2:19" x14ac:dyDescent="0.2">
      <c r="B233">
        <v>80</v>
      </c>
      <c r="C233" t="s">
        <v>68</v>
      </c>
      <c r="D233" t="s">
        <v>114</v>
      </c>
      <c r="E233" t="s">
        <v>476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2:19" x14ac:dyDescent="0.2">
      <c r="B234">
        <v>80</v>
      </c>
      <c r="C234" t="s">
        <v>68</v>
      </c>
      <c r="D234" t="s">
        <v>114</v>
      </c>
      <c r="E234" t="s">
        <v>477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2:19" x14ac:dyDescent="0.2">
      <c r="B235">
        <v>81</v>
      </c>
      <c r="C235" t="s">
        <v>69</v>
      </c>
      <c r="D235" t="s">
        <v>114</v>
      </c>
      <c r="E235" t="s">
        <v>476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2:19" x14ac:dyDescent="0.2">
      <c r="B236">
        <v>81</v>
      </c>
      <c r="C236" t="s">
        <v>69</v>
      </c>
      <c r="D236" t="s">
        <v>114</v>
      </c>
      <c r="E236" t="s">
        <v>477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2:19" x14ac:dyDescent="0.2">
      <c r="B237">
        <v>82</v>
      </c>
      <c r="C237" t="s">
        <v>60</v>
      </c>
      <c r="D237" t="s">
        <v>114</v>
      </c>
      <c r="E237" t="s">
        <v>476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2:19" x14ac:dyDescent="0.2">
      <c r="B238">
        <v>82</v>
      </c>
      <c r="C238" t="s">
        <v>60</v>
      </c>
      <c r="D238" t="s">
        <v>114</v>
      </c>
      <c r="E238" t="s">
        <v>477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2:19" x14ac:dyDescent="0.2">
      <c r="B239">
        <v>83</v>
      </c>
      <c r="C239" t="s">
        <v>70</v>
      </c>
      <c r="D239" t="s">
        <v>114</v>
      </c>
      <c r="E239" t="s">
        <v>476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2:19" x14ac:dyDescent="0.2">
      <c r="B240">
        <v>83</v>
      </c>
      <c r="C240" t="s">
        <v>70</v>
      </c>
      <c r="D240" t="s">
        <v>114</v>
      </c>
      <c r="E240" t="s">
        <v>477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2:19" x14ac:dyDescent="0.2">
      <c r="B241">
        <v>84</v>
      </c>
      <c r="C241" t="s">
        <v>71</v>
      </c>
      <c r="D241" t="s">
        <v>114</v>
      </c>
      <c r="E241" t="s">
        <v>476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2:19" x14ac:dyDescent="0.2">
      <c r="B242">
        <v>84</v>
      </c>
      <c r="C242" t="s">
        <v>71</v>
      </c>
      <c r="D242" t="s">
        <v>114</v>
      </c>
      <c r="E242" t="s">
        <v>477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2:19" x14ac:dyDescent="0.2">
      <c r="B243">
        <v>85</v>
      </c>
      <c r="C243" t="s">
        <v>72</v>
      </c>
      <c r="D243" t="s">
        <v>114</v>
      </c>
      <c r="E243" t="s">
        <v>476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2:19" x14ac:dyDescent="0.2">
      <c r="B244">
        <v>85</v>
      </c>
      <c r="C244" t="s">
        <v>72</v>
      </c>
      <c r="D244" t="s">
        <v>114</v>
      </c>
      <c r="E244" t="s">
        <v>477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2:19" x14ac:dyDescent="0.2">
      <c r="B245">
        <v>86</v>
      </c>
      <c r="C245" t="s">
        <v>73</v>
      </c>
      <c r="D245" t="s">
        <v>136</v>
      </c>
      <c r="E245" t="s">
        <v>476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2:19" x14ac:dyDescent="0.2">
      <c r="B246">
        <v>86</v>
      </c>
      <c r="C246" t="s">
        <v>73</v>
      </c>
      <c r="D246" t="s">
        <v>136</v>
      </c>
      <c r="E246" t="s">
        <v>477</v>
      </c>
      <c r="F246">
        <v>2</v>
      </c>
      <c r="G246">
        <v>2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</row>
    <row r="247" spans="2:19" x14ac:dyDescent="0.2">
      <c r="B247">
        <v>87</v>
      </c>
      <c r="C247" t="s">
        <v>49</v>
      </c>
      <c r="D247" t="s">
        <v>119</v>
      </c>
      <c r="E247" t="s">
        <v>476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2:19" x14ac:dyDescent="0.2">
      <c r="B248">
        <v>87</v>
      </c>
      <c r="C248" t="s">
        <v>49</v>
      </c>
      <c r="D248" t="s">
        <v>119</v>
      </c>
      <c r="E248" t="s">
        <v>477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2:19" x14ac:dyDescent="0.2">
      <c r="B249">
        <v>88</v>
      </c>
      <c r="C249" t="s">
        <v>74</v>
      </c>
      <c r="D249" t="s">
        <v>135</v>
      </c>
      <c r="E249" t="s">
        <v>476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2:19" x14ac:dyDescent="0.2">
      <c r="B250">
        <v>88</v>
      </c>
      <c r="C250" t="s">
        <v>74</v>
      </c>
      <c r="D250" t="s">
        <v>135</v>
      </c>
      <c r="E250" t="s">
        <v>477</v>
      </c>
      <c r="F250">
        <v>0</v>
      </c>
      <c r="G250">
        <v>5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2:19" x14ac:dyDescent="0.2">
      <c r="B251">
        <v>89</v>
      </c>
      <c r="C251" t="s">
        <v>75</v>
      </c>
      <c r="D251" t="s">
        <v>130</v>
      </c>
      <c r="E251" t="s">
        <v>476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2:19" x14ac:dyDescent="0.2">
      <c r="B252">
        <v>89</v>
      </c>
      <c r="C252" t="s">
        <v>75</v>
      </c>
      <c r="D252" t="s">
        <v>130</v>
      </c>
      <c r="E252" t="s">
        <v>477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2:19" x14ac:dyDescent="0.2">
      <c r="B253">
        <v>90</v>
      </c>
      <c r="C253" t="s">
        <v>76</v>
      </c>
      <c r="D253" t="s">
        <v>118</v>
      </c>
      <c r="E253" t="s">
        <v>476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2:19" x14ac:dyDescent="0.2">
      <c r="B254">
        <v>90</v>
      </c>
      <c r="C254" t="s">
        <v>76</v>
      </c>
      <c r="D254" t="s">
        <v>118</v>
      </c>
      <c r="E254" t="s">
        <v>477</v>
      </c>
      <c r="F254">
        <v>0</v>
      </c>
      <c r="G254">
        <v>4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</row>
    <row r="255" spans="2:19" x14ac:dyDescent="0.2">
      <c r="B255">
        <v>91</v>
      </c>
      <c r="C255" t="s">
        <v>77</v>
      </c>
      <c r="D255" t="s">
        <v>114</v>
      </c>
      <c r="E255" t="s">
        <v>476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2:19" x14ac:dyDescent="0.2">
      <c r="B256">
        <v>91</v>
      </c>
      <c r="C256" t="s">
        <v>77</v>
      </c>
      <c r="D256" t="s">
        <v>114</v>
      </c>
      <c r="E256" t="s">
        <v>477</v>
      </c>
      <c r="F256">
        <v>0</v>
      </c>
      <c r="G256">
        <v>4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</row>
    <row r="257" spans="2:19" x14ac:dyDescent="0.2">
      <c r="B257">
        <v>92</v>
      </c>
      <c r="C257" t="s">
        <v>78</v>
      </c>
      <c r="D257" t="s">
        <v>114</v>
      </c>
      <c r="E257" t="s">
        <v>476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2:19" x14ac:dyDescent="0.2">
      <c r="B258">
        <v>92</v>
      </c>
      <c r="C258" t="s">
        <v>78</v>
      </c>
      <c r="D258" t="s">
        <v>114</v>
      </c>
      <c r="E258" t="s">
        <v>477</v>
      </c>
      <c r="F258">
        <v>0</v>
      </c>
      <c r="G258">
        <v>2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2:19" x14ac:dyDescent="0.2">
      <c r="B259">
        <v>93.1</v>
      </c>
      <c r="C259" t="s">
        <v>704</v>
      </c>
      <c r="D259" t="s">
        <v>119</v>
      </c>
      <c r="E259" t="s">
        <v>476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2:19" x14ac:dyDescent="0.2">
      <c r="B260">
        <v>93.1</v>
      </c>
      <c r="C260" t="s">
        <v>704</v>
      </c>
      <c r="D260" t="s">
        <v>119</v>
      </c>
      <c r="E260" t="s">
        <v>477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2:19" x14ac:dyDescent="0.2">
      <c r="B261">
        <v>93.2</v>
      </c>
      <c r="C261" t="s">
        <v>705</v>
      </c>
      <c r="D261" t="s">
        <v>126</v>
      </c>
      <c r="E261" t="s">
        <v>476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2:19" x14ac:dyDescent="0.2">
      <c r="B262">
        <v>93.2</v>
      </c>
      <c r="C262" t="s">
        <v>705</v>
      </c>
      <c r="D262" t="s">
        <v>126</v>
      </c>
      <c r="E262" t="s">
        <v>477</v>
      </c>
      <c r="F262">
        <v>0</v>
      </c>
      <c r="G262">
        <v>1</v>
      </c>
      <c r="H262">
        <v>0</v>
      </c>
      <c r="I262">
        <v>0</v>
      </c>
      <c r="J262">
        <v>1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2:19" x14ac:dyDescent="0.2">
      <c r="B263">
        <v>94.1</v>
      </c>
      <c r="C263" t="s">
        <v>706</v>
      </c>
      <c r="D263" t="s">
        <v>114</v>
      </c>
      <c r="E263" t="s">
        <v>476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2:19" x14ac:dyDescent="0.2">
      <c r="B264">
        <v>94.1</v>
      </c>
      <c r="C264" t="s">
        <v>706</v>
      </c>
      <c r="D264" t="s">
        <v>114</v>
      </c>
      <c r="E264" t="s">
        <v>477</v>
      </c>
      <c r="F264">
        <v>1</v>
      </c>
      <c r="G264">
        <v>2</v>
      </c>
      <c r="H264">
        <v>1</v>
      </c>
      <c r="I264">
        <v>0</v>
      </c>
      <c r="J264">
        <v>3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2:19" x14ac:dyDescent="0.2">
      <c r="B265">
        <v>94.2</v>
      </c>
      <c r="C265" t="s">
        <v>707</v>
      </c>
      <c r="D265" t="s">
        <v>126</v>
      </c>
      <c r="E265" t="s">
        <v>476</v>
      </c>
      <c r="F265">
        <v>3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2:19" x14ac:dyDescent="0.2">
      <c r="B266">
        <v>94.2</v>
      </c>
      <c r="C266" t="s">
        <v>707</v>
      </c>
      <c r="D266" t="s">
        <v>126</v>
      </c>
      <c r="E266" t="s">
        <v>477</v>
      </c>
      <c r="F266">
        <v>1</v>
      </c>
      <c r="G266">
        <v>2</v>
      </c>
      <c r="H266">
        <v>2</v>
      </c>
      <c r="I266">
        <v>0</v>
      </c>
      <c r="J266">
        <v>1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2:19" x14ac:dyDescent="0.2">
      <c r="B267">
        <v>94.3</v>
      </c>
      <c r="C267" t="s">
        <v>708</v>
      </c>
      <c r="D267" t="s">
        <v>114</v>
      </c>
      <c r="E267" t="s">
        <v>476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2:19" x14ac:dyDescent="0.2">
      <c r="B268">
        <v>94.3</v>
      </c>
      <c r="C268" t="s">
        <v>708</v>
      </c>
      <c r="D268" t="s">
        <v>114</v>
      </c>
      <c r="E268" t="s">
        <v>477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2:19" x14ac:dyDescent="0.2">
      <c r="B269">
        <v>95.1</v>
      </c>
      <c r="C269" t="s">
        <v>709</v>
      </c>
      <c r="D269" t="s">
        <v>126</v>
      </c>
      <c r="E269" t="s">
        <v>476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2:19" x14ac:dyDescent="0.2">
      <c r="B270">
        <v>95.1</v>
      </c>
      <c r="C270" t="s">
        <v>709</v>
      </c>
      <c r="D270" t="s">
        <v>126</v>
      </c>
      <c r="E270" t="s">
        <v>477</v>
      </c>
      <c r="F270">
        <v>1</v>
      </c>
      <c r="G270">
        <v>4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2:19" x14ac:dyDescent="0.2">
      <c r="B271">
        <v>95.2</v>
      </c>
      <c r="C271" t="s">
        <v>710</v>
      </c>
      <c r="D271" t="s">
        <v>126</v>
      </c>
      <c r="E271" t="s">
        <v>476</v>
      </c>
      <c r="F271">
        <v>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2:19" x14ac:dyDescent="0.2">
      <c r="B272">
        <v>95.2</v>
      </c>
      <c r="C272" t="s">
        <v>710</v>
      </c>
      <c r="D272" t="s">
        <v>126</v>
      </c>
      <c r="E272" t="s">
        <v>477</v>
      </c>
      <c r="F272">
        <v>3</v>
      </c>
      <c r="G272">
        <v>1</v>
      </c>
      <c r="H272">
        <v>3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2:19" x14ac:dyDescent="0.2">
      <c r="B273">
        <v>96</v>
      </c>
      <c r="C273" t="s">
        <v>81</v>
      </c>
      <c r="D273" t="s">
        <v>125</v>
      </c>
      <c r="E273" t="s">
        <v>476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2:19" x14ac:dyDescent="0.2">
      <c r="B274">
        <v>96</v>
      </c>
      <c r="C274" t="s">
        <v>81</v>
      </c>
      <c r="D274" t="s">
        <v>125</v>
      </c>
      <c r="E274" t="s">
        <v>477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2:19" x14ac:dyDescent="0.2">
      <c r="B275">
        <v>97</v>
      </c>
      <c r="C275" t="s">
        <v>82</v>
      </c>
      <c r="D275" t="s">
        <v>126</v>
      </c>
      <c r="E275" t="s">
        <v>476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2:19" x14ac:dyDescent="0.2">
      <c r="B276">
        <v>97</v>
      </c>
      <c r="C276" t="s">
        <v>82</v>
      </c>
      <c r="D276" t="s">
        <v>126</v>
      </c>
      <c r="E276" t="s">
        <v>477</v>
      </c>
      <c r="F276">
        <v>0</v>
      </c>
      <c r="G276">
        <v>1</v>
      </c>
      <c r="H276">
        <v>0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</row>
    <row r="277" spans="2:19" x14ac:dyDescent="0.2">
      <c r="B277">
        <v>98</v>
      </c>
      <c r="C277" t="s">
        <v>83</v>
      </c>
      <c r="D277" t="s">
        <v>126</v>
      </c>
      <c r="E277" t="s">
        <v>476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2:19" x14ac:dyDescent="0.2">
      <c r="B278">
        <v>98</v>
      </c>
      <c r="C278" t="s">
        <v>83</v>
      </c>
      <c r="D278" t="s">
        <v>126</v>
      </c>
      <c r="E278" t="s">
        <v>477</v>
      </c>
      <c r="F278">
        <v>0</v>
      </c>
      <c r="G278">
        <v>1</v>
      </c>
      <c r="H278">
        <v>1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2:19" x14ac:dyDescent="0.2">
      <c r="B279">
        <v>99</v>
      </c>
      <c r="C279" t="s">
        <v>711</v>
      </c>
      <c r="D279" t="s">
        <v>126</v>
      </c>
      <c r="E279" t="s">
        <v>476</v>
      </c>
      <c r="F279">
        <v>6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2:19" x14ac:dyDescent="0.2">
      <c r="B280">
        <v>99</v>
      </c>
      <c r="C280" t="s">
        <v>711</v>
      </c>
      <c r="D280" t="s">
        <v>126</v>
      </c>
      <c r="E280" t="s">
        <v>477</v>
      </c>
      <c r="F280">
        <v>3</v>
      </c>
      <c r="G280">
        <v>7</v>
      </c>
      <c r="H280">
        <v>0</v>
      </c>
      <c r="I280">
        <v>1</v>
      </c>
      <c r="J280">
        <v>4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2:19" x14ac:dyDescent="0.2">
      <c r="B281">
        <v>100</v>
      </c>
      <c r="C281" t="s">
        <v>85</v>
      </c>
      <c r="D281" t="s">
        <v>126</v>
      </c>
      <c r="E281" t="s">
        <v>476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2:19" x14ac:dyDescent="0.2">
      <c r="B282">
        <v>100</v>
      </c>
      <c r="C282" t="s">
        <v>85</v>
      </c>
      <c r="D282" t="s">
        <v>126</v>
      </c>
      <c r="E282" t="s">
        <v>477</v>
      </c>
      <c r="F282">
        <v>1</v>
      </c>
      <c r="G282">
        <v>3</v>
      </c>
      <c r="H282">
        <v>2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</row>
    <row r="283" spans="2:19" x14ac:dyDescent="0.2">
      <c r="B283">
        <v>101</v>
      </c>
      <c r="C283" t="s">
        <v>86</v>
      </c>
      <c r="D283" t="s">
        <v>126</v>
      </c>
      <c r="E283" t="s">
        <v>476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</row>
    <row r="284" spans="2:19" x14ac:dyDescent="0.2">
      <c r="B284">
        <v>101</v>
      </c>
      <c r="C284" t="s">
        <v>86</v>
      </c>
      <c r="D284" t="s">
        <v>126</v>
      </c>
      <c r="E284" t="s">
        <v>477</v>
      </c>
      <c r="F284">
        <v>0</v>
      </c>
      <c r="G284">
        <v>4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2:19" x14ac:dyDescent="0.2">
      <c r="B285">
        <v>102</v>
      </c>
      <c r="C285" t="s">
        <v>87</v>
      </c>
      <c r="D285" t="s">
        <v>126</v>
      </c>
      <c r="E285" t="s">
        <v>476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</row>
    <row r="286" spans="2:19" x14ac:dyDescent="0.2">
      <c r="B286">
        <v>102</v>
      </c>
      <c r="C286" t="s">
        <v>87</v>
      </c>
      <c r="D286" t="s">
        <v>126</v>
      </c>
      <c r="E286" t="s">
        <v>477</v>
      </c>
      <c r="F286">
        <v>0</v>
      </c>
      <c r="G286">
        <v>4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2:19" x14ac:dyDescent="0.2">
      <c r="B287">
        <v>103</v>
      </c>
      <c r="C287" t="s">
        <v>712</v>
      </c>
      <c r="D287" t="s">
        <v>126</v>
      </c>
      <c r="E287" t="s">
        <v>476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2:19" x14ac:dyDescent="0.2">
      <c r="B288">
        <v>103</v>
      </c>
      <c r="C288" t="s">
        <v>712</v>
      </c>
      <c r="D288" t="s">
        <v>126</v>
      </c>
      <c r="E288" t="s">
        <v>477</v>
      </c>
      <c r="F288">
        <v>0</v>
      </c>
      <c r="G288">
        <v>2</v>
      </c>
      <c r="H288">
        <v>0</v>
      </c>
      <c r="I288">
        <v>0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2:19" x14ac:dyDescent="0.2">
      <c r="B289">
        <v>104</v>
      </c>
      <c r="C289" t="s">
        <v>89</v>
      </c>
      <c r="D289" t="s">
        <v>126</v>
      </c>
      <c r="E289" t="s">
        <v>476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</row>
    <row r="290" spans="2:19" x14ac:dyDescent="0.2">
      <c r="B290">
        <v>104</v>
      </c>
      <c r="C290" t="s">
        <v>89</v>
      </c>
      <c r="D290" t="s">
        <v>126</v>
      </c>
      <c r="E290" t="s">
        <v>477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2:19" x14ac:dyDescent="0.2">
      <c r="B291">
        <v>105</v>
      </c>
      <c r="C291" t="s">
        <v>90</v>
      </c>
      <c r="D291" t="s">
        <v>126</v>
      </c>
      <c r="E291" t="s">
        <v>476</v>
      </c>
      <c r="F291">
        <v>3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</v>
      </c>
      <c r="Q291">
        <v>0</v>
      </c>
      <c r="R291">
        <v>0</v>
      </c>
      <c r="S291">
        <v>0</v>
      </c>
    </row>
    <row r="292" spans="2:19" x14ac:dyDescent="0.2">
      <c r="B292">
        <v>105</v>
      </c>
      <c r="C292" t="s">
        <v>90</v>
      </c>
      <c r="D292" t="s">
        <v>126</v>
      </c>
      <c r="E292" t="s">
        <v>477</v>
      </c>
      <c r="F292">
        <v>0</v>
      </c>
      <c r="G292">
        <v>2</v>
      </c>
      <c r="H292">
        <v>1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2:19" x14ac:dyDescent="0.2">
      <c r="B293">
        <v>106.1</v>
      </c>
      <c r="C293" t="s">
        <v>714</v>
      </c>
      <c r="D293" t="s">
        <v>125</v>
      </c>
      <c r="E293" t="s">
        <v>476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2:19" x14ac:dyDescent="0.2">
      <c r="B294">
        <v>106.1</v>
      </c>
      <c r="C294" t="s">
        <v>714</v>
      </c>
      <c r="D294" t="s">
        <v>125</v>
      </c>
      <c r="E294" t="s">
        <v>477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2:19" x14ac:dyDescent="0.2">
      <c r="B295">
        <v>106.2</v>
      </c>
      <c r="C295" t="s">
        <v>92</v>
      </c>
      <c r="D295" t="s">
        <v>126</v>
      </c>
      <c r="E295" t="s">
        <v>476</v>
      </c>
      <c r="F295">
        <v>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2:19" x14ac:dyDescent="0.2">
      <c r="B296">
        <v>106.2</v>
      </c>
      <c r="C296" t="s">
        <v>92</v>
      </c>
      <c r="D296" t="s">
        <v>126</v>
      </c>
      <c r="E296" t="s">
        <v>477</v>
      </c>
      <c r="F296">
        <v>1</v>
      </c>
      <c r="G296">
        <v>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2:19" x14ac:dyDescent="0.2">
      <c r="B297">
        <v>107</v>
      </c>
      <c r="C297" t="s">
        <v>713</v>
      </c>
      <c r="D297" t="s">
        <v>126</v>
      </c>
      <c r="E297" t="s">
        <v>476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</row>
    <row r="298" spans="2:19" x14ac:dyDescent="0.2">
      <c r="B298">
        <v>107</v>
      </c>
      <c r="C298" t="s">
        <v>713</v>
      </c>
      <c r="D298" t="s">
        <v>126</v>
      </c>
      <c r="E298" t="s">
        <v>477</v>
      </c>
      <c r="F298">
        <v>0</v>
      </c>
      <c r="G298">
        <v>1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2:19" x14ac:dyDescent="0.2">
      <c r="B299">
        <v>108</v>
      </c>
      <c r="C299" t="s">
        <v>93</v>
      </c>
      <c r="D299" t="s">
        <v>126</v>
      </c>
      <c r="E299" t="s">
        <v>476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</row>
    <row r="300" spans="2:19" x14ac:dyDescent="0.2">
      <c r="B300">
        <v>108</v>
      </c>
      <c r="C300" t="s">
        <v>93</v>
      </c>
      <c r="D300" t="s">
        <v>126</v>
      </c>
      <c r="E300" t="s">
        <v>477</v>
      </c>
      <c r="F300">
        <v>1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2:19" x14ac:dyDescent="0.2">
      <c r="B301">
        <v>109</v>
      </c>
      <c r="C301" t="s">
        <v>94</v>
      </c>
      <c r="D301" t="s">
        <v>126</v>
      </c>
      <c r="E301" t="s">
        <v>476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</row>
    <row r="302" spans="2:19" x14ac:dyDescent="0.2">
      <c r="B302">
        <v>109</v>
      </c>
      <c r="C302" t="s">
        <v>94</v>
      </c>
      <c r="D302" t="s">
        <v>126</v>
      </c>
      <c r="E302" t="s">
        <v>477</v>
      </c>
      <c r="F302">
        <v>1</v>
      </c>
      <c r="G302">
        <v>2</v>
      </c>
      <c r="H302">
        <v>1</v>
      </c>
      <c r="I302">
        <v>0</v>
      </c>
      <c r="J302">
        <v>1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2:19" x14ac:dyDescent="0.2">
      <c r="B303">
        <v>110</v>
      </c>
      <c r="C303" t="s">
        <v>95</v>
      </c>
      <c r="D303" t="s">
        <v>126</v>
      </c>
      <c r="E303" t="s">
        <v>476</v>
      </c>
      <c r="F303">
        <v>0</v>
      </c>
      <c r="G303">
        <v>4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2:19" x14ac:dyDescent="0.2">
      <c r="B304">
        <v>110</v>
      </c>
      <c r="C304" t="s">
        <v>95</v>
      </c>
      <c r="D304" t="s">
        <v>126</v>
      </c>
      <c r="E304" t="s">
        <v>477</v>
      </c>
      <c r="F304">
        <v>0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ENTREVISTAS</vt:lpstr>
      <vt:lpstr>VARIABLES_EPI</vt:lpstr>
      <vt:lpstr>EVALUACIONES_campo</vt:lpstr>
      <vt:lpstr>AISLAMIENTOS</vt:lpstr>
      <vt:lpstr>resumen_aislamientos</vt:lpstr>
      <vt:lpstr>desgloce_aislamientos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FJG</dc:creator>
  <cp:lastModifiedBy>Laura  Valbuena Gaona</cp:lastModifiedBy>
  <dcterms:created xsi:type="dcterms:W3CDTF">2023-05-12T21:04:30Z</dcterms:created>
  <dcterms:modified xsi:type="dcterms:W3CDTF">2026-02-03T21:22:16Z</dcterms:modified>
</cp:coreProperties>
</file>